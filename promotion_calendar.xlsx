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107" documentId="13_ncr:1_{25C2A143-1BE5-40ED-9A9E-6EDC3765DFD9}" xr6:coauthVersionLast="47" xr6:coauthVersionMax="47" xr10:uidLastSave="{18E68F16-8431-4E4F-96CA-8C82FE834ED4}"/>
  <bookViews>
    <workbookView xWindow="-19290" yWindow="-9580" windowWidth="19380" windowHeight="20970" xr2:uid="{423BC979-9FEA-4846-BB1F-207F4B9C0F62}"/>
  </bookViews>
  <sheets>
    <sheet name="Promo Calendar" sheetId="1" r:id="rId1"/>
    <sheet name="GB" sheetId="6" r:id="rId2"/>
    <sheet name="Mapping" sheetId="3" state="hidden" r:id="rId3"/>
  </sheets>
  <definedNames>
    <definedName name="_xlnm._FilterDatabase" localSheetId="1" hidden="1">GB!$A$1:$E$19010</definedName>
    <definedName name="_xlnm._FilterDatabase" localSheetId="0" hidden="1">'Promo Calendar'!$A$1:$Q$1417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418" i="1" l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Q1354" i="1" l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P893" i="1" l="1"/>
  <c r="Q893" i="1"/>
  <c r="P894" i="1"/>
  <c r="Q894" i="1"/>
  <c r="P895" i="1"/>
  <c r="Q895" i="1"/>
  <c r="P896" i="1"/>
  <c r="Q896" i="1"/>
  <c r="P897" i="1"/>
  <c r="Q897" i="1"/>
  <c r="P898" i="1"/>
  <c r="Q898" i="1"/>
  <c r="P899" i="1"/>
  <c r="Q899" i="1"/>
  <c r="P900" i="1"/>
  <c r="Q900" i="1"/>
  <c r="P901" i="1"/>
  <c r="Q901" i="1"/>
  <c r="P902" i="1"/>
  <c r="Q902" i="1"/>
  <c r="P903" i="1"/>
  <c r="Q903" i="1"/>
  <c r="P904" i="1"/>
  <c r="Q904" i="1"/>
  <c r="P905" i="1"/>
  <c r="Q905" i="1"/>
  <c r="P906" i="1"/>
  <c r="Q906" i="1"/>
  <c r="P907" i="1"/>
  <c r="Q907" i="1"/>
  <c r="P908" i="1"/>
  <c r="Q908" i="1"/>
  <c r="P909" i="1"/>
  <c r="Q909" i="1"/>
  <c r="P910" i="1"/>
  <c r="Q910" i="1"/>
  <c r="P911" i="1"/>
  <c r="Q911" i="1"/>
  <c r="P912" i="1"/>
  <c r="Q912" i="1"/>
  <c r="P913" i="1"/>
  <c r="Q913" i="1"/>
  <c r="P914" i="1"/>
  <c r="Q914" i="1"/>
  <c r="P915" i="1"/>
  <c r="Q915" i="1"/>
  <c r="P916" i="1"/>
  <c r="Q916" i="1"/>
  <c r="P917" i="1"/>
  <c r="Q917" i="1"/>
  <c r="P918" i="1"/>
  <c r="Q918" i="1"/>
  <c r="P919" i="1"/>
  <c r="Q919" i="1"/>
  <c r="P920" i="1"/>
  <c r="Q920" i="1"/>
  <c r="P921" i="1"/>
  <c r="Q921" i="1"/>
  <c r="P922" i="1"/>
  <c r="Q922" i="1"/>
  <c r="P923" i="1"/>
  <c r="Q923" i="1"/>
  <c r="P924" i="1"/>
  <c r="Q924" i="1"/>
  <c r="P925" i="1"/>
  <c r="Q925" i="1"/>
  <c r="P926" i="1"/>
  <c r="Q926" i="1"/>
  <c r="P927" i="1"/>
  <c r="Q927" i="1"/>
  <c r="P928" i="1"/>
  <c r="Q928" i="1"/>
  <c r="P929" i="1"/>
  <c r="Q929" i="1"/>
  <c r="P930" i="1"/>
  <c r="Q930" i="1"/>
  <c r="P931" i="1"/>
  <c r="Q931" i="1"/>
  <c r="P932" i="1"/>
  <c r="Q932" i="1"/>
  <c r="P933" i="1"/>
  <c r="Q933" i="1"/>
  <c r="P934" i="1"/>
  <c r="Q934" i="1"/>
  <c r="P935" i="1"/>
  <c r="Q935" i="1"/>
  <c r="P936" i="1"/>
  <c r="Q936" i="1"/>
  <c r="P937" i="1"/>
  <c r="Q937" i="1"/>
  <c r="P938" i="1"/>
  <c r="Q938" i="1"/>
  <c r="P939" i="1"/>
  <c r="Q939" i="1"/>
  <c r="P940" i="1"/>
  <c r="Q940" i="1"/>
  <c r="P941" i="1"/>
  <c r="Q941" i="1"/>
  <c r="P942" i="1"/>
  <c r="Q942" i="1"/>
  <c r="P943" i="1"/>
  <c r="Q943" i="1"/>
  <c r="P944" i="1"/>
  <c r="Q944" i="1"/>
  <c r="P945" i="1"/>
  <c r="Q945" i="1"/>
  <c r="P946" i="1"/>
  <c r="Q946" i="1"/>
  <c r="P947" i="1"/>
  <c r="Q947" i="1"/>
  <c r="P948" i="1"/>
  <c r="Q948" i="1"/>
  <c r="P949" i="1"/>
  <c r="Q949" i="1"/>
  <c r="P950" i="1"/>
  <c r="Q950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P793" i="1" l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790" i="1"/>
  <c r="Q791" i="1"/>
  <c r="Q792" i="1"/>
  <c r="A793" i="1" l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754" i="1" l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N755" i="1"/>
  <c r="O755" i="1" s="1"/>
  <c r="N756" i="1"/>
  <c r="O756" i="1" s="1"/>
  <c r="N757" i="1"/>
  <c r="O757" i="1" s="1"/>
  <c r="N758" i="1"/>
  <c r="O758" i="1" s="1"/>
  <c r="N759" i="1"/>
  <c r="O759" i="1" s="1"/>
  <c r="N760" i="1"/>
  <c r="O760" i="1" s="1"/>
  <c r="N761" i="1"/>
  <c r="O761" i="1" s="1"/>
  <c r="N762" i="1"/>
  <c r="O762" i="1" s="1"/>
  <c r="N763" i="1"/>
  <c r="O763" i="1" s="1"/>
  <c r="N764" i="1"/>
  <c r="O764" i="1" s="1"/>
  <c r="N765" i="1"/>
  <c r="O765" i="1" s="1"/>
  <c r="N766" i="1"/>
  <c r="O766" i="1" s="1"/>
  <c r="N767" i="1"/>
  <c r="O767" i="1" s="1"/>
  <c r="N768" i="1"/>
  <c r="O768" i="1" s="1"/>
  <c r="N769" i="1"/>
  <c r="O769" i="1" s="1"/>
  <c r="N770" i="1"/>
  <c r="O770" i="1" s="1"/>
  <c r="N771" i="1"/>
  <c r="O771" i="1" s="1"/>
  <c r="N772" i="1"/>
  <c r="O772" i="1" s="1"/>
  <c r="N773" i="1"/>
  <c r="O773" i="1" s="1"/>
  <c r="N774" i="1"/>
  <c r="O774" i="1" s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54" i="1"/>
  <c r="O754" i="1" s="1"/>
  <c r="Q754" i="1" l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697" i="1"/>
  <c r="A697" i="1" l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Q579" i="1"/>
  <c r="P579" i="1"/>
  <c r="Q578" i="1"/>
  <c r="P578" i="1"/>
  <c r="Q577" i="1"/>
  <c r="P577" i="1"/>
  <c r="Q576" i="1"/>
  <c r="P576" i="1"/>
  <c r="Q575" i="1"/>
  <c r="P575" i="1"/>
  <c r="Q574" i="1"/>
  <c r="P574" i="1"/>
  <c r="Q573" i="1"/>
  <c r="P573" i="1"/>
  <c r="Q572" i="1"/>
  <c r="P572" i="1"/>
  <c r="Q571" i="1"/>
  <c r="P571" i="1"/>
  <c r="Q570" i="1"/>
  <c r="P570" i="1"/>
  <c r="Q569" i="1"/>
  <c r="P569" i="1"/>
  <c r="Q568" i="1"/>
  <c r="P568" i="1"/>
  <c r="Q567" i="1"/>
  <c r="P567" i="1"/>
  <c r="Q566" i="1"/>
  <c r="P566" i="1"/>
  <c r="Q565" i="1"/>
  <c r="P565" i="1"/>
  <c r="Q564" i="1"/>
  <c r="P564" i="1"/>
  <c r="Q563" i="1"/>
  <c r="P563" i="1"/>
  <c r="Q562" i="1"/>
  <c r="P562" i="1"/>
  <c r="Q561" i="1"/>
  <c r="P561" i="1"/>
  <c r="Q560" i="1"/>
  <c r="P560" i="1"/>
  <c r="Q559" i="1"/>
  <c r="P559" i="1"/>
  <c r="Q558" i="1"/>
  <c r="P558" i="1"/>
  <c r="Q557" i="1"/>
  <c r="P557" i="1"/>
  <c r="Q556" i="1"/>
  <c r="P556" i="1"/>
  <c r="Q555" i="1"/>
  <c r="P555" i="1"/>
  <c r="Q554" i="1"/>
  <c r="P554" i="1"/>
  <c r="Q553" i="1"/>
  <c r="P553" i="1"/>
  <c r="Q552" i="1"/>
  <c r="P552" i="1"/>
  <c r="Q551" i="1"/>
  <c r="P551" i="1"/>
  <c r="Q550" i="1"/>
  <c r="P550" i="1"/>
  <c r="Q549" i="1"/>
  <c r="P549" i="1"/>
  <c r="Q548" i="1"/>
  <c r="P548" i="1"/>
  <c r="Q547" i="1"/>
  <c r="P547" i="1"/>
  <c r="Q546" i="1"/>
  <c r="P546" i="1"/>
  <c r="Q545" i="1"/>
  <c r="P545" i="1"/>
  <c r="Q544" i="1"/>
  <c r="P544" i="1"/>
  <c r="Q543" i="1"/>
  <c r="P543" i="1"/>
  <c r="Q542" i="1"/>
  <c r="P542" i="1"/>
  <c r="Q541" i="1"/>
  <c r="P541" i="1"/>
  <c r="Q540" i="1"/>
  <c r="P540" i="1"/>
  <c r="Q539" i="1"/>
  <c r="P539" i="1"/>
  <c r="Q538" i="1"/>
  <c r="P538" i="1"/>
  <c r="Q537" i="1"/>
  <c r="P537" i="1"/>
  <c r="Q536" i="1"/>
  <c r="P536" i="1"/>
  <c r="Q535" i="1"/>
  <c r="P535" i="1"/>
  <c r="Q534" i="1"/>
  <c r="P534" i="1"/>
  <c r="Q533" i="1"/>
  <c r="P533" i="1"/>
  <c r="Q532" i="1"/>
  <c r="P532" i="1"/>
  <c r="Q531" i="1"/>
  <c r="P531" i="1"/>
  <c r="Q530" i="1"/>
  <c r="P530" i="1"/>
  <c r="A674" i="1" l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585" i="1" l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Q584" i="1"/>
  <c r="P584" i="1"/>
  <c r="Q583" i="1"/>
  <c r="P583" i="1"/>
  <c r="Q582" i="1"/>
  <c r="P582" i="1"/>
  <c r="Q581" i="1"/>
  <c r="P581" i="1"/>
  <c r="Q580" i="1"/>
  <c r="P580" i="1"/>
  <c r="A580" i="1"/>
  <c r="A581" i="1"/>
  <c r="A582" i="1"/>
  <c r="A583" i="1"/>
  <c r="A584" i="1"/>
  <c r="A579" i="1" l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30" i="1" l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442" i="1" l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441" i="1" l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Q442" i="1"/>
  <c r="P442" i="1"/>
</calcChain>
</file>

<file path=xl/sharedStrings.xml><?xml version="1.0" encoding="utf-8"?>
<sst xmlns="http://schemas.openxmlformats.org/spreadsheetml/2006/main" count="43513" uniqueCount="381">
  <si>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</si>
  <si>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</si>
  <si>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</si>
  <si>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</si>
  <si>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</si>
  <si>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</si>
  <si>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</si>
  <si>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</si>
  <si>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</si>
  <si>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</si>
  <si>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</si>
  <si>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</si>
  <si>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</si>
  <si>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</si>
  <si>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</si>
  <si>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</si>
  <si>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</si>
  <si>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</si>
  <si>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</si>
  <si>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</si>
  <si>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</si>
  <si>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</si>
  <si>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</si>
  <si>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</si>
  <si>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</si>
  <si>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</si>
  <si>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</si>
  <si>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</si>
  <si>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</si>
  <si>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</si>
  <si>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</si>
  <si>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</si>
  <si>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</si>
  <si>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</si>
  <si>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</si>
  <si>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</si>
  <si>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</si>
  <si>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</si>
  <si>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</si>
  <si>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</si>
  <si>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</si>
  <si>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</si>
  <si>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</si>
  <si>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</si>
  <si>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</si>
  <si>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</si>
  <si>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</si>
  <si>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</si>
  <si>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</si>
  <si>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</si>
  <si>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</si>
  <si>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</si>
  <si>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</si>
  <si>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</si>
  <si>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</si>
  <si>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</si>
  <si>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</si>
  <si>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</si>
  <si>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</si>
  <si>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</si>
  <si>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</si>
  <si>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</si>
  <si>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</si>
  <si>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</si>
  <si>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</si>
  <si>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</si>
  <si>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</si>
  <si>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</si>
  <si>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</si>
  <si>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</si>
  <si>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</si>
  <si>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</si>
  <si>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</si>
  <si>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</si>
  <si>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</si>
  <si>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</si>
  <si>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</si>
  <si>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</si>
  <si>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</si>
  <si>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</si>
  <si>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</si>
  <si>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</si>
  <si>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</si>
  <si>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</si>
  <si>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</si>
  <si>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</si>
  <si>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</si>
  <si>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</si>
  <si>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</si>
  <si>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</si>
  <si>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</si>
  <si>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</si>
  <si>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</si>
  <si>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</si>
  <si>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</si>
  <si>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</si>
  <si>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</si>
  <si>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</si>
  <si>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</si>
  <si>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</si>
  <si>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</si>
  <si>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</si>
  <si>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</si>
  <si>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</si>
  <si>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</si>
  <si>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</si>
  <si>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</si>
  <si>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</si>
  <si>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</si>
  <si>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</si>
  <si>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</si>
  <si>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</si>
  <si>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</si>
  <si>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</si>
  <si>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</si>
  <si>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</si>
  <si>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</si>
  <si>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</si>
  <si>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</si>
  <si>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</si>
  <si>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</si>
  <si>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</si>
  <si>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</si>
  <si>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</si>
  <si>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</si>
  <si>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</si>
  <si>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</si>
  <si>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</si>
  <si>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</si>
  <si>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</si>
  <si>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</si>
  <si>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</si>
  <si>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</si>
  <si>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</si>
  <si>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</si>
  <si>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</si>
  <si>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</si>
  <si>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</si>
  <si>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</si>
  <si>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</si>
  <si>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</si>
  <si>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</si>
  <si>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</si>
  <si>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</si>
  <si>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</si>
  <si>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</si>
  <si>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</si>
  <si>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</si>
  <si>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</si>
  <si>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</si>
  <si>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</si>
  <si>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</si>
  <si>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</si>
  <si>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</si>
  <si>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</si>
  <si>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</si>
  <si>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</si>
  <si>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</si>
  <si>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</si>
  <si>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</si>
  <si>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</si>
  <si>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</si>
  <si>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</si>
  <si>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</si>
  <si>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데이터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</si>
  <si>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</si>
  <si>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</si>
  <si>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</si>
  <si>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</si>
  <si>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</si>
  <si>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</si>
  <si>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</si>
  <si>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</si>
  <si>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</si>
  <si>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</si>
  <si>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</si>
  <si>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</si>
  <si>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</si>
  <si>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</si>
  <si>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</si>
  <si>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</si>
  <si>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</si>
  <si>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</si>
  <si>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</si>
  <si>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</si>
  <si>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</si>
  <si>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</si>
  <si>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</si>
  <si>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</si>
  <si>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</si>
  <si>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</si>
  <si>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</si>
  <si>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</si>
  <si>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</si>
  <si>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</si>
  <si>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</si>
  <si>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</si>
  <si>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</si>
  <si>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</si>
  <si>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</si>
  <si>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</si>
  <si>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</si>
  <si>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</si>
  <si>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</si>
  <si>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</si>
  <si>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</si>
  <si>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</si>
  <si>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</si>
  <si>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</si>
  <si>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</si>
  <si>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</si>
  <si>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Ninja Motorized</t>
  </si>
  <si>
    <t>Trad</t>
  </si>
  <si>
    <t>Shark Floorcare</t>
  </si>
  <si>
    <t>CS</t>
  </si>
  <si>
    <t>Ninja Heated</t>
  </si>
  <si>
    <t>Crispi</t>
  </si>
  <si>
    <t>Slushi</t>
  </si>
  <si>
    <t>Shark Personal Care</t>
  </si>
  <si>
    <t>Flex</t>
  </si>
  <si>
    <t>Kion</t>
  </si>
  <si>
    <t>FW</t>
  </si>
  <si>
    <t>WD</t>
  </si>
  <si>
    <t>Airfry</t>
  </si>
  <si>
    <t>Icecream</t>
  </si>
  <si>
    <t>Shark Fan</t>
  </si>
  <si>
    <t>Fan</t>
  </si>
  <si>
    <t>Grill</t>
  </si>
  <si>
    <t>Hot</t>
  </si>
  <si>
    <t>Hand</t>
  </si>
  <si>
    <t>WV</t>
  </si>
  <si>
    <t>Portable</t>
  </si>
  <si>
    <t>Kitchen</t>
  </si>
  <si>
    <t>Food process</t>
  </si>
  <si>
    <t>Combi</t>
  </si>
  <si>
    <t>Speed</t>
  </si>
  <si>
    <t>Single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</si>
  <si>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</si>
  <si>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</si>
  <si>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</si>
  <si>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</si>
  <si>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</si>
  <si>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</si>
  <si>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</si>
  <si>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</si>
  <si>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</si>
  <si>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</si>
  <si>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</si>
  <si>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이벤트(드엘리사)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</si>
  <si>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</si>
  <si>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</si>
  <si>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</si>
  <si>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</si>
  <si>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</si>
  <si>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</si>
  <si>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</si>
  <si>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</si>
  <si>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</si>
  <si>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</si>
  <si>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</si>
  <si>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</si>
  <si>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</si>
  <si>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</si>
  <si>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</si>
  <si>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</si>
  <si>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</si>
  <si>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</si>
  <si>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</si>
  <si>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</si>
  <si>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</si>
  <si>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</si>
  <si>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</si>
  <si>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</si>
  <si>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</si>
  <si>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</si>
  <si>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</si>
  <si>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</si>
  <si>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</si>
  <si>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</si>
  <si>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</si>
  <si>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</si>
  <si>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</si>
  <si>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</si>
  <si>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</si>
  <si>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</si>
  <si>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</si>
  <si>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</si>
  <si>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</si>
  <si>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</si>
  <si>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</si>
  <si>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</si>
  <si>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</si>
  <si>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</si>
  <si>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</si>
  <si>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</si>
  <si>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</si>
  <si>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</si>
  <si>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</si>
  <si>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</si>
  <si>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</si>
  <si>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</si>
  <si>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</si>
  <si>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</si>
  <si>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</si>
  <si>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</si>
  <si>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</si>
  <si>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</si>
  <si>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</si>
  <si>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</si>
  <si>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</si>
  <si>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</si>
  <si>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</si>
  <si>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</si>
  <si>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</si>
  <si>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</si>
  <si>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</si>
  <si>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</si>
  <si>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</si>
  <si>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</si>
  <si>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</si>
  <si>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</si>
  <si>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</si>
  <si>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</si>
  <si>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</si>
  <si>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</si>
  <si>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</si>
  <si>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</si>
  <si>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</si>
  <si>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</si>
  <si>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</si>
  <si>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</si>
  <si>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</si>
  <si>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</si>
  <si>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</si>
  <si>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심플리홈)</t>
  </si>
  <si>
    <t>유유댁)</t>
  </si>
  <si>
    <t>이벤트(얌얌해 혜야)</t>
  </si>
  <si>
    <t>월첫세일</t>
  </si>
  <si>
    <t>쇼익</t>
  </si>
  <si>
    <t>오세일</t>
  </si>
  <si>
    <t>썸머피날레</t>
  </si>
  <si>
    <t>G-market</t>
  </si>
  <si>
    <t>브랜드쇼케이스</t>
  </si>
  <si>
    <t>최유라쇼</t>
  </si>
  <si>
    <t>Live</t>
  </si>
  <si>
    <t>T-COM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</si>
  <si>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</si>
  <si>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</si>
  <si>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</si>
  <si>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</si>
  <si>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</si>
  <si>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</si>
  <si>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</si>
  <si>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</si>
  <si>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</si>
  <si>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</si>
  <si>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</si>
  <si>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</si>
  <si>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</si>
  <si>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</si>
  <si>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</si>
  <si>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</si>
  <si>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</si>
  <si>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</si>
  <si>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</si>
  <si>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</si>
  <si>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</si>
  <si>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</si>
  <si>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</si>
  <si>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</si>
  <si>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</si>
  <si>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</si>
  <si>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</si>
  <si>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현대M포인트</t>
  </si>
  <si>
    <t>굴즈야 밥묵자</t>
  </si>
  <si>
    <t>온누리 상품권</t>
  </si>
  <si>
    <t>온누리상품권</t>
  </si>
  <si>
    <t>(요정엄마)</t>
  </si>
  <si>
    <t>현대이지웰</t>
  </si>
  <si>
    <t>온누리쇼핑</t>
  </si>
  <si>
    <t>CS건(다름이네)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</si>
</sst>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R1467"/>
  <sheetViews>
    <sheetView tabSelected="1" zoomScaleNormal="100" workbookViewId="0">
      <pane ySplit="1" topLeftCell="A1364" activePane="bottomLeft" state="frozen"/>
      <selection pane="bottomLeft" activeCell="D1383" sqref="D1383:E1383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7" x14ac:dyDescent="0.35">
      <c r="A1" s="1" t="s">
        <v>207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209</v>
      </c>
      <c r="Q1" s="11" t="s">
        <v>210</v>
      </c>
    </row>
    <row r="2" spans="1:17" x14ac:dyDescent="0.35">
      <c r="A2" t="str">
        <f>_xlfn.XLOOKUP(B2,Mapping!C:C,Mapping!D:D)</f>
        <v>Coupang</v>
      </c>
      <c r="B2" s="2" t="s">
        <v>14</v>
      </c>
      <c r="C2" s="2" t="s">
        <v>15</v>
      </c>
      <c r="D2" s="3">
        <v>46174</v>
      </c>
      <c r="E2" s="4">
        <v>46203</v>
      </c>
      <c r="F2" s="5">
        <v>30</v>
      </c>
      <c r="G2" s="2" t="s">
        <v>16</v>
      </c>
      <c r="H2" s="17">
        <v>199900</v>
      </c>
      <c r="I2" s="18">
        <v>129900</v>
      </c>
      <c r="J2" s="17">
        <v>129900</v>
      </c>
      <c r="K2" s="17">
        <v>129900</v>
      </c>
      <c r="L2" s="6">
        <v>104</v>
      </c>
      <c r="M2" s="6">
        <v>13509600</v>
      </c>
      <c r="N2" s="17">
        <v>9579534.5454545449</v>
      </c>
      <c r="O2" s="17">
        <v>9100557.8181818184</v>
      </c>
      <c r="P2" t="s">
        <v>211</v>
      </c>
      <c r="Q2" t="s">
        <v>212</v>
      </c>
    </row>
    <row r="3" spans="1:17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v>30</v>
      </c>
      <c r="G3" s="2" t="s">
        <v>17</v>
      </c>
      <c r="H3" s="17">
        <v>599000</v>
      </c>
      <c r="I3" s="18">
        <v>399900</v>
      </c>
      <c r="J3" s="17">
        <v>399900</v>
      </c>
      <c r="K3" s="17">
        <v>399900</v>
      </c>
      <c r="L3" s="6">
        <v>200</v>
      </c>
      <c r="M3" s="6">
        <v>79980000</v>
      </c>
      <c r="N3" s="17">
        <v>77404909.090909079</v>
      </c>
      <c r="O3" s="17">
        <v>73534663.636363626</v>
      </c>
      <c r="P3" t="s">
        <v>213</v>
      </c>
      <c r="Q3" t="s">
        <v>214</v>
      </c>
    </row>
    <row r="4" spans="1:17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v>30</v>
      </c>
      <c r="G4" s="2" t="s">
        <v>18</v>
      </c>
      <c r="H4" s="17">
        <v>249900</v>
      </c>
      <c r="I4" s="18">
        <v>219900</v>
      </c>
      <c r="J4" s="17">
        <v>199900</v>
      </c>
      <c r="K4" s="17">
        <v>219900</v>
      </c>
      <c r="L4" s="6">
        <v>0</v>
      </c>
      <c r="M4" s="6">
        <v>0</v>
      </c>
      <c r="N4" s="17">
        <v>0</v>
      </c>
      <c r="O4" s="17">
        <v>0</v>
      </c>
      <c r="P4" t="s">
        <v>215</v>
      </c>
      <c r="Q4" t="s">
        <v>216</v>
      </c>
    </row>
    <row r="5" spans="1:17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v>30</v>
      </c>
      <c r="G5" s="2" t="s">
        <v>19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">
        <v>215</v>
      </c>
      <c r="Q5" t="s">
        <v>216</v>
      </c>
    </row>
    <row r="6" spans="1:17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v>30</v>
      </c>
      <c r="G6" s="2" t="s">
        <v>20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">
        <v>215</v>
      </c>
      <c r="Q6" t="s">
        <v>216</v>
      </c>
    </row>
    <row r="7" spans="1:17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v>30</v>
      </c>
      <c r="G7" s="2" t="s">
        <v>21</v>
      </c>
      <c r="H7" s="17">
        <v>449900</v>
      </c>
      <c r="I7" s="18">
        <v>379900</v>
      </c>
      <c r="J7" s="17">
        <v>349900</v>
      </c>
      <c r="K7" s="17">
        <v>379900</v>
      </c>
      <c r="L7" s="6">
        <v>0</v>
      </c>
      <c r="M7" s="6">
        <v>0</v>
      </c>
      <c r="N7" s="17">
        <v>0</v>
      </c>
      <c r="O7" s="17">
        <v>0</v>
      </c>
      <c r="P7" t="s">
        <v>211</v>
      </c>
      <c r="Q7" t="s">
        <v>217</v>
      </c>
    </row>
    <row r="8" spans="1:17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v>30</v>
      </c>
      <c r="G8" s="2" t="s">
        <v>22</v>
      </c>
      <c r="H8" s="17">
        <v>299900</v>
      </c>
      <c r="I8" s="18">
        <v>279900</v>
      </c>
      <c r="J8" s="17">
        <v>249900</v>
      </c>
      <c r="K8" s="17">
        <v>279900</v>
      </c>
      <c r="L8" s="6">
        <v>60</v>
      </c>
      <c r="M8" s="6">
        <v>16794000</v>
      </c>
      <c r="N8" s="17">
        <v>11908472.727272727</v>
      </c>
      <c r="O8" s="17">
        <v>11313049.09090909</v>
      </c>
      <c r="P8" t="s">
        <v>218</v>
      </c>
      <c r="Q8" t="s">
        <v>219</v>
      </c>
    </row>
    <row r="9" spans="1:17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v>30</v>
      </c>
      <c r="G9" s="2" t="s">
        <v>23</v>
      </c>
      <c r="H9" s="17">
        <v>899000</v>
      </c>
      <c r="I9" s="18">
        <v>849000</v>
      </c>
      <c r="J9" s="17">
        <v>799000</v>
      </c>
      <c r="K9" s="17">
        <v>849000</v>
      </c>
      <c r="L9" s="6">
        <v>150</v>
      </c>
      <c r="M9" s="6">
        <v>127350000</v>
      </c>
      <c r="N9" s="17">
        <v>90302727.272727266</v>
      </c>
      <c r="O9" s="17">
        <v>85787590.909090906</v>
      </c>
      <c r="P9" t="s">
        <v>213</v>
      </c>
      <c r="Q9" t="s">
        <v>220</v>
      </c>
    </row>
    <row r="10" spans="1:17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v>30</v>
      </c>
      <c r="G10" s="2" t="s">
        <v>24</v>
      </c>
      <c r="H10" s="17">
        <v>949000</v>
      </c>
      <c r="I10" s="18">
        <v>879000</v>
      </c>
      <c r="J10" s="17">
        <v>849000</v>
      </c>
      <c r="K10" s="17">
        <v>879000</v>
      </c>
      <c r="L10" s="6">
        <v>0</v>
      </c>
      <c r="M10" s="6">
        <v>0</v>
      </c>
      <c r="N10" s="17">
        <v>0</v>
      </c>
      <c r="O10" s="17">
        <v>0</v>
      </c>
      <c r="P10" t="s">
        <v>213</v>
      </c>
      <c r="Q10" t="s">
        <v>220</v>
      </c>
    </row>
    <row r="11" spans="1:17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v>30</v>
      </c>
      <c r="G11" s="2" t="s">
        <v>25</v>
      </c>
      <c r="H11" s="17">
        <v>899000</v>
      </c>
      <c r="I11" s="18">
        <v>779000</v>
      </c>
      <c r="J11" s="17">
        <v>779000</v>
      </c>
      <c r="K11" s="17">
        <v>779000</v>
      </c>
      <c r="L11" s="6">
        <v>0</v>
      </c>
      <c r="M11" s="6">
        <v>0</v>
      </c>
      <c r="N11" s="17">
        <v>0</v>
      </c>
      <c r="O11" s="17">
        <v>0</v>
      </c>
      <c r="P11" t="s">
        <v>213</v>
      </c>
      <c r="Q11" t="s">
        <v>221</v>
      </c>
    </row>
    <row r="12" spans="1:17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v>30</v>
      </c>
      <c r="G12" s="2" t="s">
        <v>26</v>
      </c>
      <c r="H12" s="17">
        <v>899000</v>
      </c>
      <c r="I12" s="18">
        <v>849000</v>
      </c>
      <c r="J12" s="17">
        <v>799000</v>
      </c>
      <c r="K12" s="17">
        <v>849000</v>
      </c>
      <c r="L12" s="6">
        <v>500</v>
      </c>
      <c r="M12" s="6">
        <v>424500000</v>
      </c>
      <c r="N12" s="17">
        <v>318736363.63636357</v>
      </c>
      <c r="O12" s="17">
        <v>302799545.45454538</v>
      </c>
      <c r="P12" t="s">
        <v>213</v>
      </c>
      <c r="Q12" t="s">
        <v>221</v>
      </c>
    </row>
    <row r="13" spans="1:17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v>30</v>
      </c>
      <c r="G13" s="2" t="s">
        <v>27</v>
      </c>
      <c r="H13" s="17">
        <v>329900</v>
      </c>
      <c r="I13" s="18">
        <v>299900</v>
      </c>
      <c r="J13" s="17">
        <v>279900</v>
      </c>
      <c r="K13" s="17">
        <v>299900</v>
      </c>
      <c r="L13" s="6">
        <v>100</v>
      </c>
      <c r="M13" s="6">
        <v>29990000</v>
      </c>
      <c r="N13" s="17">
        <v>23392909.09090909</v>
      </c>
      <c r="O13" s="17">
        <v>22223263.636363637</v>
      </c>
      <c r="P13" t="s">
        <v>211</v>
      </c>
      <c r="Q13" t="s">
        <v>212</v>
      </c>
    </row>
    <row r="14" spans="1:17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v>30</v>
      </c>
      <c r="G14" s="2" t="s">
        <v>28</v>
      </c>
      <c r="H14" s="17">
        <v>299900</v>
      </c>
      <c r="I14" s="18">
        <v>199900</v>
      </c>
      <c r="J14" s="17">
        <v>199900</v>
      </c>
      <c r="K14" s="17">
        <v>199900</v>
      </c>
      <c r="L14" s="6">
        <v>125</v>
      </c>
      <c r="M14" s="6">
        <v>24987500</v>
      </c>
      <c r="N14" s="17">
        <v>17718409.09090909</v>
      </c>
      <c r="O14" s="17">
        <v>16832488.636363637</v>
      </c>
      <c r="P14" t="s">
        <v>213</v>
      </c>
      <c r="Q14" t="s">
        <v>222</v>
      </c>
    </row>
    <row r="15" spans="1:17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v>30</v>
      </c>
      <c r="G15" s="2" t="s">
        <v>29</v>
      </c>
      <c r="H15" s="17">
        <v>349900</v>
      </c>
      <c r="I15" s="18">
        <v>299900</v>
      </c>
      <c r="J15" s="17">
        <v>279900</v>
      </c>
      <c r="K15" s="17">
        <v>299900</v>
      </c>
      <c r="L15" s="6">
        <v>0</v>
      </c>
      <c r="M15" s="6">
        <v>0</v>
      </c>
      <c r="N15" s="17">
        <v>0</v>
      </c>
      <c r="O15" s="17">
        <v>0</v>
      </c>
      <c r="P15" t="s">
        <v>215</v>
      </c>
      <c r="Q15" t="s">
        <v>223</v>
      </c>
    </row>
    <row r="16" spans="1:17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v>30</v>
      </c>
      <c r="G16" s="2" t="s">
        <v>30</v>
      </c>
      <c r="H16" s="17">
        <v>299900</v>
      </c>
      <c r="I16" s="18">
        <v>279900</v>
      </c>
      <c r="J16" s="17">
        <v>249900</v>
      </c>
      <c r="K16" s="17">
        <v>279900</v>
      </c>
      <c r="L16" s="6">
        <v>0</v>
      </c>
      <c r="M16" s="6">
        <v>0</v>
      </c>
      <c r="N16" s="17">
        <v>0</v>
      </c>
      <c r="O16" s="17">
        <v>0</v>
      </c>
      <c r="P16" t="s">
        <v>213</v>
      </c>
      <c r="Q16" t="s">
        <v>230</v>
      </c>
    </row>
    <row r="17" spans="1:17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v>30</v>
      </c>
      <c r="G17" s="2" t="s">
        <v>31</v>
      </c>
      <c r="H17" s="17">
        <v>849000</v>
      </c>
      <c r="I17" s="18">
        <v>749000</v>
      </c>
      <c r="J17" s="17">
        <v>699000</v>
      </c>
      <c r="K17" s="17">
        <v>749000</v>
      </c>
      <c r="L17" s="6">
        <v>500</v>
      </c>
      <c r="M17" s="6">
        <v>374500000</v>
      </c>
      <c r="N17" s="17">
        <v>265554545.45454541</v>
      </c>
      <c r="O17" s="17">
        <v>252276818.18181813</v>
      </c>
      <c r="P17" t="s">
        <v>213</v>
      </c>
      <c r="Q17" t="s">
        <v>221</v>
      </c>
    </row>
    <row r="18" spans="1:17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v>30</v>
      </c>
      <c r="G18" s="2" t="s">
        <v>32</v>
      </c>
      <c r="H18" s="17">
        <v>349900</v>
      </c>
      <c r="I18" s="18">
        <v>299900</v>
      </c>
      <c r="J18" s="17">
        <v>269900</v>
      </c>
      <c r="K18" s="17">
        <v>299900</v>
      </c>
      <c r="L18" s="6">
        <v>500</v>
      </c>
      <c r="M18" s="6">
        <v>149950000</v>
      </c>
      <c r="N18" s="17">
        <v>124055454.54545453</v>
      </c>
      <c r="O18" s="17">
        <v>117852681.81818181</v>
      </c>
      <c r="P18" t="s">
        <v>211</v>
      </c>
      <c r="Q18" t="s">
        <v>224</v>
      </c>
    </row>
    <row r="19" spans="1:17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v>30</v>
      </c>
      <c r="G19" s="2" t="s">
        <v>33</v>
      </c>
      <c r="H19" s="17">
        <v>399900</v>
      </c>
      <c r="I19" s="18">
        <v>349900</v>
      </c>
      <c r="J19" s="17">
        <v>299900</v>
      </c>
      <c r="K19" s="17">
        <v>349900</v>
      </c>
      <c r="L19" s="6">
        <v>0</v>
      </c>
      <c r="M19" s="6">
        <v>0</v>
      </c>
      <c r="N19" s="17">
        <v>0</v>
      </c>
      <c r="O19" s="17">
        <v>0</v>
      </c>
      <c r="P19" t="s">
        <v>225</v>
      </c>
      <c r="Q19" t="s">
        <v>226</v>
      </c>
    </row>
    <row r="20" spans="1:17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v>30</v>
      </c>
      <c r="G20" s="2" t="s">
        <v>34</v>
      </c>
      <c r="H20" s="17">
        <v>249900</v>
      </c>
      <c r="I20" s="18">
        <v>229900</v>
      </c>
      <c r="J20" s="17">
        <v>199900</v>
      </c>
      <c r="K20" s="17">
        <v>229900</v>
      </c>
      <c r="L20" s="6">
        <v>0</v>
      </c>
      <c r="M20" s="6">
        <v>0</v>
      </c>
      <c r="N20" s="17">
        <v>0</v>
      </c>
      <c r="O20" s="17">
        <v>0</v>
      </c>
      <c r="P20" t="s">
        <v>211</v>
      </c>
      <c r="Q20" t="s">
        <v>231</v>
      </c>
    </row>
    <row r="21" spans="1:17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v>30</v>
      </c>
      <c r="G21" s="2" t="s">
        <v>35</v>
      </c>
      <c r="H21" s="17">
        <v>749000</v>
      </c>
      <c r="I21" s="18">
        <v>599000</v>
      </c>
      <c r="J21" s="17">
        <v>549000</v>
      </c>
      <c r="K21" s="17">
        <v>599000</v>
      </c>
      <c r="L21" s="6">
        <v>30</v>
      </c>
      <c r="M21" s="6">
        <v>17970000</v>
      </c>
      <c r="N21" s="17">
        <v>15933272.727272725</v>
      </c>
      <c r="O21" s="17">
        <v>15136609.090909088</v>
      </c>
      <c r="P21" t="s">
        <v>213</v>
      </c>
      <c r="Q21" t="s">
        <v>221</v>
      </c>
    </row>
    <row r="22" spans="1:17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v>30</v>
      </c>
      <c r="G22" s="2" t="s">
        <v>36</v>
      </c>
      <c r="H22" s="17">
        <v>469900</v>
      </c>
      <c r="I22" s="18">
        <v>399900</v>
      </c>
      <c r="J22" s="17">
        <v>389900</v>
      </c>
      <c r="K22" s="17">
        <v>399900</v>
      </c>
      <c r="L22" s="6">
        <v>150</v>
      </c>
      <c r="M22" s="6">
        <v>59985000</v>
      </c>
      <c r="N22" s="17">
        <v>42534818.18181818</v>
      </c>
      <c r="O22" s="17">
        <v>40408077.272727273</v>
      </c>
      <c r="P22" t="s">
        <v>213</v>
      </c>
      <c r="Q22" t="s">
        <v>222</v>
      </c>
    </row>
    <row r="23" spans="1:17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v>30</v>
      </c>
      <c r="G23" s="2" t="s">
        <v>37</v>
      </c>
      <c r="H23" s="17">
        <v>229900</v>
      </c>
      <c r="I23" s="18">
        <v>199900</v>
      </c>
      <c r="J23" s="17">
        <v>179900</v>
      </c>
      <c r="K23" s="17">
        <v>199900</v>
      </c>
      <c r="L23" s="6">
        <v>50</v>
      </c>
      <c r="M23" s="6">
        <v>9995000</v>
      </c>
      <c r="N23" s="17">
        <v>8151000</v>
      </c>
      <c r="O23" s="17">
        <v>7743450</v>
      </c>
      <c r="P23" t="s">
        <v>215</v>
      </c>
      <c r="Q23" t="s">
        <v>223</v>
      </c>
    </row>
    <row r="24" spans="1:17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v>30</v>
      </c>
      <c r="G24" s="2" t="s">
        <v>38</v>
      </c>
      <c r="H24" s="17">
        <v>429900</v>
      </c>
      <c r="I24" s="18">
        <v>399900</v>
      </c>
      <c r="J24" s="17">
        <v>349900</v>
      </c>
      <c r="K24" s="17">
        <v>399900</v>
      </c>
      <c r="L24" s="6">
        <v>354</v>
      </c>
      <c r="M24" s="6">
        <v>141564600</v>
      </c>
      <c r="N24" s="17">
        <v>107912716.36363634</v>
      </c>
      <c r="O24" s="17">
        <v>102517080.54545453</v>
      </c>
      <c r="P24" t="s">
        <v>215</v>
      </c>
      <c r="Q24" t="s">
        <v>227</v>
      </c>
    </row>
    <row r="25" spans="1:17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v>30</v>
      </c>
      <c r="G25" s="2" t="s">
        <v>39</v>
      </c>
      <c r="H25" s="17">
        <v>249900</v>
      </c>
      <c r="I25" s="18">
        <v>199900</v>
      </c>
      <c r="J25" s="17">
        <v>189900</v>
      </c>
      <c r="K25" s="17">
        <v>199900</v>
      </c>
      <c r="L25" s="6">
        <v>350</v>
      </c>
      <c r="M25" s="6">
        <v>69965000</v>
      </c>
      <c r="N25" s="17">
        <v>49611545.454545446</v>
      </c>
      <c r="O25" s="17">
        <v>47130968.181818172</v>
      </c>
      <c r="P25" t="s">
        <v>211</v>
      </c>
      <c r="Q25" t="s">
        <v>212</v>
      </c>
    </row>
    <row r="26" spans="1:17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v>30</v>
      </c>
      <c r="G26" s="2" t="s">
        <v>40</v>
      </c>
      <c r="H26" s="17">
        <v>349900</v>
      </c>
      <c r="I26" s="18">
        <v>319900</v>
      </c>
      <c r="J26" s="17">
        <v>299900</v>
      </c>
      <c r="K26" s="17">
        <v>319900</v>
      </c>
      <c r="L26" s="6">
        <v>33</v>
      </c>
      <c r="M26" s="6">
        <v>10556700</v>
      </c>
      <c r="N26" s="17">
        <v>7485659.9999999991</v>
      </c>
      <c r="O26" s="17">
        <v>7111376.9999999991</v>
      </c>
      <c r="P26" t="s">
        <v>211</v>
      </c>
      <c r="Q26" t="s">
        <v>228</v>
      </c>
    </row>
    <row r="27" spans="1:17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v>30</v>
      </c>
      <c r="G27" s="2" t="s">
        <v>41</v>
      </c>
      <c r="H27" s="17">
        <v>299900</v>
      </c>
      <c r="I27" s="18">
        <v>269900</v>
      </c>
      <c r="J27" s="17">
        <v>249900</v>
      </c>
      <c r="K27" s="17">
        <v>269900</v>
      </c>
      <c r="L27" s="6">
        <v>100</v>
      </c>
      <c r="M27" s="6">
        <v>26990000</v>
      </c>
      <c r="N27" s="17">
        <v>21265636.363636363</v>
      </c>
      <c r="O27" s="17">
        <v>20202354.545454547</v>
      </c>
      <c r="P27" t="s">
        <v>225</v>
      </c>
      <c r="Q27" t="s">
        <v>226</v>
      </c>
    </row>
    <row r="28" spans="1:17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v>30</v>
      </c>
      <c r="G28" s="2" t="s">
        <v>42</v>
      </c>
      <c r="H28" s="17">
        <v>399900</v>
      </c>
      <c r="I28" s="18">
        <v>349900</v>
      </c>
      <c r="J28" s="17">
        <v>299900</v>
      </c>
      <c r="K28" s="17">
        <v>349900</v>
      </c>
      <c r="L28" s="6">
        <v>0</v>
      </c>
      <c r="M28" s="6">
        <v>0</v>
      </c>
      <c r="N28" s="17">
        <v>0</v>
      </c>
      <c r="O28" s="17">
        <v>0</v>
      </c>
      <c r="P28" t="s">
        <v>225</v>
      </c>
      <c r="Q28" t="s">
        <v>226</v>
      </c>
    </row>
    <row r="29" spans="1:17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v>30</v>
      </c>
      <c r="G29" s="2" t="s">
        <v>43</v>
      </c>
      <c r="H29" s="17">
        <v>849000</v>
      </c>
      <c r="I29" s="18">
        <v>749000</v>
      </c>
      <c r="J29" s="17">
        <v>699000</v>
      </c>
      <c r="K29" s="17">
        <v>749000</v>
      </c>
      <c r="L29" s="6">
        <v>0</v>
      </c>
      <c r="M29" s="6">
        <v>0</v>
      </c>
      <c r="N29" s="17">
        <v>0</v>
      </c>
      <c r="O29" s="17">
        <v>0</v>
      </c>
      <c r="P29" t="s">
        <v>213</v>
      </c>
      <c r="Q29" t="s">
        <v>221</v>
      </c>
    </row>
    <row r="30" spans="1:17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v>30</v>
      </c>
      <c r="G30" s="2" t="s">
        <v>44</v>
      </c>
      <c r="H30" s="17">
        <v>279900</v>
      </c>
      <c r="I30" s="18">
        <v>249900</v>
      </c>
      <c r="J30" s="17">
        <v>199900</v>
      </c>
      <c r="K30" s="17">
        <v>249900</v>
      </c>
      <c r="L30" s="6">
        <v>0</v>
      </c>
      <c r="M30" s="6">
        <v>0</v>
      </c>
      <c r="N30" s="17">
        <v>0</v>
      </c>
      <c r="O30" s="17">
        <v>0</v>
      </c>
      <c r="P30" t="s">
        <v>218</v>
      </c>
      <c r="Q30" t="s">
        <v>235</v>
      </c>
    </row>
    <row r="31" spans="1:17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v>30</v>
      </c>
      <c r="G31" s="2" t="s">
        <v>45</v>
      </c>
      <c r="H31" s="17">
        <v>299900</v>
      </c>
      <c r="I31" s="18">
        <v>279900</v>
      </c>
      <c r="J31" s="17">
        <v>249900</v>
      </c>
      <c r="K31" s="17">
        <v>279900</v>
      </c>
      <c r="L31" s="6">
        <v>35</v>
      </c>
      <c r="M31" s="6">
        <v>9796500</v>
      </c>
      <c r="N31" s="17">
        <v>6946609.0909090908</v>
      </c>
      <c r="O31" s="17">
        <v>6599278.6363636367</v>
      </c>
      <c r="P31" t="s">
        <v>218</v>
      </c>
      <c r="Q31" t="s">
        <v>219</v>
      </c>
    </row>
    <row r="32" spans="1:17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v>30</v>
      </c>
      <c r="G32" s="2" t="s">
        <v>46</v>
      </c>
      <c r="H32" s="17" t="s">
        <v>47</v>
      </c>
      <c r="I32" s="18">
        <v>499000</v>
      </c>
      <c r="J32" s="17">
        <v>499000</v>
      </c>
      <c r="K32" s="17">
        <v>499000</v>
      </c>
      <c r="L32" s="6">
        <v>0</v>
      </c>
      <c r="M32" s="6">
        <v>0</v>
      </c>
      <c r="N32" s="17">
        <v>0</v>
      </c>
      <c r="O32" s="17">
        <v>0</v>
      </c>
      <c r="P32" t="s">
        <v>213</v>
      </c>
      <c r="Q32" t="s">
        <v>220</v>
      </c>
    </row>
    <row r="33" spans="1:17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v>30</v>
      </c>
      <c r="G33" s="2" t="s">
        <v>48</v>
      </c>
      <c r="H33" s="17">
        <v>899000</v>
      </c>
      <c r="I33" s="18">
        <v>849000</v>
      </c>
      <c r="J33" s="17">
        <v>799000</v>
      </c>
      <c r="K33" s="17">
        <v>849000</v>
      </c>
      <c r="L33" s="6">
        <v>0</v>
      </c>
      <c r="M33" s="6">
        <v>0</v>
      </c>
      <c r="N33" s="17">
        <v>0</v>
      </c>
      <c r="O33" s="17">
        <v>0</v>
      </c>
      <c r="P33" t="s">
        <v>213</v>
      </c>
      <c r="Q33" t="s">
        <v>220</v>
      </c>
    </row>
    <row r="34" spans="1:17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v>30</v>
      </c>
      <c r="G34" s="2" t="s">
        <v>49</v>
      </c>
      <c r="H34" s="17">
        <v>119900</v>
      </c>
      <c r="I34" s="18">
        <v>109900</v>
      </c>
      <c r="J34" s="17">
        <v>99900</v>
      </c>
      <c r="K34" s="17">
        <v>109900</v>
      </c>
      <c r="L34" s="6">
        <v>30</v>
      </c>
      <c r="M34" s="6">
        <v>3297000</v>
      </c>
      <c r="N34" s="17">
        <v>2337872.7272727271</v>
      </c>
      <c r="O34" s="17">
        <v>2220979.0909090908</v>
      </c>
      <c r="P34" t="s">
        <v>211</v>
      </c>
      <c r="Q34" t="s">
        <v>229</v>
      </c>
    </row>
    <row r="35" spans="1:17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v>30</v>
      </c>
      <c r="G35" s="2" t="s">
        <v>50</v>
      </c>
      <c r="H35" s="17">
        <v>199900</v>
      </c>
      <c r="I35" s="18">
        <v>179900</v>
      </c>
      <c r="J35" s="17">
        <v>159900</v>
      </c>
      <c r="K35" s="17">
        <v>179900</v>
      </c>
      <c r="L35" s="6">
        <v>11</v>
      </c>
      <c r="M35" s="6">
        <v>1978900</v>
      </c>
      <c r="N35" s="17">
        <v>1403219.9999999998</v>
      </c>
      <c r="O35" s="17">
        <v>1333058.9999999998</v>
      </c>
      <c r="P35" t="s">
        <v>211</v>
      </c>
      <c r="Q35" t="s">
        <v>229</v>
      </c>
    </row>
    <row r="36" spans="1:17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v>30</v>
      </c>
      <c r="G36" s="2" t="s">
        <v>51</v>
      </c>
      <c r="H36" s="17">
        <v>249900</v>
      </c>
      <c r="I36" s="18">
        <v>229900</v>
      </c>
      <c r="J36" s="17">
        <v>199900</v>
      </c>
      <c r="K36" s="17">
        <v>229900</v>
      </c>
      <c r="L36" s="6">
        <v>0</v>
      </c>
      <c r="M36" s="6">
        <v>0</v>
      </c>
      <c r="N36" s="17">
        <v>0</v>
      </c>
      <c r="O36" s="17">
        <v>0</v>
      </c>
      <c r="P36" t="s">
        <v>211</v>
      </c>
      <c r="Q36" t="s">
        <v>231</v>
      </c>
    </row>
    <row r="37" spans="1:17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v>30</v>
      </c>
      <c r="G37" s="2" t="s">
        <v>52</v>
      </c>
      <c r="H37" s="17">
        <v>949000</v>
      </c>
      <c r="I37" s="18">
        <v>879000</v>
      </c>
      <c r="J37" s="17">
        <v>849000</v>
      </c>
      <c r="K37" s="17">
        <v>879000</v>
      </c>
      <c r="L37" s="6">
        <v>0</v>
      </c>
      <c r="M37" s="6">
        <v>0</v>
      </c>
      <c r="N37" s="17">
        <v>0</v>
      </c>
      <c r="O37" s="17">
        <v>0</v>
      </c>
      <c r="P37" t="s">
        <v>213</v>
      </c>
      <c r="Q37" t="s">
        <v>220</v>
      </c>
    </row>
    <row r="38" spans="1:17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v>30</v>
      </c>
      <c r="G38" s="2" t="s">
        <v>53</v>
      </c>
      <c r="H38" s="17">
        <v>549000</v>
      </c>
      <c r="I38" s="18">
        <v>399900</v>
      </c>
      <c r="J38" s="17">
        <v>379900</v>
      </c>
      <c r="K38" s="17">
        <v>399900</v>
      </c>
      <c r="L38" s="6">
        <v>0</v>
      </c>
      <c r="M38" s="6">
        <v>0</v>
      </c>
      <c r="N38" s="17">
        <v>0</v>
      </c>
      <c r="O38" s="17">
        <v>0</v>
      </c>
      <c r="P38" t="s">
        <v>213</v>
      </c>
      <c r="Q38" t="s">
        <v>214</v>
      </c>
    </row>
    <row r="39" spans="1:17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v>30</v>
      </c>
      <c r="G39" s="2" t="s">
        <v>54</v>
      </c>
      <c r="H39" s="17">
        <v>699000</v>
      </c>
      <c r="I39" s="18">
        <v>499000</v>
      </c>
      <c r="J39" s="17">
        <v>499000</v>
      </c>
      <c r="K39" s="17">
        <v>699000</v>
      </c>
      <c r="L39" s="6">
        <v>0</v>
      </c>
      <c r="M39" s="6">
        <v>0</v>
      </c>
      <c r="N39" s="17">
        <v>0</v>
      </c>
      <c r="O39" s="17">
        <v>0</v>
      </c>
      <c r="P39" t="s">
        <v>213</v>
      </c>
      <c r="Q39" t="s">
        <v>221</v>
      </c>
    </row>
    <row r="40" spans="1:17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v>30</v>
      </c>
      <c r="G40" s="2" t="s">
        <v>55</v>
      </c>
      <c r="H40" s="17">
        <v>699000</v>
      </c>
      <c r="I40" s="18">
        <v>519000</v>
      </c>
      <c r="J40" s="17">
        <v>519000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">
        <v>213</v>
      </c>
      <c r="Q40" t="s">
        <v>221</v>
      </c>
    </row>
    <row r="41" spans="1:17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v>30</v>
      </c>
      <c r="G41" s="2" t="s">
        <v>56</v>
      </c>
      <c r="H41" s="17">
        <v>949000</v>
      </c>
      <c r="I41" s="18">
        <v>879000</v>
      </c>
      <c r="J41" s="17">
        <v>849000</v>
      </c>
      <c r="K41" s="17">
        <v>879000</v>
      </c>
      <c r="L41" s="6">
        <v>0</v>
      </c>
      <c r="M41" s="6">
        <v>0</v>
      </c>
      <c r="N41" s="17">
        <v>0</v>
      </c>
      <c r="O41" s="17">
        <v>0</v>
      </c>
      <c r="P41" t="s">
        <v>213</v>
      </c>
      <c r="Q41" t="s">
        <v>221</v>
      </c>
    </row>
    <row r="42" spans="1:17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v>30</v>
      </c>
      <c r="G42" s="2" t="s">
        <v>57</v>
      </c>
      <c r="H42" s="17">
        <v>699000</v>
      </c>
      <c r="I42" s="18">
        <v>499000</v>
      </c>
      <c r="J42" s="17">
        <v>499000</v>
      </c>
      <c r="K42" s="17">
        <v>499000</v>
      </c>
      <c r="L42" s="6">
        <v>0</v>
      </c>
      <c r="M42" s="6">
        <v>0</v>
      </c>
      <c r="N42" s="17">
        <v>0</v>
      </c>
      <c r="O42" s="17">
        <v>0</v>
      </c>
      <c r="P42" t="s">
        <v>213</v>
      </c>
      <c r="Q42" t="s">
        <v>220</v>
      </c>
    </row>
    <row r="43" spans="1:17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v>30</v>
      </c>
      <c r="G43" s="2" t="s">
        <v>58</v>
      </c>
      <c r="H43" s="17">
        <v>799000</v>
      </c>
      <c r="I43" s="18">
        <v>699000</v>
      </c>
      <c r="J43" s="17">
        <v>649000</v>
      </c>
      <c r="K43" s="17">
        <v>699000</v>
      </c>
      <c r="L43" s="6">
        <v>0</v>
      </c>
      <c r="M43" s="6">
        <v>0</v>
      </c>
      <c r="N43" s="17">
        <v>0</v>
      </c>
      <c r="O43" s="17">
        <v>0</v>
      </c>
      <c r="P43" t="s">
        <v>213</v>
      </c>
      <c r="Q43" t="s">
        <v>220</v>
      </c>
    </row>
    <row r="44" spans="1:17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v>30</v>
      </c>
      <c r="G44" s="2" t="s">
        <v>59</v>
      </c>
      <c r="H44" s="17">
        <v>849000</v>
      </c>
      <c r="I44" s="18">
        <v>749000</v>
      </c>
      <c r="J44" s="17">
        <v>699000</v>
      </c>
      <c r="K44" s="17">
        <v>749000</v>
      </c>
      <c r="L44" s="6">
        <v>0</v>
      </c>
      <c r="M44" s="6">
        <v>0</v>
      </c>
      <c r="N44" s="17">
        <v>0</v>
      </c>
      <c r="O44" s="17">
        <v>0</v>
      </c>
      <c r="P44" t="s">
        <v>213</v>
      </c>
      <c r="Q44" t="s">
        <v>220</v>
      </c>
    </row>
    <row r="45" spans="1:17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v>30</v>
      </c>
      <c r="G45" s="2" t="s">
        <v>60</v>
      </c>
      <c r="H45" s="17">
        <v>799000</v>
      </c>
      <c r="I45" s="18">
        <v>599000</v>
      </c>
      <c r="J45" s="17">
        <v>599000</v>
      </c>
      <c r="K45" s="17">
        <v>599000</v>
      </c>
      <c r="L45" s="6">
        <v>0</v>
      </c>
      <c r="M45" s="6">
        <v>0</v>
      </c>
      <c r="N45" s="17">
        <v>0</v>
      </c>
      <c r="O45" s="17">
        <v>0</v>
      </c>
      <c r="P45" t="s">
        <v>213</v>
      </c>
      <c r="Q45" t="s">
        <v>214</v>
      </c>
    </row>
    <row r="46" spans="1:17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v>30</v>
      </c>
      <c r="G46" s="2" t="s">
        <v>61</v>
      </c>
      <c r="H46" s="17">
        <v>169900</v>
      </c>
      <c r="I46" s="18">
        <v>129900</v>
      </c>
      <c r="J46" s="17">
        <v>129900</v>
      </c>
      <c r="K46" s="17">
        <v>129900</v>
      </c>
      <c r="L46" s="6">
        <v>0</v>
      </c>
      <c r="M46" s="6">
        <v>0</v>
      </c>
      <c r="N46" s="17">
        <v>0</v>
      </c>
      <c r="O46" s="17">
        <v>0</v>
      </c>
      <c r="P46" t="s">
        <v>213</v>
      </c>
      <c r="Q46" t="s">
        <v>230</v>
      </c>
    </row>
    <row r="47" spans="1:17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v>30</v>
      </c>
      <c r="G47" s="2" t="s">
        <v>62</v>
      </c>
      <c r="H47" s="17">
        <v>349900</v>
      </c>
      <c r="I47" s="18">
        <v>299900</v>
      </c>
      <c r="J47" s="17">
        <v>279900</v>
      </c>
      <c r="K47" s="17">
        <v>299900</v>
      </c>
      <c r="L47" s="6">
        <v>0</v>
      </c>
      <c r="M47" s="6">
        <v>0</v>
      </c>
      <c r="N47" s="17">
        <v>0</v>
      </c>
      <c r="O47" s="17">
        <v>0</v>
      </c>
      <c r="P47" t="s">
        <v>213</v>
      </c>
      <c r="Q47" t="s">
        <v>230</v>
      </c>
    </row>
    <row r="48" spans="1:17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v>30</v>
      </c>
      <c r="G48" s="2" t="s">
        <v>63</v>
      </c>
      <c r="H48" s="17">
        <v>299900</v>
      </c>
      <c r="I48" s="18">
        <v>279900</v>
      </c>
      <c r="J48" s="17">
        <v>249900</v>
      </c>
      <c r="K48" s="17">
        <v>279900</v>
      </c>
      <c r="L48" s="6">
        <v>0</v>
      </c>
      <c r="M48" s="6">
        <v>0</v>
      </c>
      <c r="N48" s="17">
        <v>0</v>
      </c>
      <c r="O48" s="17">
        <v>0</v>
      </c>
      <c r="P48" t="s">
        <v>213</v>
      </c>
      <c r="Q48" t="s">
        <v>230</v>
      </c>
    </row>
    <row r="49" spans="1:17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v>30</v>
      </c>
      <c r="G49" s="2" t="s">
        <v>64</v>
      </c>
      <c r="H49" s="17">
        <v>599000</v>
      </c>
      <c r="I49" s="18">
        <v>549000</v>
      </c>
      <c r="J49" s="17">
        <v>499000</v>
      </c>
      <c r="K49" s="17">
        <v>549000</v>
      </c>
      <c r="L49" s="6">
        <v>0</v>
      </c>
      <c r="M49" s="6">
        <v>0</v>
      </c>
      <c r="N49" s="17">
        <v>0</v>
      </c>
      <c r="O49" s="17">
        <v>0</v>
      </c>
      <c r="P49" t="s">
        <v>213</v>
      </c>
      <c r="Q49" t="s">
        <v>221</v>
      </c>
    </row>
    <row r="50" spans="1:17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v>30</v>
      </c>
      <c r="G50" s="2" t="s">
        <v>65</v>
      </c>
      <c r="H50" s="17">
        <v>249900</v>
      </c>
      <c r="I50" s="18">
        <v>229900</v>
      </c>
      <c r="J50" s="17">
        <v>199900</v>
      </c>
      <c r="K50" s="17">
        <v>229900</v>
      </c>
      <c r="L50" s="6">
        <v>0</v>
      </c>
      <c r="M50" s="6">
        <v>0</v>
      </c>
      <c r="N50" s="17">
        <v>0</v>
      </c>
      <c r="O50" s="17">
        <v>0</v>
      </c>
      <c r="P50" t="s">
        <v>211</v>
      </c>
      <c r="Q50" t="s">
        <v>231</v>
      </c>
    </row>
    <row r="51" spans="1:17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v>30</v>
      </c>
      <c r="G51" s="2" t="s">
        <v>66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">
        <v>211</v>
      </c>
      <c r="Q51" t="s">
        <v>231</v>
      </c>
    </row>
    <row r="52" spans="1:17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v>30</v>
      </c>
      <c r="G52" s="2" t="s">
        <v>67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">
        <v>211</v>
      </c>
      <c r="Q52" t="s">
        <v>231</v>
      </c>
    </row>
    <row r="53" spans="1:17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v>30</v>
      </c>
      <c r="G53" s="2" t="s">
        <v>68</v>
      </c>
      <c r="H53" s="17" t="s">
        <v>47</v>
      </c>
      <c r="I53" s="18">
        <v>169900</v>
      </c>
      <c r="J53" s="17">
        <v>149900</v>
      </c>
      <c r="K53" s="17">
        <v>169900</v>
      </c>
      <c r="L53" s="6">
        <v>500</v>
      </c>
      <c r="M53" s="6">
        <v>84950000</v>
      </c>
      <c r="N53" s="17">
        <v>70873636.36363636</v>
      </c>
      <c r="O53" s="17">
        <v>67329954.545454547</v>
      </c>
      <c r="P53" t="s">
        <v>211</v>
      </c>
      <c r="Q53" t="s">
        <v>212</v>
      </c>
    </row>
    <row r="54" spans="1:17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v>30</v>
      </c>
      <c r="G54" s="2" t="s">
        <v>69</v>
      </c>
      <c r="H54" s="17" t="s">
        <v>47</v>
      </c>
      <c r="I54" s="18">
        <v>219900</v>
      </c>
      <c r="J54" s="17">
        <v>199900</v>
      </c>
      <c r="K54" s="17">
        <v>219900</v>
      </c>
      <c r="L54" s="6">
        <v>0</v>
      </c>
      <c r="M54" s="6">
        <v>0</v>
      </c>
      <c r="N54" s="17">
        <v>0</v>
      </c>
      <c r="O54" s="17">
        <v>0</v>
      </c>
      <c r="P54" t="s">
        <v>211</v>
      </c>
      <c r="Q54" t="s">
        <v>212</v>
      </c>
    </row>
    <row r="55" spans="1:17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v>30</v>
      </c>
      <c r="G55" s="2" t="s">
        <v>70</v>
      </c>
      <c r="H55" s="17" t="s">
        <v>47</v>
      </c>
      <c r="I55" s="18">
        <v>224900</v>
      </c>
      <c r="J55" s="17">
        <v>199900</v>
      </c>
      <c r="K55" s="17">
        <v>224900</v>
      </c>
      <c r="L55" s="6">
        <v>-1</v>
      </c>
      <c r="M55" s="6">
        <v>-224900</v>
      </c>
      <c r="N55" s="17">
        <v>-159474.54545454544</v>
      </c>
      <c r="O55" s="17">
        <v>-151500.81818181818</v>
      </c>
      <c r="P55" t="s">
        <v>211</v>
      </c>
      <c r="Q55" t="s">
        <v>212</v>
      </c>
    </row>
    <row r="56" spans="1:17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v>30</v>
      </c>
      <c r="G56" s="2" t="s">
        <v>71</v>
      </c>
      <c r="H56" s="17" t="s">
        <v>47</v>
      </c>
      <c r="I56" s="18">
        <v>249900</v>
      </c>
      <c r="J56" s="17">
        <v>229900</v>
      </c>
      <c r="K56" s="17">
        <v>249900</v>
      </c>
      <c r="L56" s="6">
        <v>50</v>
      </c>
      <c r="M56" s="6">
        <v>12495000</v>
      </c>
      <c r="N56" s="17">
        <v>10632818.181818182</v>
      </c>
      <c r="O56" s="17">
        <v>10101177.272727273</v>
      </c>
      <c r="P56" t="s">
        <v>211</v>
      </c>
      <c r="Q56" t="s">
        <v>212</v>
      </c>
    </row>
    <row r="57" spans="1:17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v>30</v>
      </c>
      <c r="G57" s="2" t="s">
        <v>72</v>
      </c>
      <c r="H57" s="17" t="s">
        <v>47</v>
      </c>
      <c r="I57" s="18">
        <v>289900</v>
      </c>
      <c r="J57" s="17">
        <v>249900</v>
      </c>
      <c r="K57" s="17">
        <v>289900</v>
      </c>
      <c r="L57" s="6">
        <v>0</v>
      </c>
      <c r="M57" s="6">
        <v>0</v>
      </c>
      <c r="N57" s="17">
        <v>0</v>
      </c>
      <c r="O57" s="17">
        <v>0</v>
      </c>
      <c r="P57" t="s">
        <v>211</v>
      </c>
      <c r="Q57" t="s">
        <v>232</v>
      </c>
    </row>
    <row r="58" spans="1:17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v>30</v>
      </c>
      <c r="G58" s="2" t="s">
        <v>73</v>
      </c>
      <c r="H58" s="17">
        <v>139900</v>
      </c>
      <c r="I58" s="18">
        <v>129900</v>
      </c>
      <c r="J58" s="17">
        <v>119900</v>
      </c>
      <c r="K58" s="17">
        <v>129900</v>
      </c>
      <c r="L58" s="6">
        <v>0</v>
      </c>
      <c r="M58" s="6">
        <v>0</v>
      </c>
      <c r="N58" s="17">
        <v>0</v>
      </c>
      <c r="O58" s="17">
        <v>0</v>
      </c>
      <c r="P58" t="s">
        <v>211</v>
      </c>
      <c r="Q58" t="s">
        <v>229</v>
      </c>
    </row>
    <row r="59" spans="1:17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v>30</v>
      </c>
      <c r="G59" s="2" t="s">
        <v>74</v>
      </c>
      <c r="H59" s="17">
        <v>229900</v>
      </c>
      <c r="I59" s="18">
        <v>189900</v>
      </c>
      <c r="J59" s="17">
        <v>189900</v>
      </c>
      <c r="K59" s="17">
        <v>189900</v>
      </c>
      <c r="L59" s="6">
        <v>0</v>
      </c>
      <c r="M59" s="6">
        <v>0</v>
      </c>
      <c r="N59" s="17">
        <v>0</v>
      </c>
      <c r="O59" s="17">
        <v>0</v>
      </c>
      <c r="P59" t="s">
        <v>215</v>
      </c>
      <c r="Q59" t="s">
        <v>216</v>
      </c>
    </row>
    <row r="60" spans="1:17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v>30</v>
      </c>
      <c r="G60" s="2" t="s">
        <v>75</v>
      </c>
      <c r="H60" s="17">
        <v>249900</v>
      </c>
      <c r="I60" s="18">
        <v>219900</v>
      </c>
      <c r="J60" s="17">
        <v>199900</v>
      </c>
      <c r="K60" s="17">
        <v>219900</v>
      </c>
      <c r="L60" s="6">
        <v>0</v>
      </c>
      <c r="M60" s="6">
        <v>0</v>
      </c>
      <c r="N60" s="17">
        <v>0</v>
      </c>
      <c r="O60" s="17">
        <v>0</v>
      </c>
      <c r="P60" t="s">
        <v>215</v>
      </c>
      <c r="Q60" t="s">
        <v>216</v>
      </c>
    </row>
    <row r="61" spans="1:17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v>30</v>
      </c>
      <c r="G61" s="2" t="s">
        <v>76</v>
      </c>
      <c r="H61" s="17">
        <v>249900</v>
      </c>
      <c r="I61" s="18">
        <v>209900</v>
      </c>
      <c r="J61" s="17">
        <v>189900</v>
      </c>
      <c r="K61" s="17">
        <v>209900</v>
      </c>
      <c r="L61" s="6">
        <v>0</v>
      </c>
      <c r="M61" s="6">
        <v>0</v>
      </c>
      <c r="N61" s="17">
        <v>0</v>
      </c>
      <c r="O61" s="17">
        <v>0</v>
      </c>
      <c r="P61" t="s">
        <v>215</v>
      </c>
      <c r="Q61" t="s">
        <v>216</v>
      </c>
    </row>
    <row r="62" spans="1:17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v>30</v>
      </c>
      <c r="G62" s="2" t="s">
        <v>77</v>
      </c>
      <c r="H62" s="17">
        <v>199900</v>
      </c>
      <c r="I62" s="18">
        <v>179900</v>
      </c>
      <c r="J62" s="17">
        <v>159900</v>
      </c>
      <c r="K62" s="17">
        <v>179900</v>
      </c>
      <c r="L62" s="6">
        <v>0</v>
      </c>
      <c r="M62" s="6">
        <v>0</v>
      </c>
      <c r="N62" s="17">
        <v>0</v>
      </c>
      <c r="O62" s="17">
        <v>0</v>
      </c>
      <c r="P62" t="s">
        <v>215</v>
      </c>
      <c r="Q62" t="s">
        <v>234</v>
      </c>
    </row>
    <row r="63" spans="1:17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v>30</v>
      </c>
      <c r="G63" s="2" t="s">
        <v>78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">
        <v>215</v>
      </c>
      <c r="Q63" t="s">
        <v>234</v>
      </c>
    </row>
    <row r="64" spans="1:17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v>30</v>
      </c>
      <c r="G64" s="2" t="s">
        <v>79</v>
      </c>
      <c r="H64" s="17">
        <v>399900</v>
      </c>
      <c r="I64" s="18">
        <v>369900</v>
      </c>
      <c r="J64" s="17">
        <v>349900</v>
      </c>
      <c r="K64" s="17">
        <v>369900</v>
      </c>
      <c r="L64" s="6">
        <v>0</v>
      </c>
      <c r="M64" s="6">
        <v>0</v>
      </c>
      <c r="N64" s="17">
        <v>0</v>
      </c>
      <c r="O64" s="17">
        <v>0</v>
      </c>
      <c r="P64" t="s">
        <v>215</v>
      </c>
      <c r="Q64" t="s">
        <v>216</v>
      </c>
    </row>
    <row r="65" spans="1:17" x14ac:dyDescent="0.35">
      <c r="A65" t="str">
        <f>_xlfn.XLOOKUP(B65,Mapping!C:C,Mapping!D:D)</f>
        <v>Coupang</v>
      </c>
      <c r="B65" s="2" t="s">
        <v>14</v>
      </c>
      <c r="C65" s="2" t="s">
        <v>80</v>
      </c>
      <c r="D65" s="3">
        <v>46181</v>
      </c>
      <c r="E65" s="4">
        <v>46187</v>
      </c>
      <c r="F65" s="5">
        <v>7</v>
      </c>
      <c r="G65" s="2" t="s">
        <v>81</v>
      </c>
      <c r="H65" s="17">
        <v>119900</v>
      </c>
      <c r="I65" s="18">
        <v>99900</v>
      </c>
      <c r="J65" s="17">
        <v>84900</v>
      </c>
      <c r="K65" s="17">
        <v>76900</v>
      </c>
      <c r="L65" s="6">
        <v>0</v>
      </c>
      <c r="M65" s="6">
        <v>0</v>
      </c>
      <c r="N65" s="17">
        <v>0</v>
      </c>
      <c r="O65" s="17">
        <v>0</v>
      </c>
      <c r="P65" t="s">
        <v>211</v>
      </c>
      <c r="Q65" t="s">
        <v>231</v>
      </c>
    </row>
    <row r="66" spans="1:17" x14ac:dyDescent="0.35">
      <c r="A66" t="str">
        <f>_xlfn.XLOOKUP(B66,Mapping!C:C,Mapping!D:D)</f>
        <v>Coupang</v>
      </c>
      <c r="B66" s="2" t="s">
        <v>14</v>
      </c>
      <c r="C66" s="2" t="s">
        <v>80</v>
      </c>
      <c r="D66" s="3">
        <v>46181</v>
      </c>
      <c r="E66" s="4">
        <v>46187</v>
      </c>
      <c r="F66" s="5">
        <v>7</v>
      </c>
      <c r="G66" s="2" t="s">
        <v>82</v>
      </c>
      <c r="H66" s="17">
        <v>149900</v>
      </c>
      <c r="I66" s="18">
        <v>139900</v>
      </c>
      <c r="J66" s="17">
        <v>109900</v>
      </c>
      <c r="K66" s="17">
        <v>119000</v>
      </c>
      <c r="L66" s="6">
        <v>0</v>
      </c>
      <c r="M66" s="6">
        <v>0</v>
      </c>
      <c r="N66" s="17">
        <v>0</v>
      </c>
      <c r="O66" s="17">
        <v>0</v>
      </c>
      <c r="P66" t="s">
        <v>211</v>
      </c>
      <c r="Q66" t="s">
        <v>231</v>
      </c>
    </row>
    <row r="67" spans="1:17" x14ac:dyDescent="0.35">
      <c r="A67" t="str">
        <f>_xlfn.XLOOKUP(B67,Mapping!C:C,Mapping!D:D)</f>
        <v>Coupang</v>
      </c>
      <c r="B67" s="2" t="s">
        <v>14</v>
      </c>
      <c r="C67" s="2" t="s">
        <v>80</v>
      </c>
      <c r="D67" s="3">
        <v>46181</v>
      </c>
      <c r="E67" s="4">
        <v>46187</v>
      </c>
      <c r="F67" s="5">
        <v>7</v>
      </c>
      <c r="G67" s="2" t="s">
        <v>83</v>
      </c>
      <c r="H67" s="17">
        <v>149900</v>
      </c>
      <c r="I67" s="18">
        <v>139900</v>
      </c>
      <c r="J67" s="17">
        <v>109900</v>
      </c>
      <c r="K67" s="17">
        <v>119000</v>
      </c>
      <c r="L67" s="6">
        <v>0</v>
      </c>
      <c r="M67" s="6">
        <v>0</v>
      </c>
      <c r="N67" s="17">
        <v>0</v>
      </c>
      <c r="O67" s="17">
        <v>0</v>
      </c>
      <c r="P67" t="s">
        <v>211</v>
      </c>
      <c r="Q67" t="s">
        <v>231</v>
      </c>
    </row>
    <row r="68" spans="1:17" x14ac:dyDescent="0.35">
      <c r="A68" t="str">
        <f>_xlfn.XLOOKUP(B68,Mapping!C:C,Mapping!D:D)</f>
        <v>Coupang</v>
      </c>
      <c r="B68" s="2" t="s">
        <v>14</v>
      </c>
      <c r="C68" s="2" t="s">
        <v>80</v>
      </c>
      <c r="D68" s="3">
        <v>46181</v>
      </c>
      <c r="E68" s="4">
        <v>46187</v>
      </c>
      <c r="F68" s="5">
        <v>7</v>
      </c>
      <c r="G68" s="2" t="s">
        <v>84</v>
      </c>
      <c r="H68" s="17">
        <v>169900</v>
      </c>
      <c r="I68" s="18">
        <v>149900</v>
      </c>
      <c r="J68" s="17">
        <v>129900</v>
      </c>
      <c r="K68" s="17">
        <v>119000</v>
      </c>
      <c r="L68" s="6">
        <v>400</v>
      </c>
      <c r="M68" s="6">
        <v>47600000</v>
      </c>
      <c r="N68" s="17">
        <v>42517090.909090906</v>
      </c>
      <c r="O68" s="17">
        <v>40391236.36363636</v>
      </c>
      <c r="P68" t="s">
        <v>211</v>
      </c>
      <c r="Q68" t="s">
        <v>212</v>
      </c>
    </row>
    <row r="69" spans="1:17" x14ac:dyDescent="0.35">
      <c r="A69" t="str">
        <f>_xlfn.XLOOKUP(B69,Mapping!C:C,Mapping!D:D)</f>
        <v>Coupang</v>
      </c>
      <c r="B69" s="2" t="s">
        <v>14</v>
      </c>
      <c r="C69" s="2" t="s">
        <v>80</v>
      </c>
      <c r="D69" s="3">
        <v>46181</v>
      </c>
      <c r="E69" s="4">
        <v>46187</v>
      </c>
      <c r="F69" s="5">
        <v>7</v>
      </c>
      <c r="G69" s="2" t="s">
        <v>85</v>
      </c>
      <c r="H69" s="17">
        <v>349900</v>
      </c>
      <c r="I69" s="18">
        <v>319900</v>
      </c>
      <c r="J69" s="17">
        <v>299900</v>
      </c>
      <c r="K69" s="17">
        <v>279000</v>
      </c>
      <c r="L69" s="6">
        <v>500</v>
      </c>
      <c r="M69" s="6">
        <v>139500000</v>
      </c>
      <c r="N69" s="17">
        <v>113419090.90909089</v>
      </c>
      <c r="O69" s="17">
        <v>107748136.36363634</v>
      </c>
      <c r="P69" t="s">
        <v>211</v>
      </c>
      <c r="Q69" t="s">
        <v>232</v>
      </c>
    </row>
    <row r="70" spans="1:17" x14ac:dyDescent="0.35">
      <c r="A70" t="str">
        <f>_xlfn.XLOOKUP(B70,Mapping!C:C,Mapping!D:D)</f>
        <v>Coupang</v>
      </c>
      <c r="B70" s="2" t="s">
        <v>14</v>
      </c>
      <c r="C70" s="2" t="s">
        <v>80</v>
      </c>
      <c r="D70" s="3">
        <v>46181</v>
      </c>
      <c r="E70" s="4">
        <v>46187</v>
      </c>
      <c r="F70" s="5">
        <v>7</v>
      </c>
      <c r="G70" s="2" t="s">
        <v>86</v>
      </c>
      <c r="H70" s="17">
        <v>149900</v>
      </c>
      <c r="I70" s="18">
        <v>139900</v>
      </c>
      <c r="J70" s="17">
        <v>109900</v>
      </c>
      <c r="K70" s="17">
        <v>119000</v>
      </c>
      <c r="L70" s="6">
        <v>400</v>
      </c>
      <c r="M70" s="6">
        <v>47600000</v>
      </c>
      <c r="N70" s="17">
        <v>39680727.272727273</v>
      </c>
      <c r="O70" s="17">
        <v>37696690.909090906</v>
      </c>
      <c r="P70" t="s">
        <v>211</v>
      </c>
      <c r="Q70" t="s">
        <v>231</v>
      </c>
    </row>
    <row r="71" spans="1:17" x14ac:dyDescent="0.35">
      <c r="A71" t="str">
        <f>_xlfn.XLOOKUP(B71,Mapping!C:C,Mapping!D:D)</f>
        <v>Coupang</v>
      </c>
      <c r="B71" s="2" t="s">
        <v>14</v>
      </c>
      <c r="C71" s="2" t="s">
        <v>80</v>
      </c>
      <c r="D71" s="3">
        <v>46181</v>
      </c>
      <c r="E71" s="4">
        <v>46187</v>
      </c>
      <c r="F71" s="5">
        <v>7</v>
      </c>
      <c r="G71" s="2" t="s">
        <v>87</v>
      </c>
      <c r="H71" s="17">
        <v>219900</v>
      </c>
      <c r="I71" s="18">
        <v>199900</v>
      </c>
      <c r="J71" s="17">
        <v>179900</v>
      </c>
      <c r="K71" s="17">
        <v>149000</v>
      </c>
      <c r="L71" s="6">
        <v>1500</v>
      </c>
      <c r="M71" s="6">
        <v>223500000</v>
      </c>
      <c r="N71" s="17">
        <v>233893636.36363631</v>
      </c>
      <c r="O71" s="17">
        <v>222198954.5454545</v>
      </c>
      <c r="P71" t="s">
        <v>225</v>
      </c>
      <c r="Q71" t="s">
        <v>226</v>
      </c>
    </row>
    <row r="72" spans="1:17" x14ac:dyDescent="0.35">
      <c r="A72" t="str">
        <f>_xlfn.XLOOKUP(B72,Mapping!C:C,Mapping!D:D)</f>
        <v>Coupang</v>
      </c>
      <c r="B72" s="2" t="s">
        <v>14</v>
      </c>
      <c r="C72" s="2" t="s">
        <v>80</v>
      </c>
      <c r="D72" s="3">
        <v>46181</v>
      </c>
      <c r="E72" s="4">
        <v>46187</v>
      </c>
      <c r="F72" s="5">
        <v>7</v>
      </c>
      <c r="G72" s="2" t="s">
        <v>88</v>
      </c>
      <c r="H72" s="17">
        <v>599000</v>
      </c>
      <c r="I72" s="18">
        <v>499000</v>
      </c>
      <c r="J72" s="17">
        <v>399900</v>
      </c>
      <c r="K72" s="17">
        <v>389000</v>
      </c>
      <c r="L72" s="6">
        <v>300</v>
      </c>
      <c r="M72" s="6">
        <v>116700000</v>
      </c>
      <c r="N72" s="17">
        <v>106150909.09090908</v>
      </c>
      <c r="O72" s="17">
        <v>100843363.63636363</v>
      </c>
      <c r="P72" t="s">
        <v>213</v>
      </c>
      <c r="Q72" t="s">
        <v>214</v>
      </c>
    </row>
    <row r="73" spans="1:17" x14ac:dyDescent="0.35">
      <c r="A73" t="str">
        <f>_xlfn.XLOOKUP(B73,Mapping!C:C,Mapping!D:D)</f>
        <v>Coupang</v>
      </c>
      <c r="B73" s="2" t="s">
        <v>14</v>
      </c>
      <c r="C73" s="2" t="s">
        <v>80</v>
      </c>
      <c r="D73" s="3">
        <v>46181</v>
      </c>
      <c r="E73" s="4">
        <v>46187</v>
      </c>
      <c r="F73" s="5">
        <v>7</v>
      </c>
      <c r="G73" s="2" t="s">
        <v>89</v>
      </c>
      <c r="H73" s="17">
        <v>119900</v>
      </c>
      <c r="I73" s="18">
        <v>99900</v>
      </c>
      <c r="J73" s="17">
        <v>84900</v>
      </c>
      <c r="K73" s="17">
        <v>76900</v>
      </c>
      <c r="L73" s="6">
        <v>0</v>
      </c>
      <c r="M73" s="6">
        <v>0</v>
      </c>
      <c r="N73" s="17">
        <v>0</v>
      </c>
      <c r="O73" s="17">
        <v>0</v>
      </c>
      <c r="P73" t="s">
        <v>211</v>
      </c>
      <c r="Q73" t="s">
        <v>231</v>
      </c>
    </row>
    <row r="74" spans="1:17" x14ac:dyDescent="0.35">
      <c r="A74" t="str">
        <f>_xlfn.XLOOKUP(B74,Mapping!C:C,Mapping!D:D)</f>
        <v>Coupang</v>
      </c>
      <c r="B74" s="2" t="s">
        <v>14</v>
      </c>
      <c r="C74" s="2" t="s">
        <v>80</v>
      </c>
      <c r="D74" s="3">
        <v>46181</v>
      </c>
      <c r="E74" s="4">
        <v>46187</v>
      </c>
      <c r="F74" s="5">
        <v>7</v>
      </c>
      <c r="G74" s="2" t="s">
        <v>90</v>
      </c>
      <c r="H74" s="17">
        <v>149900</v>
      </c>
      <c r="I74" s="18">
        <v>139900</v>
      </c>
      <c r="J74" s="17">
        <v>109900</v>
      </c>
      <c r="K74" s="17">
        <v>119000</v>
      </c>
      <c r="L74" s="6">
        <v>400</v>
      </c>
      <c r="M74" s="6">
        <v>47600000</v>
      </c>
      <c r="N74" s="17">
        <v>39680727.272727273</v>
      </c>
      <c r="O74" s="17">
        <v>37696690.909090906</v>
      </c>
      <c r="P74" t="s">
        <v>211</v>
      </c>
      <c r="Q74" t="s">
        <v>231</v>
      </c>
    </row>
    <row r="75" spans="1:17" x14ac:dyDescent="0.35">
      <c r="A75" t="str">
        <f>_xlfn.XLOOKUP(B75,Mapping!C:C,Mapping!D:D)</f>
        <v>Coupang</v>
      </c>
      <c r="B75" s="2" t="s">
        <v>14</v>
      </c>
      <c r="C75" s="2" t="s">
        <v>80</v>
      </c>
      <c r="D75" s="3">
        <v>46181</v>
      </c>
      <c r="E75" s="4">
        <v>46187</v>
      </c>
      <c r="F75" s="5">
        <v>7</v>
      </c>
      <c r="G75" s="2" t="s">
        <v>91</v>
      </c>
      <c r="H75" s="17">
        <v>219900</v>
      </c>
      <c r="I75" s="18">
        <v>199900</v>
      </c>
      <c r="J75" s="17">
        <v>179900</v>
      </c>
      <c r="K75" s="17">
        <v>149000</v>
      </c>
      <c r="L75" s="6">
        <v>500</v>
      </c>
      <c r="M75" s="6">
        <v>74500000</v>
      </c>
      <c r="N75" s="17">
        <v>77964545.454545438</v>
      </c>
      <c r="O75" s="17">
        <v>74066318.181818172</v>
      </c>
      <c r="P75" t="s">
        <v>225</v>
      </c>
      <c r="Q75" t="s">
        <v>226</v>
      </c>
    </row>
    <row r="76" spans="1:17" x14ac:dyDescent="0.35">
      <c r="A76" t="str">
        <f>_xlfn.XLOOKUP(B76,Mapping!C:C,Mapping!D:D)</f>
        <v>Coupang</v>
      </c>
      <c r="B76" s="2" t="s">
        <v>14</v>
      </c>
      <c r="C76" s="2" t="s">
        <v>80</v>
      </c>
      <c r="D76" s="3">
        <v>46181</v>
      </c>
      <c r="E76" s="4">
        <v>46187</v>
      </c>
      <c r="F76" s="5">
        <v>7</v>
      </c>
      <c r="G76" s="2" t="s">
        <v>92</v>
      </c>
      <c r="H76" s="17">
        <v>119900</v>
      </c>
      <c r="I76" s="18">
        <v>99900</v>
      </c>
      <c r="J76" s="17">
        <v>84900</v>
      </c>
      <c r="K76" s="17">
        <v>76900</v>
      </c>
      <c r="L76" s="6">
        <v>800</v>
      </c>
      <c r="M76" s="6">
        <v>61520000</v>
      </c>
      <c r="N76" s="17">
        <v>56670545.454545446</v>
      </c>
      <c r="O76" s="17">
        <v>53837018.181818172</v>
      </c>
      <c r="P76" t="s">
        <v>211</v>
      </c>
      <c r="Q76" t="s">
        <v>231</v>
      </c>
    </row>
    <row r="77" spans="1:17" x14ac:dyDescent="0.35">
      <c r="A77" t="str">
        <f>_xlfn.XLOOKUP(B77,Mapping!C:C,Mapping!D:D)</f>
        <v>Coupang</v>
      </c>
      <c r="B77" s="2" t="s">
        <v>14</v>
      </c>
      <c r="C77" s="2" t="s">
        <v>80</v>
      </c>
      <c r="D77" s="3">
        <v>46181</v>
      </c>
      <c r="E77" s="4">
        <v>46187</v>
      </c>
      <c r="F77" s="5">
        <v>7</v>
      </c>
      <c r="G77" s="2" t="s">
        <v>93</v>
      </c>
      <c r="H77" s="17">
        <v>119900</v>
      </c>
      <c r="I77" s="18">
        <v>99900</v>
      </c>
      <c r="J77" s="17">
        <v>84900</v>
      </c>
      <c r="K77" s="17">
        <v>76900</v>
      </c>
      <c r="L77" s="6">
        <v>200</v>
      </c>
      <c r="M77" s="6">
        <v>15380000</v>
      </c>
      <c r="N77" s="17">
        <v>14167636.363636361</v>
      </c>
      <c r="O77" s="17">
        <v>13459254.545454543</v>
      </c>
      <c r="P77" t="s">
        <v>211</v>
      </c>
      <c r="Q77" t="s">
        <v>231</v>
      </c>
    </row>
    <row r="78" spans="1:17" x14ac:dyDescent="0.35">
      <c r="A78" t="str">
        <f>_xlfn.XLOOKUP(B78,Mapping!C:C,Mapping!D:D)</f>
        <v>Coupang</v>
      </c>
      <c r="B78" s="2" t="s">
        <v>14</v>
      </c>
      <c r="C78" s="2" t="s">
        <v>80</v>
      </c>
      <c r="D78" s="3">
        <v>46181</v>
      </c>
      <c r="E78" s="4">
        <v>46187</v>
      </c>
      <c r="F78" s="5">
        <v>7</v>
      </c>
      <c r="G78" s="2" t="s">
        <v>94</v>
      </c>
      <c r="H78" s="17">
        <v>119900</v>
      </c>
      <c r="I78" s="18">
        <v>99900</v>
      </c>
      <c r="J78" s="17">
        <v>84900</v>
      </c>
      <c r="K78" s="17">
        <v>76900</v>
      </c>
      <c r="L78" s="6">
        <v>800</v>
      </c>
      <c r="M78" s="6">
        <v>61520000</v>
      </c>
      <c r="N78" s="17">
        <v>56670545.454545446</v>
      </c>
      <c r="O78" s="17">
        <v>53837018.181818172</v>
      </c>
      <c r="P78" t="s">
        <v>211</v>
      </c>
      <c r="Q78" t="s">
        <v>231</v>
      </c>
    </row>
    <row r="79" spans="1:17" x14ac:dyDescent="0.35">
      <c r="A79" t="str">
        <f>_xlfn.XLOOKUP(B79,Mapping!C:C,Mapping!D:D)</f>
        <v>Coupang</v>
      </c>
      <c r="B79" s="2" t="s">
        <v>14</v>
      </c>
      <c r="C79" s="2" t="s">
        <v>80</v>
      </c>
      <c r="D79" s="3">
        <v>46181</v>
      </c>
      <c r="E79" s="4">
        <v>46187</v>
      </c>
      <c r="F79" s="5">
        <v>7</v>
      </c>
      <c r="G79" s="2" t="s">
        <v>95</v>
      </c>
      <c r="H79" s="17">
        <v>79900</v>
      </c>
      <c r="I79" s="18">
        <v>54900</v>
      </c>
      <c r="J79" s="17">
        <v>54900</v>
      </c>
      <c r="K79" s="17">
        <v>49900</v>
      </c>
      <c r="L79" s="6">
        <v>3000</v>
      </c>
      <c r="M79" s="6">
        <v>149700000</v>
      </c>
      <c r="N79" s="17">
        <v>116787272.72727272</v>
      </c>
      <c r="O79" s="17">
        <v>110947909.09090908</v>
      </c>
      <c r="P79" t="s">
        <v>211</v>
      </c>
      <c r="Q79" t="s">
        <v>233</v>
      </c>
    </row>
    <row r="80" spans="1:17" x14ac:dyDescent="0.35">
      <c r="A80" t="str">
        <f>_xlfn.XLOOKUP(B80,Mapping!C:C,Mapping!D:D)</f>
        <v>Coupang</v>
      </c>
      <c r="B80" s="2" t="s">
        <v>14</v>
      </c>
      <c r="C80" s="2" t="s">
        <v>80</v>
      </c>
      <c r="D80" s="3">
        <v>46181</v>
      </c>
      <c r="E80" s="4">
        <v>46187</v>
      </c>
      <c r="F80" s="5">
        <v>7</v>
      </c>
      <c r="G80" s="2" t="s">
        <v>96</v>
      </c>
      <c r="H80" s="17">
        <v>139900</v>
      </c>
      <c r="I80" s="18">
        <v>119900</v>
      </c>
      <c r="J80" s="17">
        <v>99900</v>
      </c>
      <c r="K80" s="17">
        <v>99000</v>
      </c>
      <c r="L80" s="6">
        <v>500</v>
      </c>
      <c r="M80" s="6">
        <v>49500000</v>
      </c>
      <c r="N80" s="17">
        <v>42510000</v>
      </c>
      <c r="O80" s="17">
        <v>40384500</v>
      </c>
      <c r="P80" t="s">
        <v>213</v>
      </c>
      <c r="Q80" t="s">
        <v>230</v>
      </c>
    </row>
    <row r="81" spans="1:17" x14ac:dyDescent="0.35">
      <c r="A81" t="str">
        <f>_xlfn.XLOOKUP(B81,Mapping!C:C,Mapping!D:D)</f>
        <v>Coupang</v>
      </c>
      <c r="B81" s="2" t="s">
        <v>14</v>
      </c>
      <c r="C81" s="2" t="s">
        <v>80</v>
      </c>
      <c r="D81" s="3">
        <v>46181</v>
      </c>
      <c r="E81" s="4">
        <v>46187</v>
      </c>
      <c r="F81" s="5">
        <v>7</v>
      </c>
      <c r="G81" s="2" t="s">
        <v>97</v>
      </c>
      <c r="H81" s="17">
        <v>349900</v>
      </c>
      <c r="I81" s="18">
        <v>299900</v>
      </c>
      <c r="J81" s="17">
        <v>249900</v>
      </c>
      <c r="K81" s="17">
        <v>219000</v>
      </c>
      <c r="L81" s="6">
        <v>300</v>
      </c>
      <c r="M81" s="6">
        <v>65700000</v>
      </c>
      <c r="N81" s="17">
        <v>74433272.727272719</v>
      </c>
      <c r="O81" s="17">
        <v>70711609.090909079</v>
      </c>
      <c r="P81" t="s">
        <v>215</v>
      </c>
      <c r="Q81" t="s">
        <v>227</v>
      </c>
    </row>
    <row r="82" spans="1:17" x14ac:dyDescent="0.35">
      <c r="A82" t="str">
        <f>_xlfn.XLOOKUP(B82,Mapping!C:C,Mapping!D:D)</f>
        <v>Coupang</v>
      </c>
      <c r="B82" s="2" t="s">
        <v>14</v>
      </c>
      <c r="C82" s="2" t="s">
        <v>80</v>
      </c>
      <c r="D82" s="3">
        <v>46181</v>
      </c>
      <c r="E82" s="4">
        <v>46187</v>
      </c>
      <c r="F82" s="5">
        <v>7</v>
      </c>
      <c r="G82" s="2" t="s">
        <v>98</v>
      </c>
      <c r="H82" s="17">
        <v>219900</v>
      </c>
      <c r="I82" s="18">
        <v>199900</v>
      </c>
      <c r="J82" s="17">
        <v>179900</v>
      </c>
      <c r="K82" s="17">
        <v>149000</v>
      </c>
      <c r="L82" s="6">
        <v>0</v>
      </c>
      <c r="M82" s="6">
        <v>0</v>
      </c>
      <c r="N82" s="17">
        <v>0</v>
      </c>
      <c r="O82" s="17">
        <v>0</v>
      </c>
      <c r="P82" t="s">
        <v>225</v>
      </c>
      <c r="Q82" t="s">
        <v>226</v>
      </c>
    </row>
    <row r="83" spans="1:17" x14ac:dyDescent="0.35">
      <c r="A83" t="str">
        <f>_xlfn.XLOOKUP(B83,Mapping!C:C,Mapping!D:D)</f>
        <v>Coupang</v>
      </c>
      <c r="B83" s="2" t="s">
        <v>14</v>
      </c>
      <c r="C83" s="2" t="s">
        <v>80</v>
      </c>
      <c r="D83" s="3">
        <v>46181</v>
      </c>
      <c r="E83" s="4">
        <v>46187</v>
      </c>
      <c r="F83" s="5">
        <v>7</v>
      </c>
      <c r="G83" s="2" t="s">
        <v>99</v>
      </c>
      <c r="H83" s="17">
        <v>219900</v>
      </c>
      <c r="I83" s="18">
        <v>199900</v>
      </c>
      <c r="J83" s="17">
        <v>179900</v>
      </c>
      <c r="K83" s="17">
        <v>149000</v>
      </c>
      <c r="L83" s="6">
        <v>1000</v>
      </c>
      <c r="M83" s="6">
        <v>149000000</v>
      </c>
      <c r="N83" s="17">
        <v>155929090.90909088</v>
      </c>
      <c r="O83" s="17">
        <v>148132636.36363634</v>
      </c>
      <c r="P83" t="s">
        <v>225</v>
      </c>
      <c r="Q83" t="s">
        <v>226</v>
      </c>
    </row>
    <row r="84" spans="1:17" x14ac:dyDescent="0.35">
      <c r="A84" t="str">
        <f>_xlfn.XLOOKUP(B84,Mapping!C:C,Mapping!D:D)</f>
        <v>Coupang</v>
      </c>
      <c r="B84" s="2" t="s">
        <v>14</v>
      </c>
      <c r="C84" s="2" t="s">
        <v>80</v>
      </c>
      <c r="D84" s="3">
        <v>46181</v>
      </c>
      <c r="E84" s="4">
        <v>46187</v>
      </c>
      <c r="F84" s="5">
        <v>7</v>
      </c>
      <c r="G84" s="2" t="s">
        <v>100</v>
      </c>
      <c r="H84" s="17">
        <v>119900</v>
      </c>
      <c r="I84" s="18">
        <v>99900</v>
      </c>
      <c r="J84" s="17">
        <v>84900</v>
      </c>
      <c r="K84" s="17">
        <v>76900</v>
      </c>
      <c r="L84" s="6">
        <v>200</v>
      </c>
      <c r="M84" s="6">
        <v>15380000</v>
      </c>
      <c r="N84" s="17">
        <v>14167636.363636361</v>
      </c>
      <c r="O84" s="17">
        <v>13459254.545454543</v>
      </c>
      <c r="P84" t="s">
        <v>211</v>
      </c>
      <c r="Q84" t="s">
        <v>231</v>
      </c>
    </row>
    <row r="85" spans="1:17" x14ac:dyDescent="0.35">
      <c r="A85" t="str">
        <f>_xlfn.XLOOKUP(B85,Mapping!C:C,Mapping!D:D)</f>
        <v>Coupang</v>
      </c>
      <c r="B85" s="2" t="s">
        <v>14</v>
      </c>
      <c r="C85" s="2" t="s">
        <v>80</v>
      </c>
      <c r="D85" s="3">
        <v>46181</v>
      </c>
      <c r="E85" s="4">
        <v>46187</v>
      </c>
      <c r="F85" s="5">
        <v>7</v>
      </c>
      <c r="G85" s="2" t="s">
        <v>101</v>
      </c>
      <c r="H85" s="17">
        <v>149900</v>
      </c>
      <c r="I85" s="18">
        <v>139900</v>
      </c>
      <c r="J85" s="17">
        <v>109900</v>
      </c>
      <c r="K85" s="17">
        <v>119000</v>
      </c>
      <c r="L85" s="6">
        <v>400</v>
      </c>
      <c r="M85" s="6">
        <v>47600000</v>
      </c>
      <c r="N85" s="17">
        <v>39680727.272727273</v>
      </c>
      <c r="O85" s="17">
        <v>37696690.909090906</v>
      </c>
      <c r="P85" t="s">
        <v>211</v>
      </c>
      <c r="Q85" t="s">
        <v>231</v>
      </c>
    </row>
    <row r="86" spans="1:17" x14ac:dyDescent="0.35">
      <c r="A86" t="str">
        <f>_xlfn.XLOOKUP(B86,Mapping!C:C,Mapping!D:D)</f>
        <v>Coupang</v>
      </c>
      <c r="B86" s="2" t="s">
        <v>14</v>
      </c>
      <c r="C86" s="2" t="s">
        <v>80</v>
      </c>
      <c r="D86" s="3">
        <v>46181</v>
      </c>
      <c r="E86" s="4">
        <v>46187</v>
      </c>
      <c r="F86" s="5">
        <v>7</v>
      </c>
      <c r="G86" s="2" t="s">
        <v>102</v>
      </c>
      <c r="H86" s="17">
        <v>149900</v>
      </c>
      <c r="I86" s="18">
        <v>139900</v>
      </c>
      <c r="J86" s="17">
        <v>109900</v>
      </c>
      <c r="K86" s="17">
        <v>119000</v>
      </c>
      <c r="L86" s="6">
        <v>0</v>
      </c>
      <c r="M86" s="6">
        <v>0</v>
      </c>
      <c r="N86" s="17">
        <v>0</v>
      </c>
      <c r="O86" s="17">
        <v>0</v>
      </c>
      <c r="P86" t="s">
        <v>211</v>
      </c>
      <c r="Q86" t="s">
        <v>231</v>
      </c>
    </row>
    <row r="87" spans="1:17" x14ac:dyDescent="0.35">
      <c r="A87" t="str">
        <f>_xlfn.XLOOKUP(B87,Mapping!C:C,Mapping!D:D)</f>
        <v>Coupang</v>
      </c>
      <c r="B87" s="2" t="s">
        <v>14</v>
      </c>
      <c r="C87" s="2" t="s">
        <v>80</v>
      </c>
      <c r="D87" s="3">
        <v>46181</v>
      </c>
      <c r="E87" s="4">
        <v>46187</v>
      </c>
      <c r="F87" s="5">
        <v>7</v>
      </c>
      <c r="G87" s="2" t="s">
        <v>103</v>
      </c>
      <c r="H87" s="17">
        <v>149900</v>
      </c>
      <c r="I87" s="18">
        <v>139900</v>
      </c>
      <c r="J87" s="17">
        <v>109900</v>
      </c>
      <c r="K87" s="17">
        <v>119000</v>
      </c>
      <c r="L87" s="6">
        <v>500</v>
      </c>
      <c r="M87" s="6">
        <v>59500000</v>
      </c>
      <c r="N87" s="17">
        <v>49600909.090909086</v>
      </c>
      <c r="O87" s="17">
        <v>47120863.636363633</v>
      </c>
      <c r="P87" t="s">
        <v>211</v>
      </c>
      <c r="Q87" t="s">
        <v>231</v>
      </c>
    </row>
    <row r="88" spans="1:17" x14ac:dyDescent="0.35">
      <c r="A88" t="str">
        <f>_xlfn.XLOOKUP(B88,Mapping!C:C,Mapping!D:D)</f>
        <v>Coupang</v>
      </c>
      <c r="B88" s="2" t="s">
        <v>14</v>
      </c>
      <c r="C88" s="2" t="s">
        <v>80</v>
      </c>
      <c r="D88" s="3">
        <v>46181</v>
      </c>
      <c r="E88" s="4">
        <v>46194</v>
      </c>
      <c r="F88" s="5">
        <v>14</v>
      </c>
      <c r="G88" s="2" t="s">
        <v>104</v>
      </c>
      <c r="H88" s="17">
        <v>799000</v>
      </c>
      <c r="I88" s="18">
        <v>699000</v>
      </c>
      <c r="J88" s="17">
        <v>649000</v>
      </c>
      <c r="K88" s="17">
        <v>579000</v>
      </c>
      <c r="L88" s="6">
        <v>550</v>
      </c>
      <c r="M88" s="6">
        <v>318450000</v>
      </c>
      <c r="N88" s="17">
        <v>311610000</v>
      </c>
      <c r="O88" s="17">
        <v>296029500</v>
      </c>
      <c r="P88" t="s">
        <v>213</v>
      </c>
      <c r="Q88" t="s">
        <v>221</v>
      </c>
    </row>
    <row r="89" spans="1:17" x14ac:dyDescent="0.35">
      <c r="A89" t="str">
        <f>_xlfn.XLOOKUP(B89,Mapping!C:C,Mapping!D:D)</f>
        <v>Coupang</v>
      </c>
      <c r="B89" s="2" t="s">
        <v>14</v>
      </c>
      <c r="C89" s="2" t="s">
        <v>80</v>
      </c>
      <c r="D89" s="3">
        <v>46188</v>
      </c>
      <c r="E89" s="4">
        <v>46194</v>
      </c>
      <c r="F89" s="5">
        <v>7</v>
      </c>
      <c r="G89" s="2" t="s">
        <v>105</v>
      </c>
      <c r="H89" s="17">
        <v>299900</v>
      </c>
      <c r="I89" s="18">
        <v>269900</v>
      </c>
      <c r="J89" s="17">
        <v>249900</v>
      </c>
      <c r="K89" s="17">
        <v>229000</v>
      </c>
      <c r="L89" s="6">
        <v>300</v>
      </c>
      <c r="M89" s="6">
        <v>68700000</v>
      </c>
      <c r="N89" s="17">
        <v>57415090.909090906</v>
      </c>
      <c r="O89" s="17">
        <v>54544336.36363636</v>
      </c>
      <c r="P89" t="s">
        <v>211</v>
      </c>
      <c r="Q89" t="s">
        <v>232</v>
      </c>
    </row>
    <row r="90" spans="1:17" x14ac:dyDescent="0.35">
      <c r="A90" t="str">
        <f>_xlfn.XLOOKUP(B90,Mapping!C:C,Mapping!D:D)</f>
        <v>Coupang</v>
      </c>
      <c r="B90" s="2" t="s">
        <v>14</v>
      </c>
      <c r="C90" s="2" t="s">
        <v>80</v>
      </c>
      <c r="D90" s="3">
        <v>46188</v>
      </c>
      <c r="E90" s="4">
        <v>46194</v>
      </c>
      <c r="F90" s="5">
        <v>7</v>
      </c>
      <c r="G90" s="2" t="s">
        <v>106</v>
      </c>
      <c r="H90" s="17">
        <v>399900</v>
      </c>
      <c r="I90" s="18">
        <v>349900</v>
      </c>
      <c r="J90" s="17">
        <v>299900</v>
      </c>
      <c r="K90" s="17">
        <v>259000</v>
      </c>
      <c r="L90" s="6">
        <v>300</v>
      </c>
      <c r="M90" s="6">
        <v>77700000</v>
      </c>
      <c r="N90" s="17">
        <v>74433272.727272719</v>
      </c>
      <c r="O90" s="17">
        <v>70711609.090909079</v>
      </c>
      <c r="P90" t="s">
        <v>215</v>
      </c>
      <c r="Q90" t="s">
        <v>234</v>
      </c>
    </row>
    <row r="91" spans="1:17" x14ac:dyDescent="0.35">
      <c r="A91" t="str">
        <f>_xlfn.XLOOKUP(B91,Mapping!C:C,Mapping!D:D)</f>
        <v>Coupang</v>
      </c>
      <c r="B91" s="2" t="s">
        <v>14</v>
      </c>
      <c r="C91" s="2" t="s">
        <v>80</v>
      </c>
      <c r="D91" s="3">
        <v>46188</v>
      </c>
      <c r="E91" s="4">
        <v>46194</v>
      </c>
      <c r="F91" s="5">
        <v>7</v>
      </c>
      <c r="G91" s="2" t="s">
        <v>107</v>
      </c>
      <c r="H91" s="17">
        <v>849000</v>
      </c>
      <c r="I91" s="18">
        <v>749000</v>
      </c>
      <c r="J91" s="17">
        <v>699000</v>
      </c>
      <c r="K91" s="17">
        <v>629000</v>
      </c>
      <c r="L91" s="6">
        <v>200</v>
      </c>
      <c r="M91" s="6">
        <v>125800000</v>
      </c>
      <c r="N91" s="17">
        <v>106221818.18181816</v>
      </c>
      <c r="O91" s="17">
        <v>100910727.27272725</v>
      </c>
      <c r="P91" t="s">
        <v>213</v>
      </c>
      <c r="Q91" t="s">
        <v>220</v>
      </c>
    </row>
    <row r="92" spans="1:17" x14ac:dyDescent="0.35">
      <c r="A92" t="str">
        <f>_xlfn.XLOOKUP(B92,Mapping!C:C,Mapping!D:D)</f>
        <v>Coupang</v>
      </c>
      <c r="B92" s="2" t="s">
        <v>14</v>
      </c>
      <c r="C92" s="2" t="s">
        <v>80</v>
      </c>
      <c r="D92" s="3">
        <v>46188</v>
      </c>
      <c r="E92" s="4">
        <v>46194</v>
      </c>
      <c r="F92" s="5">
        <v>7</v>
      </c>
      <c r="G92" s="2" t="s">
        <v>108</v>
      </c>
      <c r="H92" s="17">
        <v>199900</v>
      </c>
      <c r="I92" s="18">
        <v>179900</v>
      </c>
      <c r="J92" s="17">
        <v>169900</v>
      </c>
      <c r="K92" s="17">
        <v>159000</v>
      </c>
      <c r="L92" s="6">
        <v>300</v>
      </c>
      <c r="M92" s="6">
        <v>47700000</v>
      </c>
      <c r="N92" s="17">
        <v>38269636.36363636</v>
      </c>
      <c r="O92" s="17">
        <v>36356154.545454539</v>
      </c>
      <c r="P92" t="s">
        <v>213</v>
      </c>
      <c r="Q92" t="s">
        <v>230</v>
      </c>
    </row>
    <row r="93" spans="1:17" x14ac:dyDescent="0.35">
      <c r="A93" t="str">
        <f>_xlfn.XLOOKUP(B93,Mapping!C:C,Mapping!D:D)</f>
        <v>Coupang</v>
      </c>
      <c r="B93" s="2" t="s">
        <v>14</v>
      </c>
      <c r="C93" s="2" t="s">
        <v>80</v>
      </c>
      <c r="D93" s="3">
        <v>46188</v>
      </c>
      <c r="E93" s="4">
        <v>46194</v>
      </c>
      <c r="F93" s="5">
        <v>7</v>
      </c>
      <c r="G93" s="2" t="s">
        <v>109</v>
      </c>
      <c r="H93" s="17">
        <v>249900</v>
      </c>
      <c r="I93" s="18">
        <v>219900</v>
      </c>
      <c r="J93" s="17">
        <v>199900</v>
      </c>
      <c r="K93" s="17">
        <v>179000</v>
      </c>
      <c r="L93" s="6">
        <v>1000</v>
      </c>
      <c r="M93" s="6">
        <v>179000000</v>
      </c>
      <c r="N93" s="17">
        <v>177201818.18181819</v>
      </c>
      <c r="O93" s="17">
        <v>168341727.27272728</v>
      </c>
      <c r="P93" t="s">
        <v>225</v>
      </c>
      <c r="Q93" t="s">
        <v>226</v>
      </c>
    </row>
    <row r="94" spans="1:17" x14ac:dyDescent="0.35">
      <c r="A94" t="str">
        <f>_xlfn.XLOOKUP(B94,Mapping!C:C,Mapping!D:D)</f>
        <v>Coupang</v>
      </c>
      <c r="B94" s="2" t="s">
        <v>14</v>
      </c>
      <c r="C94" s="2" t="s">
        <v>80</v>
      </c>
      <c r="D94" s="3">
        <v>46188</v>
      </c>
      <c r="E94" s="4">
        <v>46194</v>
      </c>
      <c r="F94" s="5">
        <v>7</v>
      </c>
      <c r="G94" s="2" t="s">
        <v>110</v>
      </c>
      <c r="H94" s="17">
        <v>129900</v>
      </c>
      <c r="I94" s="18">
        <v>114900</v>
      </c>
      <c r="J94" s="17">
        <v>99900</v>
      </c>
      <c r="K94" s="17">
        <v>99000</v>
      </c>
      <c r="L94" s="6">
        <v>600</v>
      </c>
      <c r="M94" s="6">
        <v>59400000</v>
      </c>
      <c r="N94" s="17">
        <v>48884727.272727266</v>
      </c>
      <c r="O94" s="17">
        <v>46440490.909090906</v>
      </c>
      <c r="P94" t="s">
        <v>211</v>
      </c>
      <c r="Q94" t="s">
        <v>212</v>
      </c>
    </row>
    <row r="95" spans="1:17" x14ac:dyDescent="0.35">
      <c r="A95" t="str">
        <f>_xlfn.XLOOKUP(B95,Mapping!C:C,Mapping!D:D)</f>
        <v>Coupang</v>
      </c>
      <c r="B95" s="2" t="s">
        <v>14</v>
      </c>
      <c r="C95" s="2" t="s">
        <v>80</v>
      </c>
      <c r="D95" s="3">
        <v>46188</v>
      </c>
      <c r="E95" s="4">
        <v>46194</v>
      </c>
      <c r="F95" s="5">
        <v>7</v>
      </c>
      <c r="G95" s="2" t="s">
        <v>111</v>
      </c>
      <c r="H95" s="17">
        <v>249900</v>
      </c>
      <c r="I95" s="18">
        <v>219900</v>
      </c>
      <c r="J95" s="17">
        <v>199900</v>
      </c>
      <c r="K95" s="17">
        <v>179000</v>
      </c>
      <c r="L95" s="6">
        <v>2500</v>
      </c>
      <c r="M95" s="6">
        <v>447500000</v>
      </c>
      <c r="N95" s="17">
        <v>443004545.45454544</v>
      </c>
      <c r="O95" s="17">
        <v>420854318.18181819</v>
      </c>
      <c r="P95" t="s">
        <v>225</v>
      </c>
      <c r="Q95" t="s">
        <v>226</v>
      </c>
    </row>
    <row r="96" spans="1:17" x14ac:dyDescent="0.35">
      <c r="A96" t="str">
        <f>_xlfn.XLOOKUP(B96,Mapping!C:C,Mapping!D:D)</f>
        <v>Coupang</v>
      </c>
      <c r="B96" s="7" t="s">
        <v>14</v>
      </c>
      <c r="C96" s="2" t="s">
        <v>80</v>
      </c>
      <c r="D96" s="3">
        <v>46188</v>
      </c>
      <c r="E96" s="4">
        <v>46194</v>
      </c>
      <c r="F96" s="5">
        <v>7</v>
      </c>
      <c r="G96" s="2" t="s">
        <v>112</v>
      </c>
      <c r="H96" s="17">
        <v>799000</v>
      </c>
      <c r="I96" s="18">
        <v>599000</v>
      </c>
      <c r="J96" s="17">
        <v>599000</v>
      </c>
      <c r="K96" s="17">
        <v>549000</v>
      </c>
      <c r="L96" s="6">
        <v>350</v>
      </c>
      <c r="M96" s="6">
        <v>192150000</v>
      </c>
      <c r="N96" s="17">
        <v>173914363.63636363</v>
      </c>
      <c r="O96" s="17">
        <v>165218645.45454544</v>
      </c>
      <c r="P96" t="s">
        <v>213</v>
      </c>
      <c r="Q96" t="s">
        <v>214</v>
      </c>
    </row>
    <row r="97" spans="1:17" x14ac:dyDescent="0.35">
      <c r="A97" t="str">
        <f>_xlfn.XLOOKUP(B97,Mapping!C:C,Mapping!D:D)</f>
        <v>HI-MART</v>
      </c>
      <c r="B97" s="2" t="s">
        <v>143</v>
      </c>
      <c r="C97" s="2" t="s">
        <v>320</v>
      </c>
      <c r="D97" s="3">
        <v>46174</v>
      </c>
      <c r="E97" s="4">
        <v>46187</v>
      </c>
      <c r="F97" s="5">
        <v>14</v>
      </c>
      <c r="G97" s="2" t="s">
        <v>85</v>
      </c>
      <c r="H97" s="17">
        <v>349900</v>
      </c>
      <c r="I97" s="18">
        <v>319900</v>
      </c>
      <c r="J97" s="17">
        <v>299900</v>
      </c>
      <c r="K97" s="17">
        <v>319000</v>
      </c>
      <c r="L97" s="6">
        <v>150</v>
      </c>
      <c r="M97" s="6">
        <v>47850000</v>
      </c>
      <c r="N97" s="17">
        <v>0</v>
      </c>
      <c r="O97" s="17">
        <v>0</v>
      </c>
      <c r="P97" t="s">
        <v>211</v>
      </c>
      <c r="Q97" t="s">
        <v>232</v>
      </c>
    </row>
    <row r="98" spans="1:17" x14ac:dyDescent="0.35">
      <c r="A98" t="str">
        <f>_xlfn.XLOOKUP(B98,Mapping!C:C,Mapping!D:D)</f>
        <v>HI-MART</v>
      </c>
      <c r="B98" s="2" t="s">
        <v>143</v>
      </c>
      <c r="C98" s="2" t="s">
        <v>320</v>
      </c>
      <c r="D98" s="3">
        <v>46174</v>
      </c>
      <c r="E98" s="4">
        <v>46187</v>
      </c>
      <c r="F98" s="5">
        <v>14</v>
      </c>
      <c r="G98" s="2" t="s">
        <v>107</v>
      </c>
      <c r="H98" s="17">
        <v>849000</v>
      </c>
      <c r="I98" s="18">
        <v>749000</v>
      </c>
      <c r="J98" s="17">
        <v>699000</v>
      </c>
      <c r="K98" s="17">
        <v>749000</v>
      </c>
      <c r="L98" s="6">
        <v>50</v>
      </c>
      <c r="M98" s="6">
        <v>37450000</v>
      </c>
      <c r="N98" s="17">
        <v>0</v>
      </c>
      <c r="O98" s="17">
        <v>0</v>
      </c>
      <c r="P98" t="s">
        <v>213</v>
      </c>
      <c r="Q98" t="s">
        <v>220</v>
      </c>
    </row>
    <row r="99" spans="1:17" x14ac:dyDescent="0.35">
      <c r="A99" t="str">
        <f>_xlfn.XLOOKUP(B99,Mapping!C:C,Mapping!D:D)</f>
        <v>HI-MART</v>
      </c>
      <c r="B99" s="2" t="s">
        <v>143</v>
      </c>
      <c r="C99" s="2" t="s">
        <v>320</v>
      </c>
      <c r="D99" s="3">
        <v>46174</v>
      </c>
      <c r="E99" s="4">
        <v>46187</v>
      </c>
      <c r="F99" s="5">
        <v>14</v>
      </c>
      <c r="G99" s="2" t="s">
        <v>32</v>
      </c>
      <c r="H99" s="17">
        <v>349900</v>
      </c>
      <c r="I99" s="18">
        <v>299900</v>
      </c>
      <c r="J99" s="17">
        <v>269900</v>
      </c>
      <c r="K99" s="17">
        <v>269900</v>
      </c>
      <c r="L99" s="6">
        <v>20</v>
      </c>
      <c r="M99" s="6">
        <v>5398000</v>
      </c>
      <c r="N99" s="17">
        <v>0</v>
      </c>
      <c r="O99" s="17">
        <v>0</v>
      </c>
      <c r="P99" t="s">
        <v>211</v>
      </c>
      <c r="Q99" t="s">
        <v>224</v>
      </c>
    </row>
    <row r="100" spans="1:17" x14ac:dyDescent="0.35">
      <c r="A100" t="str">
        <f>_xlfn.XLOOKUP(B100,Mapping!C:C,Mapping!D:D)</f>
        <v>HI-MART</v>
      </c>
      <c r="B100" s="2" t="s">
        <v>143</v>
      </c>
      <c r="C100" s="2" t="s">
        <v>320</v>
      </c>
      <c r="D100" s="3">
        <v>46174</v>
      </c>
      <c r="E100" s="4">
        <v>46181</v>
      </c>
      <c r="F100" s="5">
        <v>8</v>
      </c>
      <c r="G100" s="2" t="s">
        <v>19</v>
      </c>
      <c r="H100" s="17">
        <v>249900</v>
      </c>
      <c r="I100" s="18">
        <v>219900</v>
      </c>
      <c r="J100" s="17">
        <v>199900</v>
      </c>
      <c r="K100" s="17">
        <v>219000</v>
      </c>
      <c r="L100" s="6">
        <v>100</v>
      </c>
      <c r="M100" s="6">
        <v>21900000</v>
      </c>
      <c r="N100" s="17">
        <v>0</v>
      </c>
      <c r="O100" s="17">
        <v>0</v>
      </c>
      <c r="P100" t="s">
        <v>215</v>
      </c>
      <c r="Q100" t="s">
        <v>216</v>
      </c>
    </row>
    <row r="101" spans="1:17" x14ac:dyDescent="0.35">
      <c r="A101" t="str">
        <f>_xlfn.XLOOKUP(B101,Mapping!C:C,Mapping!D:D)</f>
        <v>HI-MART</v>
      </c>
      <c r="B101" s="2" t="s">
        <v>143</v>
      </c>
      <c r="C101" s="2" t="s">
        <v>320</v>
      </c>
      <c r="D101" s="3">
        <v>46195</v>
      </c>
      <c r="E101" s="4">
        <v>46201</v>
      </c>
      <c r="F101" s="5">
        <v>7</v>
      </c>
      <c r="G101" s="2" t="s">
        <v>86</v>
      </c>
      <c r="H101" s="17">
        <v>149900</v>
      </c>
      <c r="I101" s="18">
        <v>139900</v>
      </c>
      <c r="J101" s="17">
        <v>109900</v>
      </c>
      <c r="K101" s="17">
        <v>119900</v>
      </c>
      <c r="L101" s="6">
        <v>50</v>
      </c>
      <c r="M101" s="6">
        <v>5995000</v>
      </c>
      <c r="N101" s="17">
        <v>0</v>
      </c>
      <c r="O101" s="17">
        <v>0</v>
      </c>
      <c r="P101" t="s">
        <v>211</v>
      </c>
      <c r="Q101" t="s">
        <v>231</v>
      </c>
    </row>
    <row r="102" spans="1:17" x14ac:dyDescent="0.35">
      <c r="A102" t="str">
        <f>_xlfn.XLOOKUP(B102,Mapping!C:C,Mapping!D:D)</f>
        <v>HI-MART</v>
      </c>
      <c r="B102" s="2" t="s">
        <v>143</v>
      </c>
      <c r="C102" s="2" t="s">
        <v>320</v>
      </c>
      <c r="D102" s="3">
        <v>46195</v>
      </c>
      <c r="E102" s="4">
        <v>46201</v>
      </c>
      <c r="F102" s="5">
        <v>7</v>
      </c>
      <c r="G102" s="2" t="s">
        <v>90</v>
      </c>
      <c r="H102" s="17">
        <v>149900</v>
      </c>
      <c r="I102" s="18">
        <v>139900</v>
      </c>
      <c r="J102" s="17">
        <v>109900</v>
      </c>
      <c r="K102" s="17">
        <v>119900</v>
      </c>
      <c r="L102" s="6">
        <v>100</v>
      </c>
      <c r="M102" s="6">
        <v>11990000</v>
      </c>
      <c r="N102" s="17">
        <v>0</v>
      </c>
      <c r="O102" s="17">
        <v>0</v>
      </c>
      <c r="P102" t="s">
        <v>211</v>
      </c>
      <c r="Q102" t="s">
        <v>231</v>
      </c>
    </row>
    <row r="103" spans="1:17" x14ac:dyDescent="0.35">
      <c r="A103" t="str">
        <f>_xlfn.XLOOKUP(B103,Mapping!C:C,Mapping!D:D)</f>
        <v>HI-MART</v>
      </c>
      <c r="B103" s="2" t="s">
        <v>143</v>
      </c>
      <c r="C103" s="2" t="s">
        <v>320</v>
      </c>
      <c r="D103" s="3">
        <v>46195</v>
      </c>
      <c r="E103" s="4">
        <v>46201</v>
      </c>
      <c r="F103" s="5">
        <v>7</v>
      </c>
      <c r="G103" s="2" t="s">
        <v>101</v>
      </c>
      <c r="H103" s="17">
        <v>149900</v>
      </c>
      <c r="I103" s="18">
        <v>139900</v>
      </c>
      <c r="J103" s="17">
        <v>109900</v>
      </c>
      <c r="K103" s="17">
        <v>119900</v>
      </c>
      <c r="L103" s="6">
        <v>100</v>
      </c>
      <c r="M103" s="6">
        <v>11990000</v>
      </c>
      <c r="N103" s="17">
        <v>0</v>
      </c>
      <c r="O103" s="17">
        <v>0</v>
      </c>
      <c r="P103" t="s">
        <v>211</v>
      </c>
      <c r="Q103" t="s">
        <v>231</v>
      </c>
    </row>
    <row r="104" spans="1:17" x14ac:dyDescent="0.35">
      <c r="A104" t="str">
        <f>_xlfn.XLOOKUP(B104,Mapping!C:C,Mapping!D:D)</f>
        <v>HI-MART</v>
      </c>
      <c r="B104" s="2" t="s">
        <v>143</v>
      </c>
      <c r="C104" s="2" t="s">
        <v>320</v>
      </c>
      <c r="D104" s="3">
        <v>46181</v>
      </c>
      <c r="E104" s="4">
        <v>46187</v>
      </c>
      <c r="F104" s="5">
        <v>7</v>
      </c>
      <c r="G104" s="2" t="s">
        <v>27</v>
      </c>
      <c r="H104" s="17">
        <v>329900</v>
      </c>
      <c r="I104" s="18">
        <v>299900</v>
      </c>
      <c r="J104" s="17">
        <v>279900</v>
      </c>
      <c r="K104" s="17">
        <v>299000</v>
      </c>
      <c r="L104" s="6">
        <v>1</v>
      </c>
      <c r="M104" s="6">
        <v>299000</v>
      </c>
      <c r="N104" s="17">
        <v>0</v>
      </c>
      <c r="O104" s="17">
        <v>0</v>
      </c>
      <c r="P104" t="s">
        <v>211</v>
      </c>
      <c r="Q104" t="s">
        <v>212</v>
      </c>
    </row>
    <row r="105" spans="1:17" x14ac:dyDescent="0.35">
      <c r="A105" t="str">
        <f>_xlfn.XLOOKUP(B105,Mapping!C:C,Mapping!D:D)</f>
        <v>HI-MART</v>
      </c>
      <c r="B105" s="2" t="s">
        <v>143</v>
      </c>
      <c r="C105" s="2" t="s">
        <v>320</v>
      </c>
      <c r="D105" s="3">
        <v>46181</v>
      </c>
      <c r="E105" s="4">
        <v>46187</v>
      </c>
      <c r="F105" s="5">
        <v>7</v>
      </c>
      <c r="G105" s="2" t="s">
        <v>31</v>
      </c>
      <c r="H105" s="17">
        <v>849000</v>
      </c>
      <c r="I105" s="18">
        <v>749000</v>
      </c>
      <c r="J105" s="17">
        <v>699000</v>
      </c>
      <c r="K105" s="17">
        <v>749000</v>
      </c>
      <c r="L105" s="6">
        <v>50</v>
      </c>
      <c r="M105" s="6">
        <v>37450000</v>
      </c>
      <c r="N105" s="17">
        <v>0</v>
      </c>
      <c r="O105" s="17">
        <v>0</v>
      </c>
      <c r="P105" t="s">
        <v>213</v>
      </c>
      <c r="Q105" t="s">
        <v>221</v>
      </c>
    </row>
    <row r="106" spans="1:17" x14ac:dyDescent="0.35">
      <c r="A106" t="str">
        <f>_xlfn.XLOOKUP(B106,Mapping!C:C,Mapping!D:D)</f>
        <v>HI-MART</v>
      </c>
      <c r="B106" s="2" t="s">
        <v>143</v>
      </c>
      <c r="C106" s="2" t="s">
        <v>320</v>
      </c>
      <c r="D106" s="3">
        <v>46181</v>
      </c>
      <c r="E106" s="4">
        <v>46187</v>
      </c>
      <c r="F106" s="5">
        <v>7</v>
      </c>
      <c r="G106" s="2" t="s">
        <v>108</v>
      </c>
      <c r="H106" s="17">
        <v>199900</v>
      </c>
      <c r="I106" s="18">
        <v>179900</v>
      </c>
      <c r="J106" s="17">
        <v>169900</v>
      </c>
      <c r="K106" s="17">
        <v>179900</v>
      </c>
      <c r="L106" s="6">
        <v>50</v>
      </c>
      <c r="M106" s="6">
        <v>8995000</v>
      </c>
      <c r="N106" s="17">
        <v>0</v>
      </c>
      <c r="O106" s="17">
        <v>0</v>
      </c>
      <c r="P106" t="s">
        <v>213</v>
      </c>
      <c r="Q106" t="s">
        <v>230</v>
      </c>
    </row>
    <row r="107" spans="1:17" x14ac:dyDescent="0.35">
      <c r="A107" t="str">
        <f>_xlfn.XLOOKUP(B107,Mapping!C:C,Mapping!D:D)</f>
        <v>HI-MART</v>
      </c>
      <c r="B107" s="2" t="s">
        <v>143</v>
      </c>
      <c r="C107" s="2" t="s">
        <v>320</v>
      </c>
      <c r="D107" s="3">
        <v>46181</v>
      </c>
      <c r="E107" s="4">
        <v>46187</v>
      </c>
      <c r="F107" s="5">
        <v>7</v>
      </c>
      <c r="G107" s="2" t="s">
        <v>36</v>
      </c>
      <c r="H107" s="17">
        <v>469900</v>
      </c>
      <c r="I107" s="18">
        <v>399900</v>
      </c>
      <c r="J107" s="17">
        <v>389900</v>
      </c>
      <c r="K107" s="17">
        <v>399900</v>
      </c>
      <c r="L107" s="6">
        <v>1</v>
      </c>
      <c r="M107" s="6">
        <v>399900</v>
      </c>
      <c r="N107" s="17">
        <v>0</v>
      </c>
      <c r="O107" s="17">
        <v>0</v>
      </c>
      <c r="P107" t="s">
        <v>213</v>
      </c>
      <c r="Q107" t="s">
        <v>222</v>
      </c>
    </row>
    <row r="108" spans="1:17" x14ac:dyDescent="0.35">
      <c r="A108" t="str">
        <f>_xlfn.XLOOKUP(B108,Mapping!C:C,Mapping!D:D)</f>
        <v>HI-MART</v>
      </c>
      <c r="B108" s="2" t="s">
        <v>143</v>
      </c>
      <c r="C108" s="2" t="s">
        <v>320</v>
      </c>
      <c r="D108" s="3">
        <v>46181</v>
      </c>
      <c r="E108" s="4">
        <v>46187</v>
      </c>
      <c r="F108" s="5">
        <v>7</v>
      </c>
      <c r="G108" s="2" t="s">
        <v>95</v>
      </c>
      <c r="H108" s="17">
        <v>79900</v>
      </c>
      <c r="I108" s="18">
        <v>54900</v>
      </c>
      <c r="J108" s="17">
        <v>54900</v>
      </c>
      <c r="K108" s="17">
        <v>54900</v>
      </c>
      <c r="L108" s="6">
        <v>100</v>
      </c>
      <c r="M108" s="6">
        <v>5490000</v>
      </c>
      <c r="N108" s="17">
        <v>0</v>
      </c>
      <c r="O108" s="17">
        <v>0</v>
      </c>
      <c r="P108" t="s">
        <v>211</v>
      </c>
      <c r="Q108" t="s">
        <v>233</v>
      </c>
    </row>
    <row r="109" spans="1:17" x14ac:dyDescent="0.35">
      <c r="A109" t="str">
        <f>_xlfn.XLOOKUP(B109,Mapping!C:C,Mapping!D:D)</f>
        <v>HI-MART</v>
      </c>
      <c r="B109" s="2" t="s">
        <v>143</v>
      </c>
      <c r="C109" s="2" t="s">
        <v>320</v>
      </c>
      <c r="D109" s="3">
        <v>46181</v>
      </c>
      <c r="E109" s="4">
        <v>46187</v>
      </c>
      <c r="F109" s="5">
        <v>7</v>
      </c>
      <c r="G109" s="2" t="s">
        <v>99</v>
      </c>
      <c r="H109" s="17">
        <v>219900</v>
      </c>
      <c r="I109" s="18">
        <v>199900</v>
      </c>
      <c r="J109" s="17">
        <v>179900</v>
      </c>
      <c r="K109" s="17">
        <v>199900</v>
      </c>
      <c r="L109" s="6">
        <v>100</v>
      </c>
      <c r="M109" s="6">
        <v>19990000</v>
      </c>
      <c r="N109" s="17">
        <v>0</v>
      </c>
      <c r="O109" s="17">
        <v>0</v>
      </c>
      <c r="P109" t="s">
        <v>225</v>
      </c>
      <c r="Q109" t="s">
        <v>226</v>
      </c>
    </row>
    <row r="110" spans="1:17" x14ac:dyDescent="0.35">
      <c r="A110" t="str">
        <f>_xlfn.XLOOKUP(B110,Mapping!C:C,Mapping!D:D)</f>
        <v>HI-MART</v>
      </c>
      <c r="B110" s="2" t="s">
        <v>143</v>
      </c>
      <c r="C110" s="2" t="s">
        <v>320</v>
      </c>
      <c r="D110" s="3">
        <v>46181</v>
      </c>
      <c r="E110" s="4">
        <v>46194</v>
      </c>
      <c r="F110" s="5">
        <v>14</v>
      </c>
      <c r="G110" s="2" t="s">
        <v>84</v>
      </c>
      <c r="H110" s="17">
        <v>169900</v>
      </c>
      <c r="I110" s="18">
        <v>149900</v>
      </c>
      <c r="J110" s="17">
        <v>129900</v>
      </c>
      <c r="K110" s="17">
        <v>129000</v>
      </c>
      <c r="L110" s="6">
        <v>600</v>
      </c>
      <c r="M110" s="6">
        <v>77400000</v>
      </c>
      <c r="N110" s="17">
        <v>0</v>
      </c>
      <c r="O110" s="17">
        <v>0</v>
      </c>
      <c r="P110" t="s">
        <v>211</v>
      </c>
      <c r="Q110" t="s">
        <v>212</v>
      </c>
    </row>
    <row r="111" spans="1:17" x14ac:dyDescent="0.35">
      <c r="A111" t="str">
        <f>_xlfn.XLOOKUP(B111,Mapping!C:C,Mapping!D:D)</f>
        <v>HI-MART</v>
      </c>
      <c r="B111" s="2" t="s">
        <v>143</v>
      </c>
      <c r="C111" s="2" t="s">
        <v>320</v>
      </c>
      <c r="D111" s="3">
        <v>46188</v>
      </c>
      <c r="E111" s="4">
        <v>46201</v>
      </c>
      <c r="F111" s="5">
        <v>14</v>
      </c>
      <c r="G111" s="2" t="s">
        <v>26</v>
      </c>
      <c r="H111" s="17">
        <v>899000</v>
      </c>
      <c r="I111" s="18">
        <v>849000</v>
      </c>
      <c r="J111" s="17">
        <v>799000</v>
      </c>
      <c r="K111" s="17">
        <v>799000</v>
      </c>
      <c r="L111" s="6">
        <v>600</v>
      </c>
      <c r="M111" s="6">
        <v>479400000</v>
      </c>
      <c r="N111" s="17">
        <v>0</v>
      </c>
      <c r="O111" s="17">
        <v>0</v>
      </c>
      <c r="P111" t="s">
        <v>213</v>
      </c>
      <c r="Q111" t="s">
        <v>221</v>
      </c>
    </row>
    <row r="112" spans="1:17" x14ac:dyDescent="0.35">
      <c r="A112" t="str">
        <f>_xlfn.XLOOKUP(B112,Mapping!C:C,Mapping!D:D)</f>
        <v>HI-MART</v>
      </c>
      <c r="B112" s="2" t="s">
        <v>143</v>
      </c>
      <c r="C112" s="2" t="s">
        <v>320</v>
      </c>
      <c r="D112" s="3">
        <v>46188</v>
      </c>
      <c r="E112" s="4">
        <v>46201</v>
      </c>
      <c r="F112" s="5">
        <v>14</v>
      </c>
      <c r="G112" s="2" t="s">
        <v>99</v>
      </c>
      <c r="H112" s="17">
        <v>219900</v>
      </c>
      <c r="I112" s="18">
        <v>199900</v>
      </c>
      <c r="J112" s="17">
        <v>179900</v>
      </c>
      <c r="K112" s="17">
        <v>179900</v>
      </c>
      <c r="L112" s="6">
        <v>300</v>
      </c>
      <c r="M112" s="6">
        <v>53970000</v>
      </c>
      <c r="N112" s="17">
        <v>0</v>
      </c>
      <c r="O112" s="17">
        <v>0</v>
      </c>
      <c r="P112" t="s">
        <v>225</v>
      </c>
      <c r="Q112" t="s">
        <v>226</v>
      </c>
    </row>
    <row r="113" spans="1:17" x14ac:dyDescent="0.35">
      <c r="A113" t="str">
        <f>_xlfn.XLOOKUP(B113,Mapping!C:C,Mapping!D:D)</f>
        <v>HI-MART</v>
      </c>
      <c r="B113" s="2" t="s">
        <v>143</v>
      </c>
      <c r="C113" s="2" t="s">
        <v>320</v>
      </c>
      <c r="D113" s="3">
        <v>46188</v>
      </c>
      <c r="E113" s="4">
        <v>46201</v>
      </c>
      <c r="F113" s="5">
        <v>14</v>
      </c>
      <c r="G113" s="2" t="s">
        <v>42</v>
      </c>
      <c r="H113" s="17">
        <v>399900</v>
      </c>
      <c r="I113" s="18">
        <v>349900</v>
      </c>
      <c r="J113" s="17">
        <v>299900</v>
      </c>
      <c r="K113" s="17">
        <v>349000</v>
      </c>
      <c r="L113" s="6">
        <v>200</v>
      </c>
      <c r="M113" s="6">
        <v>69800000</v>
      </c>
      <c r="N113" s="17">
        <v>0</v>
      </c>
      <c r="O113" s="17">
        <v>0</v>
      </c>
      <c r="P113" t="s">
        <v>225</v>
      </c>
      <c r="Q113" t="s">
        <v>226</v>
      </c>
    </row>
    <row r="114" spans="1:17" x14ac:dyDescent="0.35">
      <c r="A114" t="str">
        <f>_xlfn.XLOOKUP(B114,Mapping!C:C,Mapping!D:D)</f>
        <v>HI-MART</v>
      </c>
      <c r="B114" s="2" t="s">
        <v>143</v>
      </c>
      <c r="C114" s="2" t="s">
        <v>320</v>
      </c>
      <c r="D114" s="3">
        <v>46188</v>
      </c>
      <c r="E114" s="4">
        <v>46203</v>
      </c>
      <c r="F114" s="5">
        <v>16</v>
      </c>
      <c r="G114" s="2" t="s">
        <v>39</v>
      </c>
      <c r="H114" s="17">
        <v>249900</v>
      </c>
      <c r="I114" s="18">
        <v>199900</v>
      </c>
      <c r="J114" s="17">
        <v>189900</v>
      </c>
      <c r="K114" s="17">
        <v>199900</v>
      </c>
      <c r="L114" s="6">
        <v>150</v>
      </c>
      <c r="M114" s="6">
        <v>29985000</v>
      </c>
      <c r="N114" s="17">
        <v>0</v>
      </c>
      <c r="O114" s="17">
        <v>0</v>
      </c>
      <c r="P114" t="s">
        <v>211</v>
      </c>
      <c r="Q114" t="s">
        <v>212</v>
      </c>
    </row>
    <row r="115" spans="1:17" x14ac:dyDescent="0.35">
      <c r="A115" t="str">
        <f>_xlfn.XLOOKUP(B115,Mapping!C:C,Mapping!D:D)</f>
        <v>HI-MART</v>
      </c>
      <c r="B115" s="2" t="s">
        <v>143</v>
      </c>
      <c r="C115" s="2" t="s">
        <v>320</v>
      </c>
      <c r="D115" s="3">
        <v>46188</v>
      </c>
      <c r="E115" s="4">
        <v>46194</v>
      </c>
      <c r="F115" s="5">
        <v>7</v>
      </c>
      <c r="G115" s="2" t="s">
        <v>86</v>
      </c>
      <c r="H115" s="17">
        <v>149900</v>
      </c>
      <c r="I115" s="18">
        <v>139900</v>
      </c>
      <c r="J115" s="17">
        <v>109900</v>
      </c>
      <c r="K115" s="17">
        <v>129900</v>
      </c>
      <c r="L115" s="6">
        <v>50</v>
      </c>
      <c r="M115" s="6">
        <v>6495000</v>
      </c>
      <c r="N115" s="17">
        <v>0</v>
      </c>
      <c r="O115" s="17">
        <v>0</v>
      </c>
      <c r="P115" t="s">
        <v>211</v>
      </c>
      <c r="Q115" t="s">
        <v>231</v>
      </c>
    </row>
    <row r="116" spans="1:17" x14ac:dyDescent="0.35">
      <c r="A116" t="str">
        <f>_xlfn.XLOOKUP(B116,Mapping!C:C,Mapping!D:D)</f>
        <v>HI-MART</v>
      </c>
      <c r="B116" s="2" t="s">
        <v>143</v>
      </c>
      <c r="C116" s="2" t="s">
        <v>320</v>
      </c>
      <c r="D116" s="3">
        <v>46188</v>
      </c>
      <c r="E116" s="4">
        <v>46194</v>
      </c>
      <c r="F116" s="5">
        <v>7</v>
      </c>
      <c r="G116" s="2" t="s">
        <v>90</v>
      </c>
      <c r="H116" s="17">
        <v>149900</v>
      </c>
      <c r="I116" s="18">
        <v>139900</v>
      </c>
      <c r="J116" s="17">
        <v>109900</v>
      </c>
      <c r="K116" s="17">
        <v>129900</v>
      </c>
      <c r="L116" s="6">
        <v>100</v>
      </c>
      <c r="M116" s="6">
        <v>12990000</v>
      </c>
      <c r="N116" s="17">
        <v>0</v>
      </c>
      <c r="O116" s="17">
        <v>0</v>
      </c>
      <c r="P116" t="s">
        <v>211</v>
      </c>
      <c r="Q116" t="s">
        <v>231</v>
      </c>
    </row>
    <row r="117" spans="1:17" x14ac:dyDescent="0.35">
      <c r="A117" t="str">
        <f>_xlfn.XLOOKUP(B117,Mapping!C:C,Mapping!D:D)</f>
        <v>HI-MART</v>
      </c>
      <c r="B117" s="2" t="s">
        <v>143</v>
      </c>
      <c r="C117" s="2" t="s">
        <v>320</v>
      </c>
      <c r="D117" s="3">
        <v>46188</v>
      </c>
      <c r="E117" s="4">
        <v>46194</v>
      </c>
      <c r="F117" s="5">
        <v>7</v>
      </c>
      <c r="G117" s="2" t="s">
        <v>101</v>
      </c>
      <c r="H117" s="17">
        <v>149900</v>
      </c>
      <c r="I117" s="18">
        <v>139900</v>
      </c>
      <c r="J117" s="17">
        <v>109900</v>
      </c>
      <c r="K117" s="17">
        <v>129900</v>
      </c>
      <c r="L117" s="6">
        <v>100</v>
      </c>
      <c r="M117" s="6">
        <v>12990000</v>
      </c>
      <c r="N117" s="17">
        <v>0</v>
      </c>
      <c r="O117" s="17">
        <v>0</v>
      </c>
      <c r="P117" t="s">
        <v>211</v>
      </c>
      <c r="Q117" t="s">
        <v>231</v>
      </c>
    </row>
    <row r="118" spans="1:17" x14ac:dyDescent="0.35">
      <c r="A118" t="str">
        <f>_xlfn.XLOOKUP(B118,Mapping!C:C,Mapping!D:D)</f>
        <v>HI-MART</v>
      </c>
      <c r="B118" s="2" t="s">
        <v>143</v>
      </c>
      <c r="C118" s="2" t="s">
        <v>320</v>
      </c>
      <c r="D118" s="3">
        <v>46188</v>
      </c>
      <c r="E118" s="4">
        <v>46202</v>
      </c>
      <c r="F118" s="5">
        <v>15</v>
      </c>
      <c r="G118" s="2" t="s">
        <v>38</v>
      </c>
      <c r="H118" s="17">
        <v>429900</v>
      </c>
      <c r="I118" s="18">
        <v>399900</v>
      </c>
      <c r="J118" s="17">
        <v>349900</v>
      </c>
      <c r="K118" s="17">
        <v>399900</v>
      </c>
      <c r="L118" s="6">
        <v>100</v>
      </c>
      <c r="M118" s="6">
        <v>39990000</v>
      </c>
      <c r="N118" s="17">
        <v>0</v>
      </c>
      <c r="O118" s="17">
        <v>0</v>
      </c>
      <c r="P118" t="s">
        <v>215</v>
      </c>
      <c r="Q118" t="s">
        <v>227</v>
      </c>
    </row>
    <row r="119" spans="1:17" x14ac:dyDescent="0.35">
      <c r="A119" t="str">
        <f>_xlfn.XLOOKUP(B119,Mapping!C:C,Mapping!D:D)</f>
        <v>HI-MART</v>
      </c>
      <c r="B119" s="2" t="s">
        <v>143</v>
      </c>
      <c r="C119" s="2" t="s">
        <v>144</v>
      </c>
      <c r="D119" s="3">
        <v>46174</v>
      </c>
      <c r="E119" s="4">
        <v>46203</v>
      </c>
      <c r="F119" s="5">
        <v>30</v>
      </c>
      <c r="G119" s="2" t="s">
        <v>23</v>
      </c>
      <c r="H119" s="17">
        <v>899000</v>
      </c>
      <c r="I119" s="18">
        <v>849000</v>
      </c>
      <c r="J119" s="17">
        <v>799000</v>
      </c>
      <c r="K119" s="17">
        <v>769000</v>
      </c>
      <c r="L119" s="6">
        <v>500</v>
      </c>
      <c r="M119" s="6">
        <v>384500000</v>
      </c>
      <c r="N119" s="17">
        <v>0</v>
      </c>
      <c r="O119" s="17">
        <v>0</v>
      </c>
      <c r="P119" t="s">
        <v>213</v>
      </c>
      <c r="Q119" t="s">
        <v>220</v>
      </c>
    </row>
    <row r="120" spans="1:17" x14ac:dyDescent="0.35">
      <c r="A120" t="str">
        <f>_xlfn.XLOOKUP(B120,Mapping!C:C,Mapping!D:D)</f>
        <v>HI-MART</v>
      </c>
      <c r="B120" s="7" t="s">
        <v>143</v>
      </c>
      <c r="C120" s="2" t="s">
        <v>145</v>
      </c>
      <c r="D120" s="3">
        <v>46174</v>
      </c>
      <c r="E120" s="4">
        <v>46203</v>
      </c>
      <c r="F120" s="5">
        <v>30</v>
      </c>
      <c r="G120" s="2" t="s">
        <v>109</v>
      </c>
      <c r="H120" s="17">
        <v>249900</v>
      </c>
      <c r="I120" s="18">
        <v>219900</v>
      </c>
      <c r="J120" s="17">
        <v>199900</v>
      </c>
      <c r="K120" s="17">
        <v>199900</v>
      </c>
      <c r="L120" s="6">
        <v>500</v>
      </c>
      <c r="M120" s="6">
        <v>99950000</v>
      </c>
      <c r="N120" s="17">
        <v>0</v>
      </c>
      <c r="O120" s="17">
        <v>0</v>
      </c>
      <c r="P120" t="s">
        <v>225</v>
      </c>
      <c r="Q120" t="s">
        <v>226</v>
      </c>
    </row>
    <row r="121" spans="1:17" x14ac:dyDescent="0.35">
      <c r="A121" t="str">
        <f>_xlfn.XLOOKUP(B121,Mapping!C:C,Mapping!D:D)</f>
        <v>Naver</v>
      </c>
      <c r="B121" s="2" t="s">
        <v>146</v>
      </c>
      <c r="C121" s="2" t="s">
        <v>147</v>
      </c>
      <c r="D121" s="3">
        <v>46175</v>
      </c>
      <c r="E121" s="4">
        <v>46175</v>
      </c>
      <c r="F121" s="5">
        <v>1</v>
      </c>
      <c r="G121" s="2" t="s">
        <v>31</v>
      </c>
      <c r="H121" s="17">
        <v>849000</v>
      </c>
      <c r="I121" s="18">
        <v>749000</v>
      </c>
      <c r="J121" s="17">
        <v>699000</v>
      </c>
      <c r="K121" s="17">
        <v>749000</v>
      </c>
      <c r="L121" s="6">
        <v>88</v>
      </c>
      <c r="M121" s="6">
        <v>65912000</v>
      </c>
      <c r="N121" s="17">
        <v>67920000</v>
      </c>
      <c r="O121" s="17">
        <v>55286880</v>
      </c>
      <c r="P121" t="s">
        <v>213</v>
      </c>
      <c r="Q121" t="s">
        <v>221</v>
      </c>
    </row>
    <row r="122" spans="1:17" x14ac:dyDescent="0.35">
      <c r="A122" t="str">
        <f>_xlfn.XLOOKUP(B122,Mapping!C:C,Mapping!D:D)</f>
        <v>Naver</v>
      </c>
      <c r="B122" s="2" t="s">
        <v>146</v>
      </c>
      <c r="C122" s="2" t="s">
        <v>147</v>
      </c>
      <c r="D122" s="3">
        <v>46175</v>
      </c>
      <c r="E122" s="4">
        <v>46175</v>
      </c>
      <c r="F122" s="5">
        <v>1</v>
      </c>
      <c r="G122" s="2" t="s">
        <v>107</v>
      </c>
      <c r="H122" s="17">
        <v>849000</v>
      </c>
      <c r="I122" s="18">
        <v>749000</v>
      </c>
      <c r="J122" s="17">
        <v>699000</v>
      </c>
      <c r="K122" s="17">
        <v>749000</v>
      </c>
      <c r="L122" s="6">
        <v>15</v>
      </c>
      <c r="M122" s="6">
        <v>11235000</v>
      </c>
      <c r="N122" s="17">
        <v>11577272.727272727</v>
      </c>
      <c r="O122" s="17">
        <v>9423899.9999999981</v>
      </c>
      <c r="P122" t="s">
        <v>213</v>
      </c>
      <c r="Q122" t="s">
        <v>220</v>
      </c>
    </row>
    <row r="123" spans="1:17" x14ac:dyDescent="0.35">
      <c r="A123" t="str">
        <f>_xlfn.XLOOKUP(B123,Mapping!C:C,Mapping!D:D)</f>
        <v>Naver</v>
      </c>
      <c r="B123" s="2" t="s">
        <v>146</v>
      </c>
      <c r="C123" s="2" t="s">
        <v>147</v>
      </c>
      <c r="D123" s="3">
        <v>46175</v>
      </c>
      <c r="E123" s="4">
        <v>46175</v>
      </c>
      <c r="F123" s="5">
        <v>1</v>
      </c>
      <c r="G123" s="2" t="s">
        <v>108</v>
      </c>
      <c r="H123" s="17">
        <v>199900</v>
      </c>
      <c r="I123" s="18">
        <v>179900</v>
      </c>
      <c r="J123" s="17">
        <v>169900</v>
      </c>
      <c r="K123" s="17">
        <v>199900</v>
      </c>
      <c r="L123" s="6">
        <v>23</v>
      </c>
      <c r="M123" s="6">
        <v>4597700</v>
      </c>
      <c r="N123" s="17">
        <v>4179727.2727272725</v>
      </c>
      <c r="O123" s="17">
        <v>3402298</v>
      </c>
      <c r="P123" t="s">
        <v>213</v>
      </c>
      <c r="Q123" t="s">
        <v>230</v>
      </c>
    </row>
    <row r="124" spans="1:17" x14ac:dyDescent="0.35">
      <c r="A124" t="str">
        <f>_xlfn.XLOOKUP(B124,Mapping!C:C,Mapping!D:D)</f>
        <v>Naver</v>
      </c>
      <c r="B124" s="2" t="s">
        <v>146</v>
      </c>
      <c r="C124" s="2" t="s">
        <v>147</v>
      </c>
      <c r="D124" s="3">
        <v>46175</v>
      </c>
      <c r="E124" s="4">
        <v>46175</v>
      </c>
      <c r="F124" s="5">
        <v>1</v>
      </c>
      <c r="G124" s="2" t="s">
        <v>109</v>
      </c>
      <c r="H124" s="17">
        <v>249900</v>
      </c>
      <c r="I124" s="18">
        <v>219900</v>
      </c>
      <c r="J124" s="17">
        <v>199900</v>
      </c>
      <c r="K124" s="17">
        <v>219900</v>
      </c>
      <c r="L124" s="6">
        <v>60</v>
      </c>
      <c r="M124" s="6">
        <v>13194000</v>
      </c>
      <c r="N124" s="17">
        <v>13630909.09090909</v>
      </c>
      <c r="O124" s="17">
        <v>11095560</v>
      </c>
      <c r="P124" t="s">
        <v>225</v>
      </c>
      <c r="Q124" t="s">
        <v>226</v>
      </c>
    </row>
    <row r="125" spans="1:17" x14ac:dyDescent="0.35">
      <c r="A125" t="str">
        <f>_xlfn.XLOOKUP(B125,Mapping!C:C,Mapping!D:D)</f>
        <v>Naver</v>
      </c>
      <c r="B125" s="2" t="s">
        <v>146</v>
      </c>
      <c r="C125" s="2" t="s">
        <v>147</v>
      </c>
      <c r="D125" s="3">
        <v>46182</v>
      </c>
      <c r="E125" s="4">
        <v>46182</v>
      </c>
      <c r="F125" s="5">
        <v>1</v>
      </c>
      <c r="G125" s="2" t="s">
        <v>21</v>
      </c>
      <c r="H125" s="17">
        <v>449900</v>
      </c>
      <c r="I125" s="18">
        <v>379900</v>
      </c>
      <c r="J125" s="17">
        <v>349900</v>
      </c>
      <c r="K125" s="17">
        <v>379900</v>
      </c>
      <c r="L125" s="6">
        <v>60</v>
      </c>
      <c r="M125" s="6">
        <v>22794000</v>
      </c>
      <c r="N125" s="17">
        <v>24539999.999999996</v>
      </c>
      <c r="O125" s="17">
        <v>19975559.999999996</v>
      </c>
      <c r="P125" t="s">
        <v>211</v>
      </c>
      <c r="Q125" t="s">
        <v>217</v>
      </c>
    </row>
    <row r="126" spans="1:17" x14ac:dyDescent="0.35">
      <c r="A126" t="str">
        <f>_xlfn.XLOOKUP(B126,Mapping!C:C,Mapping!D:D)</f>
        <v>Naver</v>
      </c>
      <c r="B126" s="2" t="s">
        <v>146</v>
      </c>
      <c r="C126" s="2" t="s">
        <v>147</v>
      </c>
      <c r="D126" s="3">
        <v>46182</v>
      </c>
      <c r="E126" s="4">
        <v>46182</v>
      </c>
      <c r="F126" s="5">
        <v>1</v>
      </c>
      <c r="G126" s="2" t="s">
        <v>86</v>
      </c>
      <c r="H126" s="17">
        <v>149900</v>
      </c>
      <c r="I126" s="18">
        <v>139900</v>
      </c>
      <c r="J126" s="17">
        <v>109900</v>
      </c>
      <c r="K126" s="17">
        <v>129900</v>
      </c>
      <c r="L126" s="6">
        <v>300</v>
      </c>
      <c r="M126" s="6">
        <v>38970000</v>
      </c>
      <c r="N126" s="17">
        <v>40881818.18181818</v>
      </c>
      <c r="O126" s="17">
        <v>33277799.999999993</v>
      </c>
      <c r="P126" t="s">
        <v>211</v>
      </c>
      <c r="Q126" t="s">
        <v>231</v>
      </c>
    </row>
    <row r="127" spans="1:17" x14ac:dyDescent="0.35">
      <c r="A127" t="str">
        <f>_xlfn.XLOOKUP(B127,Mapping!C:C,Mapping!D:D)</f>
        <v>Naver</v>
      </c>
      <c r="B127" s="2" t="s">
        <v>146</v>
      </c>
      <c r="C127" s="2" t="s">
        <v>147</v>
      </c>
      <c r="D127" s="3">
        <v>46182</v>
      </c>
      <c r="E127" s="4">
        <v>46182</v>
      </c>
      <c r="F127" s="5">
        <v>1</v>
      </c>
      <c r="G127" s="2" t="s">
        <v>32</v>
      </c>
      <c r="H127" s="17">
        <v>349900</v>
      </c>
      <c r="I127" s="18">
        <v>299900</v>
      </c>
      <c r="J127" s="17">
        <v>269900</v>
      </c>
      <c r="K127" s="17">
        <v>299900</v>
      </c>
      <c r="L127" s="6">
        <v>150</v>
      </c>
      <c r="M127" s="6">
        <v>44985000</v>
      </c>
      <c r="N127" s="17">
        <v>47713636.36363636</v>
      </c>
      <c r="O127" s="17">
        <v>38838900</v>
      </c>
      <c r="P127" t="s">
        <v>211</v>
      </c>
      <c r="Q127" t="s">
        <v>224</v>
      </c>
    </row>
    <row r="128" spans="1:17" x14ac:dyDescent="0.35">
      <c r="A128" t="str">
        <f>_xlfn.XLOOKUP(B128,Mapping!C:C,Mapping!D:D)</f>
        <v>Naver</v>
      </c>
      <c r="B128" s="2" t="s">
        <v>146</v>
      </c>
      <c r="C128" s="2" t="s">
        <v>148</v>
      </c>
      <c r="D128" s="3">
        <v>46195</v>
      </c>
      <c r="E128" s="4">
        <v>46195</v>
      </c>
      <c r="F128" s="5">
        <v>1</v>
      </c>
      <c r="G128" s="2" t="s">
        <v>20</v>
      </c>
      <c r="H128" s="17">
        <v>249900</v>
      </c>
      <c r="I128" s="18">
        <v>219900</v>
      </c>
      <c r="J128" s="17">
        <v>199900</v>
      </c>
      <c r="K128" s="17">
        <v>229900</v>
      </c>
      <c r="L128" s="6">
        <v>300</v>
      </c>
      <c r="M128" s="6">
        <v>68970000</v>
      </c>
      <c r="N128" s="17">
        <v>68154545.454545453</v>
      </c>
      <c r="O128" s="17">
        <v>55477800</v>
      </c>
      <c r="P128" t="s">
        <v>215</v>
      </c>
      <c r="Q128" t="s">
        <v>216</v>
      </c>
    </row>
    <row r="129" spans="1:17" x14ac:dyDescent="0.35">
      <c r="A129" t="str">
        <f>_xlfn.XLOOKUP(B129,Mapping!C:C,Mapping!D:D)</f>
        <v>Naver</v>
      </c>
      <c r="B129" s="2" t="s">
        <v>146</v>
      </c>
      <c r="C129" s="2" t="s">
        <v>148</v>
      </c>
      <c r="D129" s="3">
        <v>46195</v>
      </c>
      <c r="E129" s="4">
        <v>46195</v>
      </c>
      <c r="F129" s="5">
        <v>1</v>
      </c>
      <c r="G129" s="2" t="s">
        <v>21</v>
      </c>
      <c r="H129" s="17">
        <v>449900</v>
      </c>
      <c r="I129" s="18">
        <v>379900</v>
      </c>
      <c r="J129" s="17">
        <v>349900</v>
      </c>
      <c r="K129" s="17">
        <v>349900</v>
      </c>
      <c r="L129" s="6">
        <v>100</v>
      </c>
      <c r="M129" s="6">
        <v>34990000</v>
      </c>
      <c r="N129" s="17">
        <v>40899999.999999993</v>
      </c>
      <c r="O129" s="17">
        <v>33292599.999999993</v>
      </c>
      <c r="P129" t="s">
        <v>211</v>
      </c>
      <c r="Q129" t="s">
        <v>217</v>
      </c>
    </row>
    <row r="130" spans="1:17" x14ac:dyDescent="0.35">
      <c r="A130" t="str">
        <f>_xlfn.XLOOKUP(B130,Mapping!C:C,Mapping!D:D)</f>
        <v>Naver</v>
      </c>
      <c r="B130" s="2" t="s">
        <v>146</v>
      </c>
      <c r="C130" s="2" t="s">
        <v>148</v>
      </c>
      <c r="D130" s="3">
        <v>46195</v>
      </c>
      <c r="E130" s="4">
        <v>46195</v>
      </c>
      <c r="F130" s="5">
        <v>1</v>
      </c>
      <c r="G130" s="2" t="s">
        <v>26</v>
      </c>
      <c r="H130" s="17">
        <v>899000</v>
      </c>
      <c r="I130" s="18">
        <v>849000</v>
      </c>
      <c r="J130" s="17">
        <v>799000</v>
      </c>
      <c r="K130" s="17">
        <v>799000</v>
      </c>
      <c r="L130" s="6">
        <v>100</v>
      </c>
      <c r="M130" s="6">
        <v>79900000</v>
      </c>
      <c r="N130" s="17">
        <v>81727272.727272719</v>
      </c>
      <c r="O130" s="17">
        <v>66525999.999999993</v>
      </c>
      <c r="P130" t="s">
        <v>213</v>
      </c>
      <c r="Q130" t="s">
        <v>221</v>
      </c>
    </row>
    <row r="131" spans="1:17" x14ac:dyDescent="0.35">
      <c r="A131" t="str">
        <f>_xlfn.XLOOKUP(B131,Mapping!C:C,Mapping!D:D)</f>
        <v>Naver</v>
      </c>
      <c r="B131" s="2" t="s">
        <v>146</v>
      </c>
      <c r="C131" s="2" t="s">
        <v>148</v>
      </c>
      <c r="D131" s="3">
        <v>46195</v>
      </c>
      <c r="E131" s="4">
        <v>46195</v>
      </c>
      <c r="F131" s="5">
        <v>1</v>
      </c>
      <c r="G131" s="2" t="s">
        <v>109</v>
      </c>
      <c r="H131" s="17">
        <v>249900</v>
      </c>
      <c r="I131" s="18">
        <v>219900</v>
      </c>
      <c r="J131" s="17">
        <v>199900</v>
      </c>
      <c r="K131" s="17">
        <v>199900</v>
      </c>
      <c r="L131" s="6">
        <v>100</v>
      </c>
      <c r="M131" s="6">
        <v>19990000</v>
      </c>
      <c r="N131" s="17">
        <v>22718181.818181816</v>
      </c>
      <c r="O131" s="17">
        <v>18492600</v>
      </c>
      <c r="P131" t="s">
        <v>225</v>
      </c>
      <c r="Q131" t="s">
        <v>226</v>
      </c>
    </row>
    <row r="132" spans="1:17" x14ac:dyDescent="0.35">
      <c r="A132" t="str">
        <f>_xlfn.XLOOKUP(B132,Mapping!C:C,Mapping!D:D)</f>
        <v>Naver</v>
      </c>
      <c r="B132" s="2" t="s">
        <v>146</v>
      </c>
      <c r="C132" s="2" t="s">
        <v>148</v>
      </c>
      <c r="D132" s="3">
        <v>46195</v>
      </c>
      <c r="E132" s="4">
        <v>46195</v>
      </c>
      <c r="F132" s="5">
        <v>1</v>
      </c>
      <c r="G132" s="2" t="s">
        <v>86</v>
      </c>
      <c r="H132" s="17">
        <v>149900</v>
      </c>
      <c r="I132" s="18">
        <v>139900</v>
      </c>
      <c r="J132" s="17">
        <v>109900</v>
      </c>
      <c r="K132" s="17">
        <v>119900</v>
      </c>
      <c r="L132" s="6">
        <v>300</v>
      </c>
      <c r="M132" s="6">
        <v>35970000</v>
      </c>
      <c r="N132" s="17">
        <v>40881818.18181818</v>
      </c>
      <c r="O132" s="17">
        <v>33277799.999999993</v>
      </c>
      <c r="P132" t="s">
        <v>211</v>
      </c>
      <c r="Q132" t="s">
        <v>231</v>
      </c>
    </row>
    <row r="133" spans="1:17" x14ac:dyDescent="0.35">
      <c r="A133" t="str">
        <f>_xlfn.XLOOKUP(B133,Mapping!C:C,Mapping!D:D)</f>
        <v>Naver</v>
      </c>
      <c r="B133" s="2" t="s">
        <v>146</v>
      </c>
      <c r="C133" s="2" t="s">
        <v>148</v>
      </c>
      <c r="D133" s="3">
        <v>46195</v>
      </c>
      <c r="E133" s="4">
        <v>46195</v>
      </c>
      <c r="F133" s="5">
        <v>1</v>
      </c>
      <c r="G133" s="2" t="s">
        <v>32</v>
      </c>
      <c r="H133" s="17">
        <v>349900</v>
      </c>
      <c r="I133" s="18">
        <v>299900</v>
      </c>
      <c r="J133" s="17">
        <v>269900</v>
      </c>
      <c r="K133" s="17">
        <v>299900</v>
      </c>
      <c r="L133" s="6">
        <v>250</v>
      </c>
      <c r="M133" s="6">
        <v>74975000</v>
      </c>
      <c r="N133" s="17">
        <v>79522727.272727266</v>
      </c>
      <c r="O133" s="17">
        <v>64731499.999999993</v>
      </c>
      <c r="P133" t="s">
        <v>211</v>
      </c>
      <c r="Q133" t="s">
        <v>224</v>
      </c>
    </row>
    <row r="134" spans="1:17" x14ac:dyDescent="0.35">
      <c r="A134" t="str">
        <f>_xlfn.XLOOKUP(B134,Mapping!C:C,Mapping!D:D)</f>
        <v>Naver</v>
      </c>
      <c r="B134" s="2" t="s">
        <v>146</v>
      </c>
      <c r="C134" s="2" t="s">
        <v>148</v>
      </c>
      <c r="D134" s="3">
        <v>46195</v>
      </c>
      <c r="E134" s="4">
        <v>46195</v>
      </c>
      <c r="F134" s="5">
        <v>1</v>
      </c>
      <c r="G134" s="2" t="s">
        <v>87</v>
      </c>
      <c r="H134" s="17">
        <v>219900</v>
      </c>
      <c r="I134" s="18">
        <v>199900</v>
      </c>
      <c r="J134" s="17">
        <v>179900</v>
      </c>
      <c r="K134" s="17">
        <v>149900</v>
      </c>
      <c r="L134" s="6">
        <v>100</v>
      </c>
      <c r="M134" s="6">
        <v>14990000</v>
      </c>
      <c r="N134" s="17">
        <v>19990909.09090909</v>
      </c>
      <c r="O134" s="17">
        <v>16272599.999999996</v>
      </c>
      <c r="P134" t="s">
        <v>225</v>
      </c>
      <c r="Q134" t="s">
        <v>226</v>
      </c>
    </row>
    <row r="135" spans="1:17" x14ac:dyDescent="0.35">
      <c r="A135" t="str">
        <f>_xlfn.XLOOKUP(B135,Mapping!C:C,Mapping!D:D)</f>
        <v>Naver</v>
      </c>
      <c r="B135" s="2" t="s">
        <v>146</v>
      </c>
      <c r="C135" s="2" t="s">
        <v>148</v>
      </c>
      <c r="D135" s="3">
        <v>46195</v>
      </c>
      <c r="E135" s="4">
        <v>46195</v>
      </c>
      <c r="F135" s="5">
        <v>1</v>
      </c>
      <c r="G135" s="2" t="s">
        <v>33</v>
      </c>
      <c r="H135" s="17">
        <v>399900</v>
      </c>
      <c r="I135" s="18">
        <v>349900</v>
      </c>
      <c r="J135" s="17">
        <v>299900</v>
      </c>
      <c r="K135" s="17">
        <v>349900</v>
      </c>
      <c r="L135" s="6">
        <v>1200</v>
      </c>
      <c r="M135" s="6">
        <v>419880000</v>
      </c>
      <c r="N135" s="17">
        <v>436254545.45454544</v>
      </c>
      <c r="O135" s="17">
        <v>355111199.99999994</v>
      </c>
      <c r="P135" t="s">
        <v>225</v>
      </c>
      <c r="Q135" t="s">
        <v>226</v>
      </c>
    </row>
    <row r="136" spans="1:17" x14ac:dyDescent="0.35">
      <c r="A136" t="str">
        <f>_xlfn.XLOOKUP(B136,Mapping!C:C,Mapping!D:D)</f>
        <v>Naver</v>
      </c>
      <c r="B136" s="2" t="s">
        <v>146</v>
      </c>
      <c r="C136" s="2" t="s">
        <v>148</v>
      </c>
      <c r="D136" s="3">
        <v>46195</v>
      </c>
      <c r="E136" s="4">
        <v>46195</v>
      </c>
      <c r="F136" s="5">
        <v>1</v>
      </c>
      <c r="G136" s="2" t="s">
        <v>34</v>
      </c>
      <c r="H136" s="17">
        <v>249900</v>
      </c>
      <c r="I136" s="18">
        <v>229900</v>
      </c>
      <c r="J136" s="17">
        <v>199900</v>
      </c>
      <c r="K136" s="17">
        <v>229900</v>
      </c>
      <c r="L136" s="6">
        <v>200</v>
      </c>
      <c r="M136" s="6">
        <v>45980000</v>
      </c>
      <c r="N136" s="17">
        <v>36345454.545454539</v>
      </c>
      <c r="O136" s="17">
        <v>29585199.999999996</v>
      </c>
      <c r="P136" t="s">
        <v>211</v>
      </c>
      <c r="Q136" t="s">
        <v>231</v>
      </c>
    </row>
    <row r="137" spans="1:17" x14ac:dyDescent="0.35">
      <c r="A137" t="str">
        <f>_xlfn.XLOOKUP(B137,Mapping!C:C,Mapping!D:D)</f>
        <v>Naver</v>
      </c>
      <c r="B137" s="2" t="s">
        <v>146</v>
      </c>
      <c r="C137" s="2" t="s">
        <v>149</v>
      </c>
      <c r="D137" s="3">
        <v>46195</v>
      </c>
      <c r="E137" s="4">
        <v>46208</v>
      </c>
      <c r="F137" s="5">
        <v>14</v>
      </c>
      <c r="G137" s="2" t="s">
        <v>28</v>
      </c>
      <c r="H137" s="17">
        <v>299900</v>
      </c>
      <c r="I137" s="18">
        <v>199900</v>
      </c>
      <c r="J137" s="17">
        <v>199900</v>
      </c>
      <c r="K137" s="17">
        <v>206000</v>
      </c>
      <c r="L137" s="6">
        <v>500</v>
      </c>
      <c r="M137" s="6">
        <v>103000000</v>
      </c>
      <c r="N137" s="17">
        <v>136318181.81818178</v>
      </c>
      <c r="O137" s="17">
        <v>110962999.99999997</v>
      </c>
      <c r="P137" t="s">
        <v>213</v>
      </c>
      <c r="Q137" t="s">
        <v>222</v>
      </c>
    </row>
    <row r="138" spans="1:17" x14ac:dyDescent="0.35">
      <c r="A138" t="str">
        <f>_xlfn.XLOOKUP(B138,Mapping!C:C,Mapping!D:D)</f>
        <v>Naver</v>
      </c>
      <c r="B138" s="2" t="s">
        <v>146</v>
      </c>
      <c r="C138" s="2" t="s">
        <v>149</v>
      </c>
      <c r="D138" s="3">
        <v>46195</v>
      </c>
      <c r="E138" s="4">
        <v>46208</v>
      </c>
      <c r="F138" s="5">
        <v>14</v>
      </c>
      <c r="G138" s="2" t="s">
        <v>107</v>
      </c>
      <c r="H138" s="17">
        <v>849000</v>
      </c>
      <c r="I138" s="18">
        <v>749000</v>
      </c>
      <c r="J138" s="17">
        <v>699000</v>
      </c>
      <c r="K138" s="17">
        <v>749000</v>
      </c>
      <c r="L138" s="6">
        <v>300</v>
      </c>
      <c r="M138" s="6">
        <v>224700000</v>
      </c>
      <c r="N138" s="17">
        <v>231545454.54545453</v>
      </c>
      <c r="O138" s="17">
        <v>188478000</v>
      </c>
      <c r="P138" t="s">
        <v>213</v>
      </c>
      <c r="Q138" t="s">
        <v>220</v>
      </c>
    </row>
    <row r="139" spans="1:17" x14ac:dyDescent="0.35">
      <c r="A139" t="str">
        <f>_xlfn.XLOOKUP(B139,Mapping!C:C,Mapping!D:D)</f>
        <v>Naver</v>
      </c>
      <c r="B139" s="2" t="s">
        <v>146</v>
      </c>
      <c r="C139" s="2" t="s">
        <v>149</v>
      </c>
      <c r="D139" s="3">
        <v>46195</v>
      </c>
      <c r="E139" s="4">
        <v>46208</v>
      </c>
      <c r="F139" s="5">
        <v>14</v>
      </c>
      <c r="G139" s="2" t="s">
        <v>108</v>
      </c>
      <c r="H139" s="17">
        <v>199900</v>
      </c>
      <c r="I139" s="18">
        <v>179900</v>
      </c>
      <c r="J139" s="17">
        <v>169900</v>
      </c>
      <c r="K139" s="17">
        <v>179900</v>
      </c>
      <c r="L139" s="6">
        <v>380</v>
      </c>
      <c r="M139" s="6">
        <v>68362000</v>
      </c>
      <c r="N139" s="17">
        <v>69056363.636363626</v>
      </c>
      <c r="O139" s="17">
        <v>56211879.999999985</v>
      </c>
      <c r="P139" t="s">
        <v>213</v>
      </c>
      <c r="Q139" t="s">
        <v>230</v>
      </c>
    </row>
    <row r="140" spans="1:17" x14ac:dyDescent="0.35">
      <c r="A140" t="str">
        <f>_xlfn.XLOOKUP(B140,Mapping!C:C,Mapping!D:D)</f>
        <v>Naver</v>
      </c>
      <c r="B140" s="2" t="s">
        <v>146</v>
      </c>
      <c r="C140" s="2" t="s">
        <v>149</v>
      </c>
      <c r="D140" s="3">
        <v>46195</v>
      </c>
      <c r="E140" s="4">
        <v>46208</v>
      </c>
      <c r="F140" s="5">
        <v>14</v>
      </c>
      <c r="G140" s="2" t="s">
        <v>35</v>
      </c>
      <c r="H140" s="17">
        <v>749000</v>
      </c>
      <c r="I140" s="18">
        <v>599000</v>
      </c>
      <c r="J140" s="17">
        <v>549000</v>
      </c>
      <c r="K140" s="17">
        <v>521000</v>
      </c>
      <c r="L140" s="6">
        <v>600</v>
      </c>
      <c r="M140" s="6">
        <v>312600000</v>
      </c>
      <c r="N140" s="17">
        <v>408545454.5454545</v>
      </c>
      <c r="O140" s="17">
        <v>332556000</v>
      </c>
      <c r="P140" t="s">
        <v>213</v>
      </c>
      <c r="Q140" t="s">
        <v>221</v>
      </c>
    </row>
    <row r="141" spans="1:17" x14ac:dyDescent="0.35">
      <c r="A141" t="str">
        <f>_xlfn.XLOOKUP(B141,Mapping!C:C,Mapping!D:D)</f>
        <v>Naver</v>
      </c>
      <c r="B141" s="2" t="s">
        <v>146</v>
      </c>
      <c r="C141" s="2" t="s">
        <v>149</v>
      </c>
      <c r="D141" s="3">
        <v>46195</v>
      </c>
      <c r="E141" s="4">
        <v>46208</v>
      </c>
      <c r="F141" s="5">
        <v>14</v>
      </c>
      <c r="G141" s="2" t="s">
        <v>36</v>
      </c>
      <c r="H141" s="17">
        <v>469900</v>
      </c>
      <c r="I141" s="18">
        <v>399900</v>
      </c>
      <c r="J141" s="17">
        <v>389900</v>
      </c>
      <c r="K141" s="17">
        <v>399000</v>
      </c>
      <c r="L141" s="6">
        <v>400</v>
      </c>
      <c r="M141" s="6">
        <v>159600000</v>
      </c>
      <c r="N141" s="17">
        <v>170872727.27272725</v>
      </c>
      <c r="O141" s="17">
        <v>139090400</v>
      </c>
      <c r="P141" t="s">
        <v>213</v>
      </c>
      <c r="Q141" t="s">
        <v>222</v>
      </c>
    </row>
    <row r="142" spans="1:17" x14ac:dyDescent="0.35">
      <c r="A142" t="str">
        <f>_xlfn.XLOOKUP(B142,Mapping!C:C,Mapping!D:D)</f>
        <v>Naver</v>
      </c>
      <c r="B142" s="2" t="s">
        <v>146</v>
      </c>
      <c r="C142" s="2" t="s">
        <v>149</v>
      </c>
      <c r="D142" s="3">
        <v>46195</v>
      </c>
      <c r="E142" s="4">
        <v>46208</v>
      </c>
      <c r="F142" s="5">
        <v>14</v>
      </c>
      <c r="G142" s="2" t="s">
        <v>88</v>
      </c>
      <c r="H142" s="17">
        <v>599000</v>
      </c>
      <c r="I142" s="18">
        <v>499000</v>
      </c>
      <c r="J142" s="17">
        <v>399900</v>
      </c>
      <c r="K142" s="17">
        <v>499000</v>
      </c>
      <c r="L142" s="6">
        <v>500</v>
      </c>
      <c r="M142" s="6">
        <v>249500000</v>
      </c>
      <c r="N142" s="17">
        <v>272272727.27272725</v>
      </c>
      <c r="O142" s="17">
        <v>221630000</v>
      </c>
      <c r="P142" t="s">
        <v>213</v>
      </c>
      <c r="Q142" t="s">
        <v>214</v>
      </c>
    </row>
    <row r="143" spans="1:17" x14ac:dyDescent="0.35">
      <c r="A143" t="str">
        <f>_xlfn.XLOOKUP(B143,Mapping!C:C,Mapping!D:D)</f>
        <v>Naver</v>
      </c>
      <c r="B143" s="2" t="s">
        <v>146</v>
      </c>
      <c r="C143" s="2" t="s">
        <v>149</v>
      </c>
      <c r="D143" s="3">
        <v>46195</v>
      </c>
      <c r="E143" s="4">
        <v>46208</v>
      </c>
      <c r="F143" s="5">
        <v>14</v>
      </c>
      <c r="G143" s="2" t="s">
        <v>37</v>
      </c>
      <c r="H143" s="17">
        <v>229900</v>
      </c>
      <c r="I143" s="18">
        <v>199900</v>
      </c>
      <c r="J143" s="17">
        <v>179900</v>
      </c>
      <c r="K143" s="17">
        <v>199900</v>
      </c>
      <c r="L143" s="6">
        <v>300</v>
      </c>
      <c r="M143" s="6">
        <v>59970000</v>
      </c>
      <c r="N143" s="17">
        <v>62699999.999999993</v>
      </c>
      <c r="O143" s="17">
        <v>51037799.999999993</v>
      </c>
      <c r="P143" t="s">
        <v>215</v>
      </c>
      <c r="Q143" t="s">
        <v>223</v>
      </c>
    </row>
    <row r="144" spans="1:17" x14ac:dyDescent="0.35">
      <c r="A144" t="str">
        <f>_xlfn.XLOOKUP(B144,Mapping!C:C,Mapping!D:D)</f>
        <v>Naver</v>
      </c>
      <c r="B144" s="2" t="s">
        <v>146</v>
      </c>
      <c r="C144" s="2" t="s">
        <v>149</v>
      </c>
      <c r="D144" s="3">
        <v>46195</v>
      </c>
      <c r="E144" s="4">
        <v>46208</v>
      </c>
      <c r="F144" s="5">
        <v>14</v>
      </c>
      <c r="G144" s="2" t="s">
        <v>38</v>
      </c>
      <c r="H144" s="17">
        <v>429900</v>
      </c>
      <c r="I144" s="18">
        <v>399900</v>
      </c>
      <c r="J144" s="17">
        <v>349900</v>
      </c>
      <c r="K144" s="17">
        <v>399900</v>
      </c>
      <c r="L144" s="6">
        <v>500</v>
      </c>
      <c r="M144" s="6">
        <v>199950000</v>
      </c>
      <c r="N144" s="17">
        <v>195409090.90909088</v>
      </c>
      <c r="O144" s="17">
        <v>159062999.99999997</v>
      </c>
      <c r="P144" t="s">
        <v>215</v>
      </c>
      <c r="Q144" t="s">
        <v>227</v>
      </c>
    </row>
    <row r="145" spans="1:17" x14ac:dyDescent="0.35">
      <c r="A145" t="str">
        <f>_xlfn.XLOOKUP(B145,Mapping!C:C,Mapping!D:D)</f>
        <v>Naver</v>
      </c>
      <c r="B145" s="2" t="s">
        <v>146</v>
      </c>
      <c r="C145" s="2" t="s">
        <v>149</v>
      </c>
      <c r="D145" s="3">
        <v>46196</v>
      </c>
      <c r="E145" s="4">
        <v>46208</v>
      </c>
      <c r="F145" s="5">
        <v>13</v>
      </c>
      <c r="G145" s="2" t="s">
        <v>109</v>
      </c>
      <c r="H145" s="17">
        <v>249900</v>
      </c>
      <c r="I145" s="18">
        <v>219900</v>
      </c>
      <c r="J145" s="17">
        <v>199900</v>
      </c>
      <c r="K145" s="17">
        <v>199900</v>
      </c>
      <c r="L145" s="6">
        <v>1000</v>
      </c>
      <c r="M145" s="6">
        <v>199900000</v>
      </c>
      <c r="N145" s="17">
        <v>227181818.18181819</v>
      </c>
      <c r="O145" s="17">
        <v>184926000</v>
      </c>
      <c r="P145" t="s">
        <v>225</v>
      </c>
      <c r="Q145" t="s">
        <v>226</v>
      </c>
    </row>
    <row r="146" spans="1:17" x14ac:dyDescent="0.35">
      <c r="A146" t="str">
        <f>_xlfn.XLOOKUP(B146,Mapping!C:C,Mapping!D:D)</f>
        <v>Naver</v>
      </c>
      <c r="B146" s="2" t="s">
        <v>146</v>
      </c>
      <c r="C146" s="2" t="s">
        <v>149</v>
      </c>
      <c r="D146" s="3">
        <v>46196</v>
      </c>
      <c r="E146" s="4">
        <v>46208</v>
      </c>
      <c r="F146" s="5">
        <v>13</v>
      </c>
      <c r="G146" s="2" t="s">
        <v>87</v>
      </c>
      <c r="H146" s="17">
        <v>219900</v>
      </c>
      <c r="I146" s="18">
        <v>199900</v>
      </c>
      <c r="J146" s="17">
        <v>179900</v>
      </c>
      <c r="K146" s="17">
        <v>149900</v>
      </c>
      <c r="L146" s="6">
        <v>900</v>
      </c>
      <c r="M146" s="6">
        <v>134910000</v>
      </c>
      <c r="N146" s="17">
        <v>179918181.81818178</v>
      </c>
      <c r="O146" s="17">
        <v>146453399.99999997</v>
      </c>
      <c r="P146" t="s">
        <v>225</v>
      </c>
      <c r="Q146" t="s">
        <v>226</v>
      </c>
    </row>
    <row r="147" spans="1:17" x14ac:dyDescent="0.35">
      <c r="A147" t="str">
        <f>_xlfn.XLOOKUP(B147,Mapping!C:C,Mapping!D:D)</f>
        <v>Naver</v>
      </c>
      <c r="B147" s="2" t="s">
        <v>146</v>
      </c>
      <c r="C147" s="2" t="s">
        <v>149</v>
      </c>
      <c r="D147" s="3">
        <v>46196</v>
      </c>
      <c r="E147" s="4">
        <v>46208</v>
      </c>
      <c r="F147" s="5">
        <v>13</v>
      </c>
      <c r="G147" s="2" t="s">
        <v>89</v>
      </c>
      <c r="H147" s="17">
        <v>119900</v>
      </c>
      <c r="I147" s="18">
        <v>99900</v>
      </c>
      <c r="J147" s="17">
        <v>84900</v>
      </c>
      <c r="K147" s="17">
        <v>84900</v>
      </c>
      <c r="L147" s="6">
        <v>1000</v>
      </c>
      <c r="M147" s="6">
        <v>84900000</v>
      </c>
      <c r="N147" s="17">
        <v>108999999.99999999</v>
      </c>
      <c r="O147" s="17">
        <v>88725999.999999985</v>
      </c>
      <c r="P147" t="s">
        <v>211</v>
      </c>
      <c r="Q147" t="s">
        <v>231</v>
      </c>
    </row>
    <row r="148" spans="1:17" x14ac:dyDescent="0.35">
      <c r="A148" t="str">
        <f>_xlfn.XLOOKUP(B148,Mapping!C:C,Mapping!D:D)</f>
        <v>Naver</v>
      </c>
      <c r="B148" s="2" t="s">
        <v>146</v>
      </c>
      <c r="C148" s="2" t="s">
        <v>149</v>
      </c>
      <c r="D148" s="3">
        <v>46196</v>
      </c>
      <c r="E148" s="4">
        <v>46208</v>
      </c>
      <c r="F148" s="5">
        <v>13</v>
      </c>
      <c r="G148" s="2" t="s">
        <v>90</v>
      </c>
      <c r="H148" s="17">
        <v>149900</v>
      </c>
      <c r="I148" s="18">
        <v>139900</v>
      </c>
      <c r="J148" s="17">
        <v>109900</v>
      </c>
      <c r="K148" s="17">
        <v>119900</v>
      </c>
      <c r="L148" s="6">
        <v>2500</v>
      </c>
      <c r="M148" s="6">
        <v>299750000</v>
      </c>
      <c r="N148" s="17">
        <v>340681818.18181819</v>
      </c>
      <c r="O148" s="17">
        <v>277315000</v>
      </c>
      <c r="P148" t="s">
        <v>211</v>
      </c>
      <c r="Q148" t="s">
        <v>231</v>
      </c>
    </row>
    <row r="149" spans="1:17" x14ac:dyDescent="0.35">
      <c r="A149" t="str">
        <f>_xlfn.XLOOKUP(B149,Mapping!C:C,Mapping!D:D)</f>
        <v>Naver</v>
      </c>
      <c r="B149" s="2" t="s">
        <v>146</v>
      </c>
      <c r="C149" s="2" t="s">
        <v>150</v>
      </c>
      <c r="D149" s="3">
        <v>46174</v>
      </c>
      <c r="E149" s="4">
        <v>46180</v>
      </c>
      <c r="F149" s="5">
        <v>7</v>
      </c>
      <c r="G149" s="2" t="s">
        <v>16</v>
      </c>
      <c r="H149" s="17">
        <v>199900</v>
      </c>
      <c r="I149" s="18">
        <v>129900</v>
      </c>
      <c r="J149" s="17">
        <v>129900</v>
      </c>
      <c r="K149" s="17">
        <v>129900</v>
      </c>
      <c r="L149" s="6">
        <v>70</v>
      </c>
      <c r="M149" s="6">
        <v>9093000</v>
      </c>
      <c r="N149" s="17">
        <v>22266363.636363633</v>
      </c>
      <c r="O149" s="17">
        <v>18124819.999999996</v>
      </c>
      <c r="P149" t="s">
        <v>211</v>
      </c>
      <c r="Q149" t="s">
        <v>212</v>
      </c>
    </row>
    <row r="150" spans="1:17" x14ac:dyDescent="0.35">
      <c r="A150" t="str">
        <f>_xlfn.XLOOKUP(B150,Mapping!C:C,Mapping!D:D)</f>
        <v>Naver</v>
      </c>
      <c r="B150" s="2" t="s">
        <v>146</v>
      </c>
      <c r="C150" s="2" t="s">
        <v>150</v>
      </c>
      <c r="D150" s="3">
        <v>46174</v>
      </c>
      <c r="E150" s="4">
        <v>46180</v>
      </c>
      <c r="F150" s="5">
        <v>7</v>
      </c>
      <c r="G150" s="2" t="s">
        <v>26</v>
      </c>
      <c r="H150" s="17">
        <v>899000</v>
      </c>
      <c r="I150" s="18">
        <v>849000</v>
      </c>
      <c r="J150" s="17">
        <v>799000</v>
      </c>
      <c r="K150" s="17">
        <v>849000</v>
      </c>
      <c r="L150" s="6">
        <v>120</v>
      </c>
      <c r="M150" s="6">
        <v>101880000</v>
      </c>
      <c r="N150" s="17">
        <v>98072727.272727266</v>
      </c>
      <c r="O150" s="17">
        <v>79831200</v>
      </c>
      <c r="P150" t="s">
        <v>213</v>
      </c>
      <c r="Q150" t="s">
        <v>221</v>
      </c>
    </row>
    <row r="151" spans="1:17" x14ac:dyDescent="0.35">
      <c r="A151" t="str">
        <f>_xlfn.XLOOKUP(B151,Mapping!C:C,Mapping!D:D)</f>
        <v>Naver</v>
      </c>
      <c r="B151" s="2" t="s">
        <v>146</v>
      </c>
      <c r="C151" s="2" t="s">
        <v>150</v>
      </c>
      <c r="D151" s="3">
        <v>46174</v>
      </c>
      <c r="E151" s="4">
        <v>46180</v>
      </c>
      <c r="F151" s="5">
        <v>7</v>
      </c>
      <c r="G151" s="2" t="s">
        <v>28</v>
      </c>
      <c r="H151" s="17">
        <v>299900</v>
      </c>
      <c r="I151" s="18">
        <v>199900</v>
      </c>
      <c r="J151" s="17">
        <v>199900</v>
      </c>
      <c r="K151" s="17">
        <v>219900</v>
      </c>
      <c r="L151" s="6">
        <v>40</v>
      </c>
      <c r="M151" s="6">
        <v>8796000</v>
      </c>
      <c r="N151" s="17">
        <v>10905454.545454543</v>
      </c>
      <c r="O151" s="17">
        <v>8877039.9999999981</v>
      </c>
      <c r="P151" t="s">
        <v>213</v>
      </c>
      <c r="Q151" t="s">
        <v>222</v>
      </c>
    </row>
    <row r="152" spans="1:17" x14ac:dyDescent="0.35">
      <c r="A152" t="str">
        <f>_xlfn.XLOOKUP(B152,Mapping!C:C,Mapping!D:D)</f>
        <v>Naver</v>
      </c>
      <c r="B152" s="2" t="s">
        <v>146</v>
      </c>
      <c r="C152" s="2" t="s">
        <v>150</v>
      </c>
      <c r="D152" s="3">
        <v>46174</v>
      </c>
      <c r="E152" s="4">
        <v>46180</v>
      </c>
      <c r="F152" s="5">
        <v>7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25</v>
      </c>
      <c r="M152" s="6">
        <v>18725000</v>
      </c>
      <c r="N152" s="17">
        <v>19295454.545454543</v>
      </c>
      <c r="O152" s="17">
        <v>0</v>
      </c>
      <c r="P152" t="s">
        <v>213</v>
      </c>
      <c r="Q152" t="s">
        <v>220</v>
      </c>
    </row>
    <row r="153" spans="1:17" x14ac:dyDescent="0.35">
      <c r="A153" t="str">
        <f>_xlfn.XLOOKUP(B153,Mapping!C:C,Mapping!D:D)</f>
        <v>Naver</v>
      </c>
      <c r="B153" s="2" t="s">
        <v>146</v>
      </c>
      <c r="C153" s="2" t="s">
        <v>150</v>
      </c>
      <c r="D153" s="3">
        <v>46174</v>
      </c>
      <c r="E153" s="4">
        <v>46180</v>
      </c>
      <c r="F153" s="5">
        <v>7</v>
      </c>
      <c r="G153" s="2" t="s">
        <v>86</v>
      </c>
      <c r="H153" s="17">
        <v>149900</v>
      </c>
      <c r="I153" s="18">
        <v>139900</v>
      </c>
      <c r="J153" s="17">
        <v>109900</v>
      </c>
      <c r="K153" s="17">
        <v>129900</v>
      </c>
      <c r="L153" s="6">
        <v>500</v>
      </c>
      <c r="M153" s="6">
        <v>64950000</v>
      </c>
      <c r="N153" s="17">
        <v>68136363.636363626</v>
      </c>
      <c r="O153" s="17">
        <v>55462999.999999985</v>
      </c>
      <c r="P153" t="s">
        <v>211</v>
      </c>
      <c r="Q153" t="s">
        <v>231</v>
      </c>
    </row>
    <row r="154" spans="1:17" x14ac:dyDescent="0.35">
      <c r="A154" t="str">
        <f>_xlfn.XLOOKUP(B154,Mapping!C:C,Mapping!D:D)</f>
        <v>Naver</v>
      </c>
      <c r="B154" s="2" t="s">
        <v>146</v>
      </c>
      <c r="C154" s="2" t="s">
        <v>150</v>
      </c>
      <c r="D154" s="3">
        <v>46174</v>
      </c>
      <c r="E154" s="4">
        <v>46180</v>
      </c>
      <c r="F154" s="5">
        <v>7</v>
      </c>
      <c r="G154" s="2" t="s">
        <v>32</v>
      </c>
      <c r="H154" s="17">
        <v>349900</v>
      </c>
      <c r="I154" s="18">
        <v>299900</v>
      </c>
      <c r="J154" s="17">
        <v>269900</v>
      </c>
      <c r="K154" s="17">
        <v>269900</v>
      </c>
      <c r="L154" s="6">
        <v>350</v>
      </c>
      <c r="M154" s="6">
        <v>94465000</v>
      </c>
      <c r="N154" s="17">
        <v>111331818.18181817</v>
      </c>
      <c r="O154" s="17">
        <v>90624100</v>
      </c>
      <c r="P154" t="s">
        <v>211</v>
      </c>
      <c r="Q154" t="s">
        <v>224</v>
      </c>
    </row>
    <row r="155" spans="1:17" x14ac:dyDescent="0.35">
      <c r="A155" t="str">
        <f>_xlfn.XLOOKUP(B155,Mapping!C:C,Mapping!D:D)</f>
        <v>Naver</v>
      </c>
      <c r="B155" s="2" t="s">
        <v>146</v>
      </c>
      <c r="C155" s="2" t="s">
        <v>150</v>
      </c>
      <c r="D155" s="3">
        <v>46174</v>
      </c>
      <c r="E155" s="4">
        <v>46180</v>
      </c>
      <c r="F155" s="5">
        <v>7</v>
      </c>
      <c r="G155" s="2" t="s">
        <v>35</v>
      </c>
      <c r="H155" s="17">
        <v>749000</v>
      </c>
      <c r="I155" s="18">
        <v>599000</v>
      </c>
      <c r="J155" s="17">
        <v>549000</v>
      </c>
      <c r="K155" s="17">
        <v>549000</v>
      </c>
      <c r="L155" s="6">
        <v>10</v>
      </c>
      <c r="M155" s="6">
        <v>5490000</v>
      </c>
      <c r="N155" s="17">
        <v>6809090.9090909082</v>
      </c>
      <c r="O155" s="17">
        <v>5542599.9999999991</v>
      </c>
      <c r="P155" t="s">
        <v>213</v>
      </c>
      <c r="Q155" t="s">
        <v>221</v>
      </c>
    </row>
    <row r="156" spans="1:17" x14ac:dyDescent="0.35">
      <c r="A156" t="str">
        <f>_xlfn.XLOOKUP(B156,Mapping!C:C,Mapping!D:D)</f>
        <v>Naver</v>
      </c>
      <c r="B156" s="2" t="s">
        <v>146</v>
      </c>
      <c r="C156" s="2" t="s">
        <v>150</v>
      </c>
      <c r="D156" s="3">
        <v>46174</v>
      </c>
      <c r="E156" s="4">
        <v>46180</v>
      </c>
      <c r="F156" s="5">
        <v>7</v>
      </c>
      <c r="G156" s="2" t="s">
        <v>39</v>
      </c>
      <c r="H156" s="17">
        <v>249900</v>
      </c>
      <c r="I156" s="18">
        <v>199900</v>
      </c>
      <c r="J156" s="17">
        <v>189900</v>
      </c>
      <c r="K156" s="17">
        <v>199900</v>
      </c>
      <c r="L156" s="6">
        <v>60</v>
      </c>
      <c r="M156" s="6">
        <v>11994000</v>
      </c>
      <c r="N156" s="17">
        <v>13630909.09090909</v>
      </c>
      <c r="O156" s="17">
        <v>11095560</v>
      </c>
      <c r="P156" t="s">
        <v>211</v>
      </c>
      <c r="Q156" t="s">
        <v>212</v>
      </c>
    </row>
    <row r="157" spans="1:17" x14ac:dyDescent="0.35">
      <c r="A157" t="str">
        <f>_xlfn.XLOOKUP(B157,Mapping!C:C,Mapping!D:D)</f>
        <v>Naver</v>
      </c>
      <c r="B157" s="2" t="s">
        <v>146</v>
      </c>
      <c r="C157" s="2" t="s">
        <v>150</v>
      </c>
      <c r="D157" s="3">
        <v>46174</v>
      </c>
      <c r="E157" s="4">
        <v>46180</v>
      </c>
      <c r="F157" s="5">
        <v>7</v>
      </c>
      <c r="G157" s="2" t="s">
        <v>110</v>
      </c>
      <c r="H157" s="17">
        <v>129900</v>
      </c>
      <c r="I157" s="18">
        <v>114900</v>
      </c>
      <c r="J157" s="17">
        <v>99900</v>
      </c>
      <c r="K157" s="17">
        <v>99900</v>
      </c>
      <c r="L157" s="6">
        <v>100</v>
      </c>
      <c r="M157" s="6">
        <v>9990000</v>
      </c>
      <c r="N157" s="17">
        <v>11809090.909090908</v>
      </c>
      <c r="O157" s="17">
        <v>9612600</v>
      </c>
      <c r="P157" t="s">
        <v>211</v>
      </c>
      <c r="Q157" t="s">
        <v>212</v>
      </c>
    </row>
    <row r="158" spans="1:17" x14ac:dyDescent="0.35">
      <c r="A158" t="str">
        <f>_xlfn.XLOOKUP(B158,Mapping!C:C,Mapping!D:D)</f>
        <v>Naver</v>
      </c>
      <c r="B158" s="2" t="s">
        <v>146</v>
      </c>
      <c r="C158" s="2" t="s">
        <v>150</v>
      </c>
      <c r="D158" s="3">
        <v>46181</v>
      </c>
      <c r="E158" s="4">
        <v>46187</v>
      </c>
      <c r="F158" s="5">
        <v>7</v>
      </c>
      <c r="G158" s="2" t="s">
        <v>19</v>
      </c>
      <c r="H158" s="17">
        <v>249900</v>
      </c>
      <c r="I158" s="18">
        <v>219900</v>
      </c>
      <c r="J158" s="17">
        <v>199900</v>
      </c>
      <c r="K158" s="17">
        <v>219900</v>
      </c>
      <c r="L158" s="6">
        <v>600</v>
      </c>
      <c r="M158" s="6">
        <v>131940000</v>
      </c>
      <c r="N158" s="17">
        <v>136309090.90909091</v>
      </c>
      <c r="O158" s="17">
        <v>110955600</v>
      </c>
      <c r="P158" t="s">
        <v>215</v>
      </c>
      <c r="Q158" t="s">
        <v>216</v>
      </c>
    </row>
    <row r="159" spans="1:17" x14ac:dyDescent="0.35">
      <c r="A159" t="str">
        <f>_xlfn.XLOOKUP(B159,Mapping!C:C,Mapping!D:D)</f>
        <v>Naver</v>
      </c>
      <c r="B159" s="2" t="s">
        <v>146</v>
      </c>
      <c r="C159" s="2" t="s">
        <v>150</v>
      </c>
      <c r="D159" s="3">
        <v>46181</v>
      </c>
      <c r="E159" s="4">
        <v>46187</v>
      </c>
      <c r="F159" s="5">
        <v>7</v>
      </c>
      <c r="G159" s="2" t="s">
        <v>29</v>
      </c>
      <c r="H159" s="17">
        <v>349900</v>
      </c>
      <c r="I159" s="18">
        <v>299900</v>
      </c>
      <c r="J159" s="17">
        <v>279900</v>
      </c>
      <c r="K159" s="17">
        <v>279900</v>
      </c>
      <c r="L159" s="6">
        <v>5</v>
      </c>
      <c r="M159" s="6">
        <v>1399500</v>
      </c>
      <c r="N159" s="17">
        <v>590454.54545454541</v>
      </c>
      <c r="O159" s="17">
        <v>480629.99999999994</v>
      </c>
      <c r="P159" t="s">
        <v>215</v>
      </c>
      <c r="Q159" t="s">
        <v>223</v>
      </c>
    </row>
    <row r="160" spans="1:17" x14ac:dyDescent="0.35">
      <c r="A160" t="str">
        <f>_xlfn.XLOOKUP(B160,Mapping!C:C,Mapping!D:D)</f>
        <v>Naver</v>
      </c>
      <c r="B160" s="2" t="s">
        <v>146</v>
      </c>
      <c r="C160" s="2" t="s">
        <v>150</v>
      </c>
      <c r="D160" s="3">
        <v>46181</v>
      </c>
      <c r="E160" s="4">
        <v>46187</v>
      </c>
      <c r="F160" s="5">
        <v>7</v>
      </c>
      <c r="G160" s="2" t="s">
        <v>37</v>
      </c>
      <c r="H160" s="17">
        <v>229900</v>
      </c>
      <c r="I160" s="18">
        <v>199900</v>
      </c>
      <c r="J160" s="17">
        <v>179900</v>
      </c>
      <c r="K160" s="17">
        <v>199900</v>
      </c>
      <c r="L160" s="6">
        <v>8</v>
      </c>
      <c r="M160" s="6">
        <v>1599200</v>
      </c>
      <c r="N160" s="17">
        <v>1453818.1818181816</v>
      </c>
      <c r="O160" s="17">
        <v>1183408</v>
      </c>
      <c r="P160" t="s">
        <v>215</v>
      </c>
      <c r="Q160" t="s">
        <v>223</v>
      </c>
    </row>
    <row r="161" spans="1:17" x14ac:dyDescent="0.35">
      <c r="A161" t="str">
        <f>_xlfn.XLOOKUP(B161,Mapping!C:C,Mapping!D:D)</f>
        <v>Naver</v>
      </c>
      <c r="B161" s="2" t="s">
        <v>146</v>
      </c>
      <c r="C161" s="2" t="s">
        <v>150</v>
      </c>
      <c r="D161" s="3">
        <v>46181</v>
      </c>
      <c r="E161" s="4">
        <v>46187</v>
      </c>
      <c r="F161" s="5">
        <v>7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50</v>
      </c>
      <c r="M161" s="6">
        <v>19995000</v>
      </c>
      <c r="N161" s="17">
        <v>11359090.909090908</v>
      </c>
      <c r="O161" s="17">
        <v>9246300</v>
      </c>
      <c r="P161" t="s">
        <v>215</v>
      </c>
      <c r="Q161" t="s">
        <v>227</v>
      </c>
    </row>
    <row r="162" spans="1:17" x14ac:dyDescent="0.35">
      <c r="A162" t="str">
        <f>_xlfn.XLOOKUP(B162,Mapping!C:C,Mapping!D:D)</f>
        <v>Naver</v>
      </c>
      <c r="B162" s="2" t="s">
        <v>146</v>
      </c>
      <c r="C162" s="2" t="s">
        <v>150</v>
      </c>
      <c r="D162" s="3">
        <v>46181</v>
      </c>
      <c r="E162" s="4">
        <v>46187</v>
      </c>
      <c r="F162" s="5">
        <v>7</v>
      </c>
      <c r="G162" s="2" t="s">
        <v>45</v>
      </c>
      <c r="H162" s="17">
        <v>299900</v>
      </c>
      <c r="I162" s="18">
        <v>279900</v>
      </c>
      <c r="J162" s="17">
        <v>249900</v>
      </c>
      <c r="K162" s="17">
        <v>279900</v>
      </c>
      <c r="L162" s="6">
        <v>15</v>
      </c>
      <c r="M162" s="6">
        <v>4198500</v>
      </c>
      <c r="N162" s="17">
        <v>4771363.6363636358</v>
      </c>
      <c r="O162" s="17">
        <v>3883889.9999999995</v>
      </c>
      <c r="P162" t="s">
        <v>218</v>
      </c>
      <c r="Q162" t="s">
        <v>219</v>
      </c>
    </row>
    <row r="163" spans="1:17" x14ac:dyDescent="0.35">
      <c r="A163" t="str">
        <f>_xlfn.XLOOKUP(B163,Mapping!C:C,Mapping!D:D)</f>
        <v>Naver</v>
      </c>
      <c r="B163" s="2" t="s">
        <v>146</v>
      </c>
      <c r="C163" s="2" t="s">
        <v>151</v>
      </c>
      <c r="D163" s="3">
        <v>46181</v>
      </c>
      <c r="E163" s="4">
        <v>46187</v>
      </c>
      <c r="F163" s="5">
        <v>7</v>
      </c>
      <c r="G163" s="2" t="s">
        <v>31</v>
      </c>
      <c r="H163" s="17">
        <v>849000</v>
      </c>
      <c r="I163" s="18">
        <v>749000</v>
      </c>
      <c r="J163" s="17">
        <v>699000</v>
      </c>
      <c r="K163" s="17">
        <v>749000</v>
      </c>
      <c r="L163" s="6">
        <v>80</v>
      </c>
      <c r="M163" s="6">
        <v>59920000</v>
      </c>
      <c r="N163" s="17">
        <v>16719999.999999998</v>
      </c>
      <c r="O163" s="17">
        <v>13610079.999999998</v>
      </c>
      <c r="P163" t="s">
        <v>213</v>
      </c>
      <c r="Q163" t="s">
        <v>221</v>
      </c>
    </row>
    <row r="164" spans="1:17" x14ac:dyDescent="0.35">
      <c r="A164" t="str">
        <f>_xlfn.XLOOKUP(B164,Mapping!C:C,Mapping!D:D)</f>
        <v>Naver</v>
      </c>
      <c r="B164" s="2" t="s">
        <v>146</v>
      </c>
      <c r="C164" s="2" t="s">
        <v>151</v>
      </c>
      <c r="D164" s="3">
        <v>46181</v>
      </c>
      <c r="E164" s="4">
        <v>46187</v>
      </c>
      <c r="F164" s="5">
        <v>7</v>
      </c>
      <c r="G164" s="2" t="s">
        <v>108</v>
      </c>
      <c r="H164" s="17">
        <v>199900</v>
      </c>
      <c r="I164" s="18">
        <v>179900</v>
      </c>
      <c r="J164" s="17">
        <v>169900</v>
      </c>
      <c r="K164" s="17">
        <v>179900</v>
      </c>
      <c r="L164" s="6">
        <v>10</v>
      </c>
      <c r="M164" s="6">
        <v>1799000</v>
      </c>
      <c r="N164" s="17">
        <v>2726363.6363636358</v>
      </c>
      <c r="O164" s="17">
        <v>2219259.9999999995</v>
      </c>
      <c r="P164" t="s">
        <v>213</v>
      </c>
      <c r="Q164" t="s">
        <v>230</v>
      </c>
    </row>
    <row r="165" spans="1:17" x14ac:dyDescent="0.35">
      <c r="A165" t="str">
        <f>_xlfn.XLOOKUP(B165,Mapping!C:C,Mapping!D:D)</f>
        <v>Naver</v>
      </c>
      <c r="B165" s="2" t="s">
        <v>146</v>
      </c>
      <c r="C165" s="2" t="s">
        <v>151</v>
      </c>
      <c r="D165" s="3">
        <v>46181</v>
      </c>
      <c r="E165" s="4">
        <v>46187</v>
      </c>
      <c r="F165" s="5">
        <v>7</v>
      </c>
      <c r="G165" s="2" t="s">
        <v>87</v>
      </c>
      <c r="H165" s="17">
        <v>219900</v>
      </c>
      <c r="I165" s="18">
        <v>199900</v>
      </c>
      <c r="J165" s="17">
        <v>179900</v>
      </c>
      <c r="K165" s="17">
        <v>199900</v>
      </c>
      <c r="L165" s="6">
        <v>350</v>
      </c>
      <c r="M165" s="6">
        <v>69965000</v>
      </c>
      <c r="N165" s="17">
        <v>270136363.63636363</v>
      </c>
      <c r="O165" s="17">
        <v>219890999.99999997</v>
      </c>
      <c r="P165" t="s">
        <v>225</v>
      </c>
      <c r="Q165" t="s">
        <v>226</v>
      </c>
    </row>
    <row r="166" spans="1:17" x14ac:dyDescent="0.35">
      <c r="A166" t="str">
        <f>_xlfn.XLOOKUP(B166,Mapping!C:C,Mapping!D:D)</f>
        <v>Naver</v>
      </c>
      <c r="B166" s="2" t="s">
        <v>146</v>
      </c>
      <c r="C166" s="2" t="s">
        <v>151</v>
      </c>
      <c r="D166" s="3">
        <v>46181</v>
      </c>
      <c r="E166" s="4">
        <v>46187</v>
      </c>
      <c r="F166" s="5">
        <v>7</v>
      </c>
      <c r="G166" s="2" t="s">
        <v>36</v>
      </c>
      <c r="H166" s="17">
        <v>469900</v>
      </c>
      <c r="I166" s="18">
        <v>399900</v>
      </c>
      <c r="J166" s="17">
        <v>389900</v>
      </c>
      <c r="K166" s="17">
        <v>399900</v>
      </c>
      <c r="L166" s="6">
        <v>5</v>
      </c>
      <c r="M166" s="6">
        <v>1999500</v>
      </c>
      <c r="N166" s="17">
        <v>1954090.9090909087</v>
      </c>
      <c r="O166" s="17">
        <v>1590629.9999999998</v>
      </c>
      <c r="P166" t="s">
        <v>213</v>
      </c>
      <c r="Q166" t="s">
        <v>222</v>
      </c>
    </row>
    <row r="167" spans="1:17" x14ac:dyDescent="0.35">
      <c r="A167" t="str">
        <f>_xlfn.XLOOKUP(B167,Mapping!C:C,Mapping!D:D)</f>
        <v>Naver</v>
      </c>
      <c r="B167" s="2" t="s">
        <v>146</v>
      </c>
      <c r="C167" s="2" t="s">
        <v>151</v>
      </c>
      <c r="D167" s="3">
        <v>46181</v>
      </c>
      <c r="E167" s="4">
        <v>46187</v>
      </c>
      <c r="F167" s="5">
        <v>7</v>
      </c>
      <c r="G167" s="2" t="s">
        <v>111</v>
      </c>
      <c r="H167" s="17">
        <v>249900</v>
      </c>
      <c r="I167" s="18">
        <v>219900</v>
      </c>
      <c r="J167" s="17">
        <v>199900</v>
      </c>
      <c r="K167" s="17">
        <v>199900</v>
      </c>
      <c r="L167" s="6">
        <v>100</v>
      </c>
      <c r="M167" s="6">
        <v>19990000</v>
      </c>
      <c r="N167" s="17">
        <v>42718181.818181813</v>
      </c>
      <c r="O167" s="17">
        <v>34772600</v>
      </c>
      <c r="P167" t="s">
        <v>225</v>
      </c>
      <c r="Q167" t="s">
        <v>226</v>
      </c>
    </row>
    <row r="168" spans="1:17" x14ac:dyDescent="0.35">
      <c r="A168" t="str">
        <f>_xlfn.XLOOKUP(B168,Mapping!C:C,Mapping!D:D)</f>
        <v>Naver</v>
      </c>
      <c r="B168" s="2" t="s">
        <v>146</v>
      </c>
      <c r="C168" s="2" t="s">
        <v>151</v>
      </c>
      <c r="D168" s="3">
        <v>46181</v>
      </c>
      <c r="E168" s="4">
        <v>46187</v>
      </c>
      <c r="F168" s="5">
        <v>7</v>
      </c>
      <c r="G168" s="2" t="s">
        <v>92</v>
      </c>
      <c r="H168" s="17">
        <v>119900</v>
      </c>
      <c r="I168" s="18">
        <v>99900</v>
      </c>
      <c r="J168" s="17">
        <v>84900</v>
      </c>
      <c r="K168" s="17">
        <v>99900</v>
      </c>
      <c r="L168" s="6">
        <v>300</v>
      </c>
      <c r="M168" s="6">
        <v>29970000</v>
      </c>
      <c r="N168" s="17">
        <v>54518181.818181813</v>
      </c>
      <c r="O168" s="17">
        <v>44377800</v>
      </c>
      <c r="P168" t="s">
        <v>211</v>
      </c>
      <c r="Q168" t="s">
        <v>231</v>
      </c>
    </row>
    <row r="169" spans="1:17" x14ac:dyDescent="0.35">
      <c r="A169" t="str">
        <f>_xlfn.XLOOKUP(B169,Mapping!C:C,Mapping!D:D)</f>
        <v>Naver</v>
      </c>
      <c r="B169" s="2" t="s">
        <v>146</v>
      </c>
      <c r="C169" s="2" t="s">
        <v>151</v>
      </c>
      <c r="D169" s="3">
        <v>46189</v>
      </c>
      <c r="E169" s="4">
        <v>46195</v>
      </c>
      <c r="F169" s="5">
        <v>7</v>
      </c>
      <c r="G169" s="2" t="s">
        <v>21</v>
      </c>
      <c r="H169" s="17">
        <v>449900</v>
      </c>
      <c r="I169" s="18">
        <v>379900</v>
      </c>
      <c r="J169" s="17">
        <v>349900</v>
      </c>
      <c r="K169" s="17">
        <v>379900</v>
      </c>
      <c r="L169" s="6">
        <v>30</v>
      </c>
      <c r="M169" s="6">
        <v>11397000</v>
      </c>
      <c r="N169" s="17">
        <v>9542727.2727272715</v>
      </c>
      <c r="O169" s="17">
        <v>7767779.9999999991</v>
      </c>
      <c r="P169" t="s">
        <v>211</v>
      </c>
      <c r="Q169" t="s">
        <v>217</v>
      </c>
    </row>
    <row r="170" spans="1:17" x14ac:dyDescent="0.35">
      <c r="A170" t="str">
        <f>_xlfn.XLOOKUP(B170,Mapping!C:C,Mapping!D:D)</f>
        <v>Naver</v>
      </c>
      <c r="B170" s="2" t="s">
        <v>146</v>
      </c>
      <c r="C170" s="2" t="s">
        <v>151</v>
      </c>
      <c r="D170" s="3">
        <v>46189</v>
      </c>
      <c r="E170" s="4">
        <v>46195</v>
      </c>
      <c r="F170" s="5">
        <v>7</v>
      </c>
      <c r="G170" s="2" t="s">
        <v>27</v>
      </c>
      <c r="H170" s="17">
        <v>329900</v>
      </c>
      <c r="I170" s="18">
        <v>299900</v>
      </c>
      <c r="J170" s="17">
        <v>279900</v>
      </c>
      <c r="K170" s="17">
        <v>299900</v>
      </c>
      <c r="L170" s="6">
        <v>25</v>
      </c>
      <c r="M170" s="6">
        <v>7497500</v>
      </c>
      <c r="N170" s="17">
        <v>2724999.9999999995</v>
      </c>
      <c r="O170" s="17">
        <v>2218149.9999999995</v>
      </c>
      <c r="P170" t="s">
        <v>211</v>
      </c>
      <c r="Q170" t="s">
        <v>212</v>
      </c>
    </row>
    <row r="171" spans="1:17" x14ac:dyDescent="0.35">
      <c r="A171" t="str">
        <f>_xlfn.XLOOKUP(B171,Mapping!C:C,Mapping!D:D)</f>
        <v>Naver</v>
      </c>
      <c r="B171" s="2" t="s">
        <v>146</v>
      </c>
      <c r="C171" s="2" t="s">
        <v>151</v>
      </c>
      <c r="D171" s="3">
        <v>46189</v>
      </c>
      <c r="E171" s="4">
        <v>46195</v>
      </c>
      <c r="F171" s="5">
        <v>7</v>
      </c>
      <c r="G171" s="2" t="s">
        <v>106</v>
      </c>
      <c r="H171" s="17">
        <v>399900</v>
      </c>
      <c r="I171" s="18">
        <v>349900</v>
      </c>
      <c r="J171" s="17">
        <v>299900</v>
      </c>
      <c r="K171" s="17">
        <v>349900</v>
      </c>
      <c r="L171" s="6">
        <v>8</v>
      </c>
      <c r="M171" s="6">
        <v>2799200</v>
      </c>
      <c r="N171" s="17">
        <v>2399272.7272727271</v>
      </c>
      <c r="O171" s="17">
        <v>1953007.9999999998</v>
      </c>
      <c r="P171" t="s">
        <v>215</v>
      </c>
      <c r="Q171" t="s">
        <v>234</v>
      </c>
    </row>
    <row r="172" spans="1:17" x14ac:dyDescent="0.35">
      <c r="A172" t="str">
        <f>_xlfn.XLOOKUP(B172,Mapping!C:C,Mapping!D:D)</f>
        <v>Naver</v>
      </c>
      <c r="B172" s="2" t="s">
        <v>146</v>
      </c>
      <c r="C172" s="2" t="s">
        <v>151</v>
      </c>
      <c r="D172" s="3">
        <v>46189</v>
      </c>
      <c r="E172" s="4">
        <v>46195</v>
      </c>
      <c r="F172" s="5">
        <v>7</v>
      </c>
      <c r="G172" s="2" t="s">
        <v>85</v>
      </c>
      <c r="H172" s="17">
        <v>349900</v>
      </c>
      <c r="I172" s="18">
        <v>319900</v>
      </c>
      <c r="J172" s="17">
        <v>299900</v>
      </c>
      <c r="K172" s="17">
        <v>319900</v>
      </c>
      <c r="L172" s="6">
        <v>120</v>
      </c>
      <c r="M172" s="6">
        <v>38388000</v>
      </c>
      <c r="N172" s="17">
        <v>8716363.6363636367</v>
      </c>
      <c r="O172" s="17">
        <v>7095120</v>
      </c>
      <c r="P172" t="s">
        <v>211</v>
      </c>
      <c r="Q172" t="s">
        <v>232</v>
      </c>
    </row>
    <row r="173" spans="1:17" x14ac:dyDescent="0.35">
      <c r="A173" t="str">
        <f>_xlfn.XLOOKUP(B173,Mapping!C:C,Mapping!D:D)</f>
        <v>Naver</v>
      </c>
      <c r="B173" s="2" t="s">
        <v>146</v>
      </c>
      <c r="C173" s="2" t="s">
        <v>151</v>
      </c>
      <c r="D173" s="3">
        <v>46189</v>
      </c>
      <c r="E173" s="4">
        <v>46195</v>
      </c>
      <c r="F173" s="5">
        <v>7</v>
      </c>
      <c r="G173" s="2" t="s">
        <v>95</v>
      </c>
      <c r="H173" s="17">
        <v>79900</v>
      </c>
      <c r="I173" s="18">
        <v>54900</v>
      </c>
      <c r="J173" s="17">
        <v>54900</v>
      </c>
      <c r="K173" s="17">
        <v>54900</v>
      </c>
      <c r="L173" s="6">
        <v>400</v>
      </c>
      <c r="M173" s="6">
        <v>21960000</v>
      </c>
      <c r="N173" s="17">
        <v>79963636.36363636</v>
      </c>
      <c r="O173" s="17">
        <v>65090399.999999985</v>
      </c>
      <c r="P173" t="s">
        <v>211</v>
      </c>
      <c r="Q173" t="s">
        <v>233</v>
      </c>
    </row>
    <row r="174" spans="1:17" x14ac:dyDescent="0.35">
      <c r="A174" t="str">
        <f>_xlfn.XLOOKUP(B174,Mapping!C:C,Mapping!D:D)</f>
        <v>Naver</v>
      </c>
      <c r="B174" s="2" t="s">
        <v>146</v>
      </c>
      <c r="C174" s="2" t="s">
        <v>151</v>
      </c>
      <c r="D174" s="3">
        <v>46189</v>
      </c>
      <c r="E174" s="4">
        <v>46195</v>
      </c>
      <c r="F174" s="5">
        <v>7</v>
      </c>
      <c r="G174" s="2" t="s">
        <v>40</v>
      </c>
      <c r="H174" s="17">
        <v>349900</v>
      </c>
      <c r="I174" s="18">
        <v>319900</v>
      </c>
      <c r="J174" s="17">
        <v>299900</v>
      </c>
      <c r="K174" s="17">
        <v>299900</v>
      </c>
      <c r="L174" s="6">
        <v>10</v>
      </c>
      <c r="M174" s="6">
        <v>2999000</v>
      </c>
      <c r="N174" s="17">
        <v>2271818.1818181816</v>
      </c>
      <c r="O174" s="17">
        <v>1849260</v>
      </c>
      <c r="P174" t="s">
        <v>211</v>
      </c>
      <c r="Q174" t="s">
        <v>228</v>
      </c>
    </row>
    <row r="175" spans="1:17" x14ac:dyDescent="0.35">
      <c r="A175" t="str">
        <f>_xlfn.XLOOKUP(B175,Mapping!C:C,Mapping!D:D)</f>
        <v>Naver</v>
      </c>
      <c r="B175" s="2" t="s">
        <v>146</v>
      </c>
      <c r="C175" s="2" t="s">
        <v>152</v>
      </c>
      <c r="D175" s="3">
        <v>46189</v>
      </c>
      <c r="E175" s="4">
        <v>46195</v>
      </c>
      <c r="F175" s="5">
        <v>7</v>
      </c>
      <c r="G175" s="2" t="s">
        <v>105</v>
      </c>
      <c r="H175" s="17">
        <v>299900</v>
      </c>
      <c r="I175" s="18">
        <v>269900</v>
      </c>
      <c r="J175" s="17">
        <v>249900</v>
      </c>
      <c r="K175" s="17">
        <v>269900</v>
      </c>
      <c r="L175" s="6">
        <v>50</v>
      </c>
      <c r="M175" s="6">
        <v>13495000</v>
      </c>
      <c r="N175" s="17">
        <v>20449999.999999996</v>
      </c>
      <c r="O175" s="17">
        <v>16646299.999999996</v>
      </c>
      <c r="P175" t="s">
        <v>211</v>
      </c>
      <c r="Q175" t="s">
        <v>232</v>
      </c>
    </row>
    <row r="176" spans="1:17" x14ac:dyDescent="0.35">
      <c r="A176" t="str">
        <f>_xlfn.XLOOKUP(B176,Mapping!C:C,Mapping!D:D)</f>
        <v>Naver</v>
      </c>
      <c r="B176" s="2" t="s">
        <v>146</v>
      </c>
      <c r="C176" s="2" t="s">
        <v>152</v>
      </c>
      <c r="D176" s="3">
        <v>46189</v>
      </c>
      <c r="E176" s="4">
        <v>46195</v>
      </c>
      <c r="F176" s="5">
        <v>7</v>
      </c>
      <c r="G176" s="2" t="s">
        <v>16</v>
      </c>
      <c r="H176" s="17">
        <v>199900</v>
      </c>
      <c r="I176" s="18">
        <v>129900</v>
      </c>
      <c r="J176" s="17">
        <v>129900</v>
      </c>
      <c r="K176" s="17">
        <v>129900</v>
      </c>
      <c r="L176" s="6">
        <v>350</v>
      </c>
      <c r="M176" s="6">
        <v>45465000</v>
      </c>
      <c r="N176" s="17">
        <v>127240909.09090908</v>
      </c>
      <c r="O176" s="17">
        <v>103574100</v>
      </c>
      <c r="P176" t="s">
        <v>211</v>
      </c>
      <c r="Q176" t="s">
        <v>212</v>
      </c>
    </row>
    <row r="177" spans="1:17" x14ac:dyDescent="0.35">
      <c r="A177" t="str">
        <f>_xlfn.XLOOKUP(B177,Mapping!C:C,Mapping!D:D)</f>
        <v>Naver</v>
      </c>
      <c r="B177" s="2" t="s">
        <v>146</v>
      </c>
      <c r="C177" s="2" t="s">
        <v>152</v>
      </c>
      <c r="D177" s="3">
        <v>46189</v>
      </c>
      <c r="E177" s="4">
        <v>46195</v>
      </c>
      <c r="F177" s="5">
        <v>7</v>
      </c>
      <c r="G177" s="2" t="s">
        <v>96</v>
      </c>
      <c r="H177" s="17">
        <v>139900</v>
      </c>
      <c r="I177" s="18">
        <v>119900</v>
      </c>
      <c r="J177" s="17">
        <v>99900</v>
      </c>
      <c r="K177" s="17">
        <v>119900</v>
      </c>
      <c r="L177" s="6">
        <v>60</v>
      </c>
      <c r="M177" s="6">
        <v>7194000</v>
      </c>
      <c r="N177" s="17">
        <v>19085454.545454543</v>
      </c>
      <c r="O177" s="17">
        <v>15535559.999999998</v>
      </c>
      <c r="P177" t="s">
        <v>213</v>
      </c>
      <c r="Q177" t="s">
        <v>230</v>
      </c>
    </row>
    <row r="178" spans="1:17" x14ac:dyDescent="0.35">
      <c r="A178" t="str">
        <f>_xlfn.XLOOKUP(B178,Mapping!C:C,Mapping!D:D)</f>
        <v>Naver</v>
      </c>
      <c r="B178" s="2" t="s">
        <v>146</v>
      </c>
      <c r="C178" s="2" t="s">
        <v>152</v>
      </c>
      <c r="D178" s="3">
        <v>46189</v>
      </c>
      <c r="E178" s="4">
        <v>46195</v>
      </c>
      <c r="F178" s="5">
        <v>7</v>
      </c>
      <c r="G178" s="2" t="s">
        <v>97</v>
      </c>
      <c r="H178" s="17">
        <v>349900</v>
      </c>
      <c r="I178" s="18">
        <v>299900</v>
      </c>
      <c r="J178" s="17">
        <v>249900</v>
      </c>
      <c r="K178" s="17">
        <v>249900</v>
      </c>
      <c r="L178" s="6">
        <v>20</v>
      </c>
      <c r="M178" s="6">
        <v>4998000</v>
      </c>
      <c r="N178" s="17">
        <v>2543636.3636363633</v>
      </c>
      <c r="O178" s="17">
        <v>2070520</v>
      </c>
      <c r="P178" t="s">
        <v>215</v>
      </c>
      <c r="Q178" t="s">
        <v>227</v>
      </c>
    </row>
    <row r="179" spans="1:17" x14ac:dyDescent="0.35">
      <c r="A179" t="str">
        <f>_xlfn.XLOOKUP(B179,Mapping!C:C,Mapping!D:D)</f>
        <v>Naver</v>
      </c>
      <c r="B179" s="7" t="s">
        <v>146</v>
      </c>
      <c r="C179" s="2" t="s">
        <v>153</v>
      </c>
      <c r="D179" s="3">
        <v>46195</v>
      </c>
      <c r="E179" s="4">
        <v>46201</v>
      </c>
      <c r="F179" s="5">
        <v>7</v>
      </c>
      <c r="G179" s="2" t="s">
        <v>26</v>
      </c>
      <c r="H179" s="17">
        <v>899000</v>
      </c>
      <c r="I179" s="18">
        <v>849000</v>
      </c>
      <c r="J179" s="17">
        <v>799000</v>
      </c>
      <c r="K179" s="17">
        <v>799000</v>
      </c>
      <c r="L179" s="6">
        <v>200</v>
      </c>
      <c r="M179" s="6">
        <v>159800000</v>
      </c>
      <c r="N179" s="17">
        <v>36345454.545454539</v>
      </c>
      <c r="O179" s="17">
        <v>29585199.999999996</v>
      </c>
      <c r="P179" t="s">
        <v>213</v>
      </c>
      <c r="Q179" t="s">
        <v>221</v>
      </c>
    </row>
    <row r="180" spans="1:17" x14ac:dyDescent="0.35">
      <c r="A180" t="str">
        <f>_xlfn.XLOOKUP(B180,Mapping!C:C,Mapping!D:D)</f>
        <v>PP</v>
      </c>
      <c r="B180" s="2" t="s">
        <v>154</v>
      </c>
      <c r="C180" s="2" t="s">
        <v>147</v>
      </c>
      <c r="D180" s="3">
        <v>46174</v>
      </c>
      <c r="E180" s="4">
        <v>46177</v>
      </c>
      <c r="F180" s="5">
        <v>4</v>
      </c>
      <c r="G180" s="2" t="s">
        <v>105</v>
      </c>
      <c r="H180" s="17">
        <v>299900</v>
      </c>
      <c r="I180" s="18">
        <v>269900</v>
      </c>
      <c r="J180" s="17">
        <v>249900</v>
      </c>
      <c r="K180" s="17">
        <v>269900</v>
      </c>
      <c r="L180" s="6">
        <v>1000</v>
      </c>
      <c r="M180" s="6">
        <v>269900000</v>
      </c>
      <c r="N180" s="17">
        <v>245363636.36363634</v>
      </c>
      <c r="O180" s="17">
        <v>154579090.90909088</v>
      </c>
      <c r="P180" t="s">
        <v>211</v>
      </c>
      <c r="Q180" t="s">
        <v>232</v>
      </c>
    </row>
    <row r="181" spans="1:17" x14ac:dyDescent="0.35">
      <c r="A181" t="str">
        <f>_xlfn.XLOOKUP(B181,Mapping!C:C,Mapping!D:D)</f>
        <v>PP</v>
      </c>
      <c r="B181" s="2" t="s">
        <v>154</v>
      </c>
      <c r="C181" s="2" t="s">
        <v>147</v>
      </c>
      <c r="D181" s="3">
        <v>46174</v>
      </c>
      <c r="E181" s="4">
        <v>46177</v>
      </c>
      <c r="F181" s="5">
        <v>4</v>
      </c>
      <c r="G181" s="2" t="s">
        <v>30</v>
      </c>
      <c r="H181" s="17">
        <v>299900</v>
      </c>
      <c r="I181" s="18">
        <v>279900</v>
      </c>
      <c r="J181" s="17">
        <v>249900</v>
      </c>
      <c r="K181" s="17">
        <v>299900</v>
      </c>
      <c r="L181" s="6">
        <v>500</v>
      </c>
      <c r="M181" s="6">
        <v>149950000</v>
      </c>
      <c r="N181" s="17">
        <v>136318181.81818178</v>
      </c>
      <c r="O181" s="17">
        <v>85880454.545454532</v>
      </c>
      <c r="P181" t="s">
        <v>213</v>
      </c>
      <c r="Q181" t="s">
        <v>230</v>
      </c>
    </row>
    <row r="182" spans="1:17" x14ac:dyDescent="0.35">
      <c r="A182" t="str">
        <f>_xlfn.XLOOKUP(B182,Mapping!C:C,Mapping!D:D)</f>
        <v>PP</v>
      </c>
      <c r="B182" s="2" t="s">
        <v>154</v>
      </c>
      <c r="C182" s="2" t="s">
        <v>147</v>
      </c>
      <c r="D182" s="3">
        <v>46174</v>
      </c>
      <c r="E182" s="4">
        <v>46177</v>
      </c>
      <c r="F182" s="5">
        <v>4</v>
      </c>
      <c r="G182" s="2" t="s">
        <v>35</v>
      </c>
      <c r="H182" s="17">
        <v>749000</v>
      </c>
      <c r="I182" s="18">
        <v>599000</v>
      </c>
      <c r="J182" s="17">
        <v>549000</v>
      </c>
      <c r="K182" s="17">
        <v>499000</v>
      </c>
      <c r="L182" s="6">
        <v>1000</v>
      </c>
      <c r="M182" s="6">
        <v>499000000</v>
      </c>
      <c r="N182" s="17">
        <v>453636363.63636357</v>
      </c>
      <c r="O182" s="17">
        <v>285790909.090909</v>
      </c>
      <c r="P182" t="s">
        <v>213</v>
      </c>
      <c r="Q182" t="s">
        <v>221</v>
      </c>
    </row>
    <row r="183" spans="1:17" x14ac:dyDescent="0.35">
      <c r="A183" t="str">
        <f>_xlfn.XLOOKUP(B183,Mapping!C:C,Mapping!D:D)</f>
        <v>PP</v>
      </c>
      <c r="B183" s="2" t="s">
        <v>154</v>
      </c>
      <c r="C183" s="2" t="s">
        <v>147</v>
      </c>
      <c r="D183" s="3">
        <v>46174</v>
      </c>
      <c r="E183" s="4">
        <v>46177</v>
      </c>
      <c r="F183" s="5">
        <v>4</v>
      </c>
      <c r="G183" s="2" t="s">
        <v>38</v>
      </c>
      <c r="H183" s="17">
        <v>429900</v>
      </c>
      <c r="I183" s="18">
        <v>399900</v>
      </c>
      <c r="J183" s="17">
        <v>349900</v>
      </c>
      <c r="K183" s="17">
        <v>399900</v>
      </c>
      <c r="L183" s="6">
        <v>500</v>
      </c>
      <c r="M183" s="6">
        <v>199950000</v>
      </c>
      <c r="N183" s="17">
        <v>181772727.27272725</v>
      </c>
      <c r="O183" s="17">
        <v>114516818.18181817</v>
      </c>
      <c r="P183" t="s">
        <v>215</v>
      </c>
      <c r="Q183" t="s">
        <v>227</v>
      </c>
    </row>
    <row r="184" spans="1:17" x14ac:dyDescent="0.35">
      <c r="A184" t="str">
        <f>_xlfn.XLOOKUP(B184,Mapping!C:C,Mapping!D:D)</f>
        <v>PP</v>
      </c>
      <c r="B184" s="2" t="s">
        <v>154</v>
      </c>
      <c r="C184" s="2" t="s">
        <v>147</v>
      </c>
      <c r="D184" s="3">
        <v>46174</v>
      </c>
      <c r="E184" s="4">
        <v>46177</v>
      </c>
      <c r="F184" s="5">
        <v>4</v>
      </c>
      <c r="G184" s="2" t="s">
        <v>155</v>
      </c>
      <c r="H184" s="17" t="s">
        <v>115</v>
      </c>
      <c r="I184" s="18" t="s">
        <v>115</v>
      </c>
      <c r="J184" s="17" t="s">
        <v>115</v>
      </c>
      <c r="K184" s="17">
        <v>129900</v>
      </c>
      <c r="L184" s="6">
        <v>2000</v>
      </c>
      <c r="M184" s="6">
        <v>259800000</v>
      </c>
      <c r="N184" s="17">
        <v>236181818.18181819</v>
      </c>
      <c r="O184" s="17">
        <v>148794545.45454544</v>
      </c>
      <c r="P184" t="s">
        <v>211</v>
      </c>
      <c r="Q184" t="s">
        <v>231</v>
      </c>
    </row>
    <row r="185" spans="1:17" x14ac:dyDescent="0.35">
      <c r="A185" t="str">
        <f>_xlfn.XLOOKUP(B185,Mapping!C:C,Mapping!D:D)</f>
        <v>PP</v>
      </c>
      <c r="B185" s="2" t="s">
        <v>154</v>
      </c>
      <c r="C185" s="2" t="s">
        <v>147</v>
      </c>
      <c r="D185" s="3">
        <v>46174</v>
      </c>
      <c r="E185" s="4">
        <v>46177</v>
      </c>
      <c r="F185" s="5">
        <v>4</v>
      </c>
      <c r="G185" s="2" t="s">
        <v>156</v>
      </c>
      <c r="H185" s="17" t="s">
        <v>115</v>
      </c>
      <c r="I185" s="18" t="s">
        <v>115</v>
      </c>
      <c r="J185" s="17" t="s">
        <v>115</v>
      </c>
      <c r="K185" s="17">
        <v>249900</v>
      </c>
      <c r="L185" s="6">
        <v>600</v>
      </c>
      <c r="M185" s="6">
        <v>149940000</v>
      </c>
      <c r="N185" s="17">
        <v>136309090.90909091</v>
      </c>
      <c r="O185" s="17">
        <v>85874727.272727281</v>
      </c>
      <c r="P185" t="s">
        <v>218</v>
      </c>
      <c r="Q185" t="s">
        <v>219</v>
      </c>
    </row>
    <row r="186" spans="1:17" x14ac:dyDescent="0.35">
      <c r="A186" t="str">
        <f>_xlfn.XLOOKUP(B186,Mapping!C:C,Mapping!D:D)</f>
        <v>PP</v>
      </c>
      <c r="B186" s="2" t="s">
        <v>154</v>
      </c>
      <c r="C186" s="2" t="s">
        <v>147</v>
      </c>
      <c r="D186" s="3">
        <v>46178</v>
      </c>
      <c r="E186" s="4">
        <v>46178</v>
      </c>
      <c r="F186" s="5">
        <v>1</v>
      </c>
      <c r="G186" s="2" t="s">
        <v>19</v>
      </c>
      <c r="H186" s="17">
        <v>249900</v>
      </c>
      <c r="I186" s="18">
        <v>219900</v>
      </c>
      <c r="J186" s="17">
        <v>199900</v>
      </c>
      <c r="K186" s="17">
        <v>219900</v>
      </c>
      <c r="L186" s="6">
        <v>40</v>
      </c>
      <c r="M186" s="6">
        <v>8796000</v>
      </c>
      <c r="N186" s="17">
        <v>7996363.6363636348</v>
      </c>
      <c r="O186" s="17">
        <v>5037709.0909090899</v>
      </c>
      <c r="P186" t="s">
        <v>215</v>
      </c>
      <c r="Q186" t="s">
        <v>216</v>
      </c>
    </row>
    <row r="187" spans="1:17" x14ac:dyDescent="0.35">
      <c r="A187" t="str">
        <f>_xlfn.XLOOKUP(B187,Mapping!C:C,Mapping!D:D)</f>
        <v>PP</v>
      </c>
      <c r="B187" s="2" t="s">
        <v>154</v>
      </c>
      <c r="C187" s="2" t="s">
        <v>147</v>
      </c>
      <c r="D187" s="3">
        <v>46178</v>
      </c>
      <c r="E187" s="4">
        <v>46178</v>
      </c>
      <c r="F187" s="5">
        <v>1</v>
      </c>
      <c r="G187" s="2" t="s">
        <v>20</v>
      </c>
      <c r="H187" s="17">
        <v>249900</v>
      </c>
      <c r="I187" s="18">
        <v>219900</v>
      </c>
      <c r="J187" s="17">
        <v>199900</v>
      </c>
      <c r="K187" s="17">
        <v>219900</v>
      </c>
      <c r="L187" s="6">
        <v>60</v>
      </c>
      <c r="M187" s="6">
        <v>13194000</v>
      </c>
      <c r="N187" s="17">
        <v>11994545.454545453</v>
      </c>
      <c r="O187" s="17">
        <v>7556563.6363636358</v>
      </c>
      <c r="P187" t="s">
        <v>215</v>
      </c>
      <c r="Q187" t="s">
        <v>216</v>
      </c>
    </row>
    <row r="188" spans="1:17" x14ac:dyDescent="0.35">
      <c r="A188" t="str">
        <f>_xlfn.XLOOKUP(B188,Mapping!C:C,Mapping!D:D)</f>
        <v>PP</v>
      </c>
      <c r="B188" s="2" t="s">
        <v>154</v>
      </c>
      <c r="C188" s="2" t="s">
        <v>147</v>
      </c>
      <c r="D188" s="3">
        <v>46195</v>
      </c>
      <c r="E188" s="4">
        <v>46197</v>
      </c>
      <c r="F188" s="5">
        <v>3</v>
      </c>
      <c r="G188" s="2" t="s">
        <v>19</v>
      </c>
      <c r="H188" s="17">
        <v>249900</v>
      </c>
      <c r="I188" s="18">
        <v>219900</v>
      </c>
      <c r="J188" s="17">
        <v>199900</v>
      </c>
      <c r="K188" s="17">
        <v>219900</v>
      </c>
      <c r="L188" s="6">
        <v>1000</v>
      </c>
      <c r="M188" s="6">
        <v>219900000</v>
      </c>
      <c r="N188" s="17">
        <v>199909090.90909088</v>
      </c>
      <c r="O188" s="17">
        <v>125942727.27272725</v>
      </c>
      <c r="P188" t="s">
        <v>215</v>
      </c>
      <c r="Q188" t="s">
        <v>216</v>
      </c>
    </row>
    <row r="189" spans="1:17" x14ac:dyDescent="0.35">
      <c r="A189" t="str">
        <f>_xlfn.XLOOKUP(B189,Mapping!C:C,Mapping!D:D)</f>
        <v>PP</v>
      </c>
      <c r="B189" s="2" t="s">
        <v>154</v>
      </c>
      <c r="C189" s="2" t="s">
        <v>147</v>
      </c>
      <c r="D189" s="3">
        <v>46181</v>
      </c>
      <c r="E189" s="4">
        <v>46183</v>
      </c>
      <c r="F189" s="5">
        <v>3</v>
      </c>
      <c r="G189" s="2" t="s">
        <v>81</v>
      </c>
      <c r="H189" s="17">
        <v>119900</v>
      </c>
      <c r="I189" s="18">
        <v>99900</v>
      </c>
      <c r="J189" s="17">
        <v>84900</v>
      </c>
      <c r="K189" s="17">
        <v>78900</v>
      </c>
      <c r="L189" s="6">
        <v>30</v>
      </c>
      <c r="M189" s="6">
        <v>2367000</v>
      </c>
      <c r="N189" s="17">
        <v>2151818.1818181816</v>
      </c>
      <c r="O189" s="17">
        <v>1355645.4545454546</v>
      </c>
      <c r="P189" t="s">
        <v>211</v>
      </c>
      <c r="Q189" t="s">
        <v>231</v>
      </c>
    </row>
    <row r="190" spans="1:17" x14ac:dyDescent="0.35">
      <c r="A190" t="str">
        <f>_xlfn.XLOOKUP(B190,Mapping!C:C,Mapping!D:D)</f>
        <v>PP</v>
      </c>
      <c r="B190" s="2" t="s">
        <v>154</v>
      </c>
      <c r="C190" s="2" t="s">
        <v>147</v>
      </c>
      <c r="D190" s="3">
        <v>46181</v>
      </c>
      <c r="E190" s="4">
        <v>46183</v>
      </c>
      <c r="F190" s="5">
        <v>3</v>
      </c>
      <c r="G190" s="2" t="s">
        <v>82</v>
      </c>
      <c r="H190" s="17">
        <v>149900</v>
      </c>
      <c r="I190" s="18">
        <v>139900</v>
      </c>
      <c r="J190" s="17">
        <v>109900</v>
      </c>
      <c r="K190" s="17">
        <v>114900</v>
      </c>
      <c r="L190" s="6">
        <v>50</v>
      </c>
      <c r="M190" s="6">
        <v>5745000</v>
      </c>
      <c r="N190" s="17">
        <v>5222727.2727272725</v>
      </c>
      <c r="O190" s="17">
        <v>3290318.1818181816</v>
      </c>
      <c r="P190" t="s">
        <v>211</v>
      </c>
      <c r="Q190" t="s">
        <v>231</v>
      </c>
    </row>
    <row r="191" spans="1:17" x14ac:dyDescent="0.35">
      <c r="A191" t="str">
        <f>_xlfn.XLOOKUP(B191,Mapping!C:C,Mapping!D:D)</f>
        <v>PP</v>
      </c>
      <c r="B191" s="2" t="s">
        <v>154</v>
      </c>
      <c r="C191" s="2" t="s">
        <v>147</v>
      </c>
      <c r="D191" s="3">
        <v>46181</v>
      </c>
      <c r="E191" s="4">
        <v>46183</v>
      </c>
      <c r="F191" s="5">
        <v>3</v>
      </c>
      <c r="G191" s="2" t="s">
        <v>83</v>
      </c>
      <c r="H191" s="17">
        <v>149900</v>
      </c>
      <c r="I191" s="18">
        <v>139900</v>
      </c>
      <c r="J191" s="17">
        <v>109900</v>
      </c>
      <c r="K191" s="17">
        <v>114900</v>
      </c>
      <c r="L191" s="6">
        <v>50</v>
      </c>
      <c r="M191" s="6">
        <v>5745000</v>
      </c>
      <c r="N191" s="17">
        <v>5222727.2727272725</v>
      </c>
      <c r="O191" s="17">
        <v>3290318.1818181816</v>
      </c>
      <c r="P191" t="s">
        <v>211</v>
      </c>
      <c r="Q191" t="s">
        <v>231</v>
      </c>
    </row>
    <row r="192" spans="1:17" x14ac:dyDescent="0.35">
      <c r="A192" t="str">
        <f>_xlfn.XLOOKUP(B192,Mapping!C:C,Mapping!D:D)</f>
        <v>PP</v>
      </c>
      <c r="B192" s="2" t="s">
        <v>154</v>
      </c>
      <c r="C192" s="2" t="s">
        <v>147</v>
      </c>
      <c r="D192" s="3">
        <v>46181</v>
      </c>
      <c r="E192" s="4">
        <v>46183</v>
      </c>
      <c r="F192" s="5">
        <v>3</v>
      </c>
      <c r="G192" s="2" t="s">
        <v>32</v>
      </c>
      <c r="H192" s="17">
        <v>349900</v>
      </c>
      <c r="I192" s="18">
        <v>299900</v>
      </c>
      <c r="J192" s="17">
        <v>269900</v>
      </c>
      <c r="K192" s="17">
        <v>309000</v>
      </c>
      <c r="L192" s="6">
        <v>10</v>
      </c>
      <c r="M192" s="6">
        <v>3090000</v>
      </c>
      <c r="N192" s="17">
        <v>2809090.9090909087</v>
      </c>
      <c r="O192" s="17">
        <v>1769727.2727272725</v>
      </c>
      <c r="P192" t="s">
        <v>211</v>
      </c>
      <c r="Q192" t="s">
        <v>224</v>
      </c>
    </row>
    <row r="193" spans="1:17" x14ac:dyDescent="0.35">
      <c r="A193" t="str">
        <f>_xlfn.XLOOKUP(B193,Mapping!C:C,Mapping!D:D)</f>
        <v>PP</v>
      </c>
      <c r="B193" s="2" t="s">
        <v>154</v>
      </c>
      <c r="C193" s="2" t="s">
        <v>147</v>
      </c>
      <c r="D193" s="3">
        <v>46181</v>
      </c>
      <c r="E193" s="4">
        <v>46183</v>
      </c>
      <c r="F193" s="5">
        <v>3</v>
      </c>
      <c r="G193" s="2" t="s">
        <v>89</v>
      </c>
      <c r="H193" s="17">
        <v>119900</v>
      </c>
      <c r="I193" s="18">
        <v>99900</v>
      </c>
      <c r="J193" s="17">
        <v>84900</v>
      </c>
      <c r="K193" s="17">
        <v>78900</v>
      </c>
      <c r="L193" s="6">
        <v>30</v>
      </c>
      <c r="M193" s="6">
        <v>2367000</v>
      </c>
      <c r="N193" s="17">
        <v>2151818.1818181816</v>
      </c>
      <c r="O193" s="17">
        <v>1355645.4545454546</v>
      </c>
      <c r="P193" t="s">
        <v>211</v>
      </c>
      <c r="Q193" t="s">
        <v>231</v>
      </c>
    </row>
    <row r="194" spans="1:17" x14ac:dyDescent="0.35">
      <c r="A194" t="str">
        <f>_xlfn.XLOOKUP(B194,Mapping!C:C,Mapping!D:D)</f>
        <v>PP</v>
      </c>
      <c r="B194" s="2" t="s">
        <v>154</v>
      </c>
      <c r="C194" s="2" t="s">
        <v>147</v>
      </c>
      <c r="D194" s="3">
        <v>46181</v>
      </c>
      <c r="E194" s="4">
        <v>46183</v>
      </c>
      <c r="F194" s="5">
        <v>3</v>
      </c>
      <c r="G194" s="2" t="s">
        <v>39</v>
      </c>
      <c r="H194" s="17">
        <v>249900</v>
      </c>
      <c r="I194" s="18">
        <v>199900</v>
      </c>
      <c r="J194" s="17">
        <v>189900</v>
      </c>
      <c r="K194" s="17">
        <v>189900</v>
      </c>
      <c r="L194" s="6">
        <v>20</v>
      </c>
      <c r="M194" s="6">
        <v>3798000</v>
      </c>
      <c r="N194" s="17">
        <v>3452727.2727272725</v>
      </c>
      <c r="O194" s="17">
        <v>2175218.1818181816</v>
      </c>
      <c r="P194" t="s">
        <v>211</v>
      </c>
      <c r="Q194" t="s">
        <v>212</v>
      </c>
    </row>
    <row r="195" spans="1:17" x14ac:dyDescent="0.35">
      <c r="A195" t="str">
        <f>_xlfn.XLOOKUP(B195,Mapping!C:C,Mapping!D:D)</f>
        <v>PP</v>
      </c>
      <c r="B195" s="2" t="s">
        <v>154</v>
      </c>
      <c r="C195" s="2" t="s">
        <v>147</v>
      </c>
      <c r="D195" s="3">
        <v>46181</v>
      </c>
      <c r="E195" s="4">
        <v>46183</v>
      </c>
      <c r="F195" s="5">
        <v>3</v>
      </c>
      <c r="G195" s="2" t="s">
        <v>92</v>
      </c>
      <c r="H195" s="17">
        <v>119900</v>
      </c>
      <c r="I195" s="18">
        <v>99900</v>
      </c>
      <c r="J195" s="17">
        <v>84900</v>
      </c>
      <c r="K195" s="17">
        <v>78900</v>
      </c>
      <c r="L195" s="6">
        <v>50</v>
      </c>
      <c r="M195" s="6">
        <v>3945000</v>
      </c>
      <c r="N195" s="17">
        <v>3586363.6363636362</v>
      </c>
      <c r="O195" s="17">
        <v>2259409.0909090908</v>
      </c>
      <c r="P195" t="s">
        <v>211</v>
      </c>
      <c r="Q195" t="s">
        <v>231</v>
      </c>
    </row>
    <row r="196" spans="1:17" x14ac:dyDescent="0.35">
      <c r="A196" t="str">
        <f>_xlfn.XLOOKUP(B196,Mapping!C:C,Mapping!D:D)</f>
        <v>PP</v>
      </c>
      <c r="B196" s="2" t="s">
        <v>154</v>
      </c>
      <c r="C196" s="2" t="s">
        <v>147</v>
      </c>
      <c r="D196" s="3">
        <v>46181</v>
      </c>
      <c r="E196" s="4">
        <v>46183</v>
      </c>
      <c r="F196" s="5">
        <v>3</v>
      </c>
      <c r="G196" s="2" t="s">
        <v>93</v>
      </c>
      <c r="H196" s="17">
        <v>119900</v>
      </c>
      <c r="I196" s="18">
        <v>99900</v>
      </c>
      <c r="J196" s="17">
        <v>84900</v>
      </c>
      <c r="K196" s="17">
        <v>78900</v>
      </c>
      <c r="L196" s="6">
        <v>30</v>
      </c>
      <c r="M196" s="6">
        <v>2367000</v>
      </c>
      <c r="N196" s="17">
        <v>2151818.1818181816</v>
      </c>
      <c r="O196" s="17">
        <v>1355645.4545454546</v>
      </c>
      <c r="P196" t="s">
        <v>211</v>
      </c>
      <c r="Q196" t="s">
        <v>231</v>
      </c>
    </row>
    <row r="197" spans="1:17" x14ac:dyDescent="0.35">
      <c r="A197" t="str">
        <f>_xlfn.XLOOKUP(B197,Mapping!C:C,Mapping!D:D)</f>
        <v>PP</v>
      </c>
      <c r="B197" s="2" t="s">
        <v>154</v>
      </c>
      <c r="C197" s="2" t="s">
        <v>147</v>
      </c>
      <c r="D197" s="3">
        <v>46181</v>
      </c>
      <c r="E197" s="4">
        <v>46183</v>
      </c>
      <c r="F197" s="5">
        <v>3</v>
      </c>
      <c r="G197" s="2" t="s">
        <v>94</v>
      </c>
      <c r="H197" s="17">
        <v>119900</v>
      </c>
      <c r="I197" s="18">
        <v>99900</v>
      </c>
      <c r="J197" s="17">
        <v>84900</v>
      </c>
      <c r="K197" s="17">
        <v>78900</v>
      </c>
      <c r="L197" s="6">
        <v>50</v>
      </c>
      <c r="M197" s="6">
        <v>3945000</v>
      </c>
      <c r="N197" s="17">
        <v>3586363.6363636362</v>
      </c>
      <c r="O197" s="17">
        <v>2259409.0909090908</v>
      </c>
      <c r="P197" t="s">
        <v>211</v>
      </c>
      <c r="Q197" t="s">
        <v>231</v>
      </c>
    </row>
    <row r="198" spans="1:17" x14ac:dyDescent="0.35">
      <c r="A198" t="str">
        <f>_xlfn.XLOOKUP(B198,Mapping!C:C,Mapping!D:D)</f>
        <v>PP</v>
      </c>
      <c r="B198" s="2" t="s">
        <v>154</v>
      </c>
      <c r="C198" s="2" t="s">
        <v>147</v>
      </c>
      <c r="D198" s="3">
        <v>46181</v>
      </c>
      <c r="E198" s="4">
        <v>46183</v>
      </c>
      <c r="F198" s="5">
        <v>3</v>
      </c>
      <c r="G198" s="2" t="s">
        <v>95</v>
      </c>
      <c r="H198" s="17">
        <v>79900</v>
      </c>
      <c r="I198" s="18">
        <v>54900</v>
      </c>
      <c r="J198" s="17">
        <v>54900</v>
      </c>
      <c r="K198" s="17">
        <v>57900</v>
      </c>
      <c r="L198" s="6">
        <v>100</v>
      </c>
      <c r="M198" s="6">
        <v>5790000</v>
      </c>
      <c r="N198" s="17">
        <v>5263636.3636363633</v>
      </c>
      <c r="O198" s="17">
        <v>3316090.9090909092</v>
      </c>
      <c r="P198" t="s">
        <v>211</v>
      </c>
      <c r="Q198" t="s">
        <v>233</v>
      </c>
    </row>
    <row r="199" spans="1:17" x14ac:dyDescent="0.35">
      <c r="A199" t="str">
        <f>_xlfn.XLOOKUP(B199,Mapping!C:C,Mapping!D:D)</f>
        <v>PP</v>
      </c>
      <c r="B199" s="2" t="s">
        <v>154</v>
      </c>
      <c r="C199" s="2" t="s">
        <v>147</v>
      </c>
      <c r="D199" s="3">
        <v>46181</v>
      </c>
      <c r="E199" s="4">
        <v>46183</v>
      </c>
      <c r="F199" s="5">
        <v>3</v>
      </c>
      <c r="G199" s="2" t="s">
        <v>100</v>
      </c>
      <c r="H199" s="17">
        <v>119900</v>
      </c>
      <c r="I199" s="18">
        <v>99900</v>
      </c>
      <c r="J199" s="17">
        <v>84900</v>
      </c>
      <c r="K199" s="17">
        <v>78900</v>
      </c>
      <c r="L199" s="6">
        <v>30</v>
      </c>
      <c r="M199" s="6">
        <v>2367000</v>
      </c>
      <c r="N199" s="17">
        <v>2151818.1818181816</v>
      </c>
      <c r="O199" s="17">
        <v>1355645.4545454546</v>
      </c>
      <c r="P199" t="s">
        <v>211</v>
      </c>
      <c r="Q199" t="s">
        <v>231</v>
      </c>
    </row>
    <row r="200" spans="1:17" x14ac:dyDescent="0.35">
      <c r="A200" t="str">
        <f>_xlfn.XLOOKUP(B200,Mapping!C:C,Mapping!D:D)</f>
        <v>PP</v>
      </c>
      <c r="B200" s="2" t="s">
        <v>154</v>
      </c>
      <c r="C200" s="2" t="s">
        <v>147</v>
      </c>
      <c r="D200" s="3">
        <v>46181</v>
      </c>
      <c r="E200" s="4">
        <v>46183</v>
      </c>
      <c r="F200" s="5">
        <v>3</v>
      </c>
      <c r="G200" s="2" t="s">
        <v>101</v>
      </c>
      <c r="H200" s="17">
        <v>149900</v>
      </c>
      <c r="I200" s="18">
        <v>139900</v>
      </c>
      <c r="J200" s="17">
        <v>109900</v>
      </c>
      <c r="K200" s="17">
        <v>114900</v>
      </c>
      <c r="L200" s="6">
        <v>100</v>
      </c>
      <c r="M200" s="6">
        <v>11490000</v>
      </c>
      <c r="N200" s="17">
        <v>10445454.545454545</v>
      </c>
      <c r="O200" s="17">
        <v>6580636.3636363633</v>
      </c>
      <c r="P200" t="s">
        <v>211</v>
      </c>
      <c r="Q200" t="s">
        <v>231</v>
      </c>
    </row>
    <row r="201" spans="1:17" x14ac:dyDescent="0.35">
      <c r="A201" t="str">
        <f>_xlfn.XLOOKUP(B201,Mapping!C:C,Mapping!D:D)</f>
        <v>PP</v>
      </c>
      <c r="B201" s="7" t="s">
        <v>154</v>
      </c>
      <c r="C201" s="2" t="s">
        <v>147</v>
      </c>
      <c r="D201" s="3">
        <v>46198</v>
      </c>
      <c r="E201" s="4">
        <v>46201</v>
      </c>
      <c r="F201" s="5">
        <v>4</v>
      </c>
      <c r="G201" s="2" t="s">
        <v>40</v>
      </c>
      <c r="H201" s="17">
        <v>349900</v>
      </c>
      <c r="I201" s="18">
        <v>319900</v>
      </c>
      <c r="J201" s="17">
        <v>299900</v>
      </c>
      <c r="K201" s="17">
        <v>299900</v>
      </c>
      <c r="L201" s="6">
        <v>300</v>
      </c>
      <c r="M201" s="6">
        <v>89970000</v>
      </c>
      <c r="N201" s="17">
        <v>81790909.090909079</v>
      </c>
      <c r="O201" s="17">
        <v>51528272.727272719</v>
      </c>
      <c r="P201" t="s">
        <v>211</v>
      </c>
      <c r="Q201" t="s">
        <v>228</v>
      </c>
    </row>
    <row r="202" spans="1:17" x14ac:dyDescent="0.35">
      <c r="A202" t="str">
        <f>_xlfn.XLOOKUP(B202,Mapping!C:C,Mapping!D:D)</f>
        <v>Costco</v>
      </c>
      <c r="B202" s="2" t="s">
        <v>157</v>
      </c>
      <c r="C202" s="2" t="s">
        <v>158</v>
      </c>
      <c r="D202" s="3">
        <v>46174</v>
      </c>
      <c r="E202" s="4">
        <v>46187</v>
      </c>
      <c r="F202" s="5">
        <v>14</v>
      </c>
      <c r="G202" s="2" t="s">
        <v>159</v>
      </c>
      <c r="H202" s="17" t="s">
        <v>115</v>
      </c>
      <c r="I202" s="18">
        <v>179000</v>
      </c>
      <c r="J202" s="17">
        <v>179000</v>
      </c>
      <c r="K202" s="17">
        <v>159000</v>
      </c>
      <c r="L202" s="6">
        <v>900</v>
      </c>
      <c r="M202" s="6">
        <v>143100000</v>
      </c>
      <c r="N202" s="17">
        <v>128880000</v>
      </c>
      <c r="O202" s="17">
        <v>120502800</v>
      </c>
      <c r="P202" t="s">
        <v>211</v>
      </c>
      <c r="Q202" t="s">
        <v>212</v>
      </c>
    </row>
    <row r="203" spans="1:17" x14ac:dyDescent="0.35">
      <c r="A203" t="str">
        <f>_xlfn.XLOOKUP(B203,Mapping!C:C,Mapping!D:D)</f>
        <v>Costco</v>
      </c>
      <c r="B203" s="2" t="s">
        <v>157</v>
      </c>
      <c r="C203" s="2" t="s">
        <v>158</v>
      </c>
      <c r="D203" s="3">
        <v>46178</v>
      </c>
      <c r="E203" s="4">
        <v>46180</v>
      </c>
      <c r="F203" s="5">
        <v>3</v>
      </c>
      <c r="G203" s="2" t="s">
        <v>53</v>
      </c>
      <c r="H203" s="17">
        <v>549000</v>
      </c>
      <c r="I203" s="18">
        <v>399900</v>
      </c>
      <c r="J203" s="17">
        <v>379900</v>
      </c>
      <c r="K203" s="17">
        <v>379000</v>
      </c>
      <c r="L203" s="6">
        <v>200</v>
      </c>
      <c r="M203" s="6">
        <v>75800000</v>
      </c>
      <c r="N203" s="17">
        <v>62389090.909090906</v>
      </c>
      <c r="O203" s="17">
        <v>58333800</v>
      </c>
      <c r="P203" t="s">
        <v>213</v>
      </c>
      <c r="Q203" t="s">
        <v>214</v>
      </c>
    </row>
    <row r="204" spans="1:17" x14ac:dyDescent="0.35">
      <c r="A204" t="str">
        <f>_xlfn.XLOOKUP(B204,Mapping!C:C,Mapping!D:D)</f>
        <v>Costco</v>
      </c>
      <c r="B204" s="2" t="s">
        <v>157</v>
      </c>
      <c r="C204" s="2" t="s">
        <v>158</v>
      </c>
      <c r="D204" s="3">
        <v>46195</v>
      </c>
      <c r="E204" s="4">
        <v>46201</v>
      </c>
      <c r="F204" s="5">
        <v>7</v>
      </c>
      <c r="G204" s="2" t="s">
        <v>160</v>
      </c>
      <c r="H204" s="17" t="s">
        <v>115</v>
      </c>
      <c r="I204" s="18">
        <v>104900</v>
      </c>
      <c r="J204" s="17">
        <v>104900</v>
      </c>
      <c r="K204" s="17">
        <v>94900</v>
      </c>
      <c r="L204" s="6">
        <v>800</v>
      </c>
      <c r="M204" s="6">
        <v>75920000</v>
      </c>
      <c r="N204" s="17">
        <v>66576000</v>
      </c>
      <c r="O204" s="17">
        <v>62248560</v>
      </c>
      <c r="P204" t="s">
        <v>211</v>
      </c>
      <c r="Q204" t="s">
        <v>236</v>
      </c>
    </row>
    <row r="205" spans="1:17" x14ac:dyDescent="0.35">
      <c r="A205" t="str">
        <f>_xlfn.XLOOKUP(B205,Mapping!C:C,Mapping!D:D)</f>
        <v>Costco</v>
      </c>
      <c r="B205" s="2" t="s">
        <v>157</v>
      </c>
      <c r="C205" s="2" t="s">
        <v>158</v>
      </c>
      <c r="D205" s="3">
        <v>46195</v>
      </c>
      <c r="E205" s="4">
        <v>46201</v>
      </c>
      <c r="F205" s="5">
        <v>7</v>
      </c>
      <c r="G205" s="2" t="s">
        <v>161</v>
      </c>
      <c r="H205" s="17" t="s">
        <v>115</v>
      </c>
      <c r="I205" s="18">
        <v>259000</v>
      </c>
      <c r="J205" s="17">
        <v>259000</v>
      </c>
      <c r="K205" s="17">
        <v>208000</v>
      </c>
      <c r="L205" s="6">
        <v>600</v>
      </c>
      <c r="M205" s="6">
        <v>124800000</v>
      </c>
      <c r="N205" s="17">
        <v>121494545.45454545</v>
      </c>
      <c r="O205" s="17">
        <v>113597400</v>
      </c>
      <c r="P205" t="s">
        <v>215</v>
      </c>
      <c r="Q205" t="s">
        <v>227</v>
      </c>
    </row>
    <row r="206" spans="1:17" x14ac:dyDescent="0.35">
      <c r="A206" t="str">
        <f>_xlfn.XLOOKUP(B206,Mapping!C:C,Mapping!D:D)</f>
        <v>Costco</v>
      </c>
      <c r="B206" s="2" t="s">
        <v>157</v>
      </c>
      <c r="C206" s="2" t="s">
        <v>158</v>
      </c>
      <c r="D206" s="3">
        <v>46188</v>
      </c>
      <c r="E206" s="4">
        <v>46201</v>
      </c>
      <c r="F206" s="5">
        <v>14</v>
      </c>
      <c r="G206" s="2" t="s">
        <v>53</v>
      </c>
      <c r="H206" s="17">
        <v>549000</v>
      </c>
      <c r="I206" s="18">
        <v>399900</v>
      </c>
      <c r="J206" s="17">
        <v>379900</v>
      </c>
      <c r="K206" s="17">
        <v>549000</v>
      </c>
      <c r="L206" s="6">
        <v>1200</v>
      </c>
      <c r="M206" s="6">
        <v>658800000</v>
      </c>
      <c r="N206" s="17">
        <v>374334545.45454544</v>
      </c>
      <c r="O206" s="17">
        <v>350002800</v>
      </c>
      <c r="P206" t="s">
        <v>213</v>
      </c>
      <c r="Q206" t="s">
        <v>214</v>
      </c>
    </row>
    <row r="207" spans="1:17" x14ac:dyDescent="0.35">
      <c r="A207" t="str">
        <f>_xlfn.XLOOKUP(B207,Mapping!C:C,Mapping!D:D)</f>
        <v>Costco</v>
      </c>
      <c r="B207" s="2" t="s">
        <v>157</v>
      </c>
      <c r="C207" s="2" t="s">
        <v>158</v>
      </c>
      <c r="D207" s="3">
        <v>46188</v>
      </c>
      <c r="E207" s="4">
        <v>46201</v>
      </c>
      <c r="F207" s="5">
        <v>14</v>
      </c>
      <c r="G207" s="2" t="s">
        <v>162</v>
      </c>
      <c r="H207" s="17" t="s">
        <v>115</v>
      </c>
      <c r="I207" s="18">
        <v>246900</v>
      </c>
      <c r="J207" s="17">
        <v>246900</v>
      </c>
      <c r="K207" s="17">
        <v>197400</v>
      </c>
      <c r="L207" s="6">
        <v>1500</v>
      </c>
      <c r="M207" s="6">
        <v>296100000</v>
      </c>
      <c r="N207" s="17">
        <v>290714999.99999994</v>
      </c>
      <c r="O207" s="17">
        <v>271818524.99999994</v>
      </c>
      <c r="P207" t="s">
        <v>211</v>
      </c>
      <c r="Q207" t="s">
        <v>232</v>
      </c>
    </row>
    <row r="208" spans="1:17" x14ac:dyDescent="0.35">
      <c r="A208" t="str">
        <f>_xlfn.XLOOKUP(B208,Mapping!C:C,Mapping!D:D)</f>
        <v>Costco</v>
      </c>
      <c r="B208" s="2" t="s">
        <v>157</v>
      </c>
      <c r="C208" s="2" t="s">
        <v>158</v>
      </c>
      <c r="D208" s="3">
        <v>46188</v>
      </c>
      <c r="E208" s="4">
        <v>46201</v>
      </c>
      <c r="F208" s="5">
        <v>14</v>
      </c>
      <c r="G208" s="2" t="s">
        <v>61</v>
      </c>
      <c r="H208" s="17">
        <v>169900</v>
      </c>
      <c r="I208" s="18">
        <v>129900</v>
      </c>
      <c r="J208" s="17">
        <v>129900</v>
      </c>
      <c r="K208" s="17">
        <v>104000</v>
      </c>
      <c r="L208" s="6">
        <v>1500</v>
      </c>
      <c r="M208" s="6">
        <v>156000000</v>
      </c>
      <c r="N208" s="17">
        <v>306081818.18181819</v>
      </c>
      <c r="O208" s="17">
        <v>286186500</v>
      </c>
      <c r="P208" t="s">
        <v>213</v>
      </c>
      <c r="Q208" t="s">
        <v>230</v>
      </c>
    </row>
    <row r="209" spans="1:17" x14ac:dyDescent="0.35">
      <c r="A209" t="str">
        <f>_xlfn.XLOOKUP(B209,Mapping!C:C,Mapping!D:D)</f>
        <v>Costco</v>
      </c>
      <c r="B209" s="7" t="s">
        <v>157</v>
      </c>
      <c r="C209" s="2" t="s">
        <v>158</v>
      </c>
      <c r="D209" s="3">
        <v>46188</v>
      </c>
      <c r="E209" s="4">
        <v>46201</v>
      </c>
      <c r="F209" s="5">
        <v>14</v>
      </c>
      <c r="G209" s="2" t="s">
        <v>74</v>
      </c>
      <c r="H209" s="17">
        <v>229900</v>
      </c>
      <c r="I209" s="18">
        <v>189900</v>
      </c>
      <c r="J209" s="17">
        <v>189900</v>
      </c>
      <c r="K209" s="17">
        <v>169900</v>
      </c>
      <c r="L209" s="6">
        <v>800</v>
      </c>
      <c r="M209" s="6">
        <v>135920000</v>
      </c>
      <c r="N209" s="17">
        <v>118773818.18181816</v>
      </c>
      <c r="O209" s="17">
        <v>111053519.99999997</v>
      </c>
      <c r="P209" t="s">
        <v>215</v>
      </c>
      <c r="Q209" t="s">
        <v>216</v>
      </c>
    </row>
    <row r="210" spans="1:17" x14ac:dyDescent="0.35">
      <c r="A210" t="str">
        <f>_xlfn.XLOOKUP(B210,Mapping!C:C,Mapping!D:D)</f>
        <v>TVHS</v>
      </c>
      <c r="B210" s="2" t="s">
        <v>163</v>
      </c>
      <c r="C210" s="2" t="s">
        <v>164</v>
      </c>
      <c r="D210" s="3">
        <v>46174</v>
      </c>
      <c r="E210" s="4">
        <v>46177</v>
      </c>
      <c r="F210" s="5">
        <v>4</v>
      </c>
      <c r="G210" s="2" t="s">
        <v>17</v>
      </c>
      <c r="H210" s="17">
        <v>599000</v>
      </c>
      <c r="I210" s="18">
        <v>399900</v>
      </c>
      <c r="J210" s="17">
        <v>399900</v>
      </c>
      <c r="K210" s="17">
        <v>549000</v>
      </c>
      <c r="L210" s="6">
        <v>316</v>
      </c>
      <c r="M210" s="6">
        <v>173484000</v>
      </c>
      <c r="N210" s="17">
        <v>157712727.27272725</v>
      </c>
      <c r="O210" s="17">
        <v>93050509.090909064</v>
      </c>
      <c r="P210" t="s">
        <v>213</v>
      </c>
      <c r="Q210" t="s">
        <v>214</v>
      </c>
    </row>
    <row r="211" spans="1:17" x14ac:dyDescent="0.35">
      <c r="A211" t="str">
        <f>_xlfn.XLOOKUP(B211,Mapping!C:C,Mapping!D:D)</f>
        <v>TVHS</v>
      </c>
      <c r="B211" s="2" t="s">
        <v>163</v>
      </c>
      <c r="C211" s="2" t="s">
        <v>147</v>
      </c>
      <c r="D211" s="3">
        <v>46178</v>
      </c>
      <c r="E211" s="4">
        <v>46178</v>
      </c>
      <c r="F211" s="5">
        <v>1</v>
      </c>
      <c r="G211" s="2" t="s">
        <v>27</v>
      </c>
      <c r="H211" s="17">
        <v>329900</v>
      </c>
      <c r="I211" s="18">
        <v>299900</v>
      </c>
      <c r="J211" s="17">
        <v>279900</v>
      </c>
      <c r="K211" s="17">
        <v>299900</v>
      </c>
      <c r="L211" s="6">
        <v>800</v>
      </c>
      <c r="M211" s="6">
        <v>239920000</v>
      </c>
      <c r="N211" s="17">
        <v>218109090.90909088</v>
      </c>
      <c r="O211" s="17">
        <v>128684363.63636361</v>
      </c>
      <c r="P211" t="s">
        <v>211</v>
      </c>
      <c r="Q211" t="s">
        <v>212</v>
      </c>
    </row>
    <row r="212" spans="1:17" x14ac:dyDescent="0.35">
      <c r="A212" t="str">
        <f>_xlfn.XLOOKUP(B212,Mapping!C:C,Mapping!D:D)</f>
        <v>TVHS</v>
      </c>
      <c r="B212" s="2" t="s">
        <v>163</v>
      </c>
      <c r="C212" s="2" t="s">
        <v>147</v>
      </c>
      <c r="D212" s="3">
        <v>46196</v>
      </c>
      <c r="E212" s="4">
        <v>46196</v>
      </c>
      <c r="F212" s="5">
        <v>1</v>
      </c>
      <c r="G212" s="2" t="s">
        <v>19</v>
      </c>
      <c r="H212" s="17">
        <v>249900</v>
      </c>
      <c r="I212" s="18">
        <v>219900</v>
      </c>
      <c r="J212" s="17">
        <v>199900</v>
      </c>
      <c r="K212" s="17">
        <v>219900</v>
      </c>
      <c r="L212" s="6">
        <v>1000</v>
      </c>
      <c r="M212" s="6">
        <v>219900000</v>
      </c>
      <c r="N212" s="17">
        <v>199909090.90909088</v>
      </c>
      <c r="O212" s="17">
        <v>117946363.63636361</v>
      </c>
      <c r="P212" t="s">
        <v>215</v>
      </c>
      <c r="Q212" t="s">
        <v>216</v>
      </c>
    </row>
    <row r="213" spans="1:17" x14ac:dyDescent="0.35">
      <c r="A213" t="str">
        <f>_xlfn.XLOOKUP(B213,Mapping!C:C,Mapping!D:D)</f>
        <v>TVHS</v>
      </c>
      <c r="B213" s="2" t="s">
        <v>163</v>
      </c>
      <c r="C213" s="2" t="s">
        <v>147</v>
      </c>
      <c r="D213" s="3">
        <v>46198</v>
      </c>
      <c r="E213" s="4">
        <v>46198</v>
      </c>
      <c r="F213" s="5">
        <v>1</v>
      </c>
      <c r="G213" s="2" t="s">
        <v>94</v>
      </c>
      <c r="H213" s="17">
        <v>119900</v>
      </c>
      <c r="I213" s="18">
        <v>99900</v>
      </c>
      <c r="J213" s="17">
        <v>84900</v>
      </c>
      <c r="K213" s="17">
        <v>84900</v>
      </c>
      <c r="L213" s="6">
        <v>3500</v>
      </c>
      <c r="M213" s="6">
        <v>297150000</v>
      </c>
      <c r="N213" s="17">
        <v>270136363.63636363</v>
      </c>
      <c r="O213" s="17">
        <v>159380454.54545453</v>
      </c>
      <c r="P213" t="s">
        <v>211</v>
      </c>
      <c r="Q213" t="s">
        <v>231</v>
      </c>
    </row>
    <row r="214" spans="1:17" x14ac:dyDescent="0.35">
      <c r="A214" t="str">
        <f>_xlfn.XLOOKUP(B214,Mapping!C:C,Mapping!D:D)</f>
        <v>TVHS</v>
      </c>
      <c r="B214" s="2" t="s">
        <v>163</v>
      </c>
      <c r="C214" s="2" t="s">
        <v>147</v>
      </c>
      <c r="D214" s="3">
        <v>46192</v>
      </c>
      <c r="E214" s="4">
        <v>46192</v>
      </c>
      <c r="F214" s="5">
        <v>1</v>
      </c>
      <c r="G214" s="2" t="s">
        <v>35</v>
      </c>
      <c r="H214" s="17">
        <v>749000</v>
      </c>
      <c r="I214" s="18">
        <v>599000</v>
      </c>
      <c r="J214" s="17">
        <v>549000</v>
      </c>
      <c r="K214" s="17">
        <v>649000</v>
      </c>
      <c r="L214" s="6">
        <v>350</v>
      </c>
      <c r="M214" s="6">
        <v>227150000</v>
      </c>
      <c r="N214" s="17">
        <v>206500000</v>
      </c>
      <c r="O214" s="17">
        <v>121835000</v>
      </c>
      <c r="P214" t="s">
        <v>213</v>
      </c>
      <c r="Q214" t="s">
        <v>221</v>
      </c>
    </row>
    <row r="215" spans="1:17" x14ac:dyDescent="0.35">
      <c r="A215" t="str">
        <f>_xlfn.XLOOKUP(B215,Mapping!C:C,Mapping!D:D)</f>
        <v>TVHS</v>
      </c>
      <c r="B215" s="2" t="s">
        <v>163</v>
      </c>
      <c r="C215" s="2" t="s">
        <v>147</v>
      </c>
      <c r="D215" s="3">
        <v>46199</v>
      </c>
      <c r="E215" s="4">
        <v>46199</v>
      </c>
      <c r="F215" s="5">
        <v>1</v>
      </c>
      <c r="G215" s="2" t="s">
        <v>51</v>
      </c>
      <c r="H215" s="17">
        <v>249900</v>
      </c>
      <c r="I215" s="18">
        <v>229900</v>
      </c>
      <c r="J215" s="17">
        <v>199900</v>
      </c>
      <c r="K215" s="17">
        <v>229900</v>
      </c>
      <c r="L215" s="6">
        <v>1500</v>
      </c>
      <c r="M215" s="6">
        <v>344850000</v>
      </c>
      <c r="N215" s="17">
        <v>313499999.99999994</v>
      </c>
      <c r="O215" s="17">
        <v>184964999.99999994</v>
      </c>
      <c r="P215" t="s">
        <v>211</v>
      </c>
      <c r="Q215" t="s">
        <v>231</v>
      </c>
    </row>
    <row r="216" spans="1:17" x14ac:dyDescent="0.35">
      <c r="A216" t="str">
        <f>_xlfn.XLOOKUP(B216,Mapping!C:C,Mapping!D:D)</f>
        <v>TVHS</v>
      </c>
      <c r="B216" s="2" t="s">
        <v>163</v>
      </c>
      <c r="C216" s="2" t="s">
        <v>147</v>
      </c>
      <c r="D216" s="3">
        <v>46188</v>
      </c>
      <c r="E216" s="4">
        <v>46188</v>
      </c>
      <c r="F216" s="5">
        <v>1</v>
      </c>
      <c r="G216" s="2" t="s">
        <v>32</v>
      </c>
      <c r="H216" s="17">
        <v>349900</v>
      </c>
      <c r="I216" s="18">
        <v>299900</v>
      </c>
      <c r="J216" s="17">
        <v>269900</v>
      </c>
      <c r="K216" s="17">
        <v>269900</v>
      </c>
      <c r="L216" s="6">
        <v>1000</v>
      </c>
      <c r="M216" s="6">
        <v>269900000</v>
      </c>
      <c r="N216" s="17">
        <v>245363636.36363634</v>
      </c>
      <c r="O216" s="17">
        <v>144764545.45454544</v>
      </c>
      <c r="P216" t="s">
        <v>211</v>
      </c>
      <c r="Q216" t="s">
        <v>224</v>
      </c>
    </row>
    <row r="217" spans="1:17" x14ac:dyDescent="0.35">
      <c r="A217" t="str">
        <f>_xlfn.XLOOKUP(B217,Mapping!C:C,Mapping!D:D)</f>
        <v>TVHS</v>
      </c>
      <c r="B217" s="2" t="s">
        <v>163</v>
      </c>
      <c r="C217" s="2" t="s">
        <v>147</v>
      </c>
      <c r="D217" s="3">
        <v>46187</v>
      </c>
      <c r="E217" s="4">
        <v>46187</v>
      </c>
      <c r="F217" s="5">
        <v>1</v>
      </c>
      <c r="G217" s="2" t="s">
        <v>35</v>
      </c>
      <c r="H217" s="17">
        <v>749000</v>
      </c>
      <c r="I217" s="18">
        <v>599000</v>
      </c>
      <c r="J217" s="17">
        <v>549000</v>
      </c>
      <c r="K217" s="17">
        <v>649000</v>
      </c>
      <c r="L217" s="6">
        <v>600</v>
      </c>
      <c r="M217" s="6">
        <v>389400000</v>
      </c>
      <c r="N217" s="17">
        <v>354000000</v>
      </c>
      <c r="O217" s="17">
        <v>208860000</v>
      </c>
      <c r="P217" t="s">
        <v>213</v>
      </c>
      <c r="Q217" t="s">
        <v>221</v>
      </c>
    </row>
    <row r="218" spans="1:17" x14ac:dyDescent="0.35">
      <c r="A218" t="str">
        <f>_xlfn.XLOOKUP(B218,Mapping!C:C,Mapping!D:D)</f>
        <v>TVHS</v>
      </c>
      <c r="B218" s="2" t="s">
        <v>163</v>
      </c>
      <c r="C218" s="2" t="s">
        <v>147</v>
      </c>
      <c r="D218" s="3">
        <v>46194</v>
      </c>
      <c r="E218" s="4">
        <v>46194</v>
      </c>
      <c r="F218" s="5">
        <v>1</v>
      </c>
      <c r="G218" s="2" t="s">
        <v>83</v>
      </c>
      <c r="H218" s="17">
        <v>149900</v>
      </c>
      <c r="I218" s="18">
        <v>139900</v>
      </c>
      <c r="J218" s="17">
        <v>109900</v>
      </c>
      <c r="K218" s="17">
        <v>119900</v>
      </c>
      <c r="L218" s="6">
        <v>2200</v>
      </c>
      <c r="M218" s="6">
        <v>263780000</v>
      </c>
      <c r="N218" s="17">
        <v>239799999.99999997</v>
      </c>
      <c r="O218" s="17">
        <v>141481999.99999997</v>
      </c>
      <c r="P218" t="s">
        <v>211</v>
      </c>
      <c r="Q218" t="s">
        <v>231</v>
      </c>
    </row>
    <row r="219" spans="1:17" x14ac:dyDescent="0.35">
      <c r="A219" t="str">
        <f>_xlfn.XLOOKUP(B219,Mapping!C:C,Mapping!D:D)</f>
        <v>TVHS</v>
      </c>
      <c r="B219" s="7" t="s">
        <v>163</v>
      </c>
      <c r="C219" s="2" t="s">
        <v>147</v>
      </c>
      <c r="D219" s="3">
        <v>46201</v>
      </c>
      <c r="E219" s="4">
        <v>46201</v>
      </c>
      <c r="F219" s="5">
        <v>1</v>
      </c>
      <c r="G219" s="2" t="s">
        <v>27</v>
      </c>
      <c r="H219" s="17">
        <v>329900</v>
      </c>
      <c r="I219" s="18">
        <v>299900</v>
      </c>
      <c r="J219" s="17">
        <v>279900</v>
      </c>
      <c r="K219" s="17">
        <v>299900</v>
      </c>
      <c r="L219" s="6">
        <v>800</v>
      </c>
      <c r="M219" s="6">
        <v>239920000</v>
      </c>
      <c r="N219" s="17">
        <v>218109090.90909088</v>
      </c>
      <c r="O219" s="17">
        <v>128684363.63636361</v>
      </c>
      <c r="P219" t="s">
        <v>211</v>
      </c>
      <c r="Q219" t="s">
        <v>212</v>
      </c>
    </row>
    <row r="220" spans="1:17" x14ac:dyDescent="0.35">
      <c r="A220" t="str">
        <f>_xlfn.XLOOKUP(B220,Mapping!C:C,Mapping!D:D)</f>
        <v>E-MART</v>
      </c>
      <c r="B220" s="2" t="s">
        <v>165</v>
      </c>
      <c r="C220" s="2">
        <v>0</v>
      </c>
      <c r="D220" s="3">
        <v>46174</v>
      </c>
      <c r="E220" s="4">
        <v>46177</v>
      </c>
      <c r="F220" s="5">
        <v>4</v>
      </c>
      <c r="G220" s="2" t="s">
        <v>107</v>
      </c>
      <c r="H220" s="17">
        <v>849000</v>
      </c>
      <c r="I220" s="18">
        <v>749000</v>
      </c>
      <c r="J220" s="17">
        <v>699000</v>
      </c>
      <c r="K220" s="17">
        <v>749000</v>
      </c>
      <c r="L220" s="6">
        <v>5</v>
      </c>
      <c r="M220" s="6">
        <v>3745000</v>
      </c>
      <c r="N220" s="17">
        <v>2879327.2727272725</v>
      </c>
      <c r="O220" s="17">
        <v>2588515.2181818178</v>
      </c>
      <c r="P220" t="s">
        <v>213</v>
      </c>
      <c r="Q220" t="s">
        <v>220</v>
      </c>
    </row>
    <row r="221" spans="1:17" x14ac:dyDescent="0.35">
      <c r="A221" t="str">
        <f>_xlfn.XLOOKUP(B221,Mapping!C:C,Mapping!D:D)</f>
        <v>E-MART</v>
      </c>
      <c r="B221" s="2" t="s">
        <v>165</v>
      </c>
      <c r="C221" s="2">
        <v>0</v>
      </c>
      <c r="D221" s="3">
        <v>46174</v>
      </c>
      <c r="E221" s="4">
        <v>46180</v>
      </c>
      <c r="F221" s="5">
        <v>7</v>
      </c>
      <c r="G221" s="2" t="s">
        <v>23</v>
      </c>
      <c r="H221" s="17">
        <v>899000</v>
      </c>
      <c r="I221" s="18">
        <v>849000</v>
      </c>
      <c r="J221" s="17">
        <v>799000</v>
      </c>
      <c r="K221" s="17">
        <v>799000</v>
      </c>
      <c r="L221" s="6">
        <v>20</v>
      </c>
      <c r="M221" s="6">
        <v>15980000</v>
      </c>
      <c r="N221" s="17">
        <v>16143272.727272727</v>
      </c>
      <c r="O221" s="17">
        <v>14512802.181818182</v>
      </c>
      <c r="P221" t="s">
        <v>213</v>
      </c>
      <c r="Q221" t="s">
        <v>220</v>
      </c>
    </row>
    <row r="222" spans="1:17" x14ac:dyDescent="0.35">
      <c r="A222" t="str">
        <f>_xlfn.XLOOKUP(B222,Mapping!C:C,Mapping!D:D)</f>
        <v>E-MART</v>
      </c>
      <c r="B222" s="2" t="s">
        <v>165</v>
      </c>
      <c r="C222" s="2">
        <v>0</v>
      </c>
      <c r="D222" s="3">
        <v>46174</v>
      </c>
      <c r="E222" s="4">
        <v>46180</v>
      </c>
      <c r="F222" s="5">
        <v>7</v>
      </c>
      <c r="G222" s="2" t="s">
        <v>26</v>
      </c>
      <c r="H222" s="17">
        <v>899000</v>
      </c>
      <c r="I222" s="18">
        <v>849000</v>
      </c>
      <c r="J222" s="17">
        <v>799000</v>
      </c>
      <c r="K222" s="17">
        <v>849000</v>
      </c>
      <c r="L222" s="6">
        <v>85</v>
      </c>
      <c r="M222" s="6">
        <v>72165000</v>
      </c>
      <c r="N222" s="17">
        <v>54713727.272727273</v>
      </c>
      <c r="O222" s="17">
        <v>49187640.81818182</v>
      </c>
      <c r="P222" t="s">
        <v>213</v>
      </c>
      <c r="Q222" t="s">
        <v>221</v>
      </c>
    </row>
    <row r="223" spans="1:17" x14ac:dyDescent="0.35">
      <c r="A223" t="str">
        <f>_xlfn.XLOOKUP(B223,Mapping!C:C,Mapping!D:D)</f>
        <v>E-MART</v>
      </c>
      <c r="B223" s="2" t="s">
        <v>165</v>
      </c>
      <c r="C223" s="2">
        <v>0</v>
      </c>
      <c r="D223" s="3">
        <v>46174</v>
      </c>
      <c r="E223" s="4">
        <v>46180</v>
      </c>
      <c r="F223" s="5">
        <v>7</v>
      </c>
      <c r="G223" s="2" t="s">
        <v>35</v>
      </c>
      <c r="H223" s="17">
        <v>749000</v>
      </c>
      <c r="I223" s="18">
        <v>599000</v>
      </c>
      <c r="J223" s="17">
        <v>549000</v>
      </c>
      <c r="K223" s="17">
        <v>549000</v>
      </c>
      <c r="L223" s="6">
        <v>100</v>
      </c>
      <c r="M223" s="6">
        <v>54900000</v>
      </c>
      <c r="N223" s="17">
        <v>50803636.36363636</v>
      </c>
      <c r="O223" s="17">
        <v>45672469.090909086</v>
      </c>
      <c r="P223" t="s">
        <v>213</v>
      </c>
      <c r="Q223" t="s">
        <v>221</v>
      </c>
    </row>
    <row r="224" spans="1:17" x14ac:dyDescent="0.35">
      <c r="A224" t="str">
        <f>_xlfn.XLOOKUP(B224,Mapping!C:C,Mapping!D:D)</f>
        <v>E-MART</v>
      </c>
      <c r="B224" s="2" t="s">
        <v>165</v>
      </c>
      <c r="C224" s="2">
        <v>0</v>
      </c>
      <c r="D224" s="3">
        <v>46174</v>
      </c>
      <c r="E224" s="4">
        <v>46203</v>
      </c>
      <c r="F224" s="5">
        <v>30</v>
      </c>
      <c r="G224" s="2" t="s">
        <v>112</v>
      </c>
      <c r="H224" s="17">
        <v>799000</v>
      </c>
      <c r="I224" s="18">
        <v>599000</v>
      </c>
      <c r="J224" s="17">
        <v>599000</v>
      </c>
      <c r="K224" s="17">
        <v>599000</v>
      </c>
      <c r="L224" s="6">
        <v>1</v>
      </c>
      <c r="M224" s="6">
        <v>599000</v>
      </c>
      <c r="N224" s="17">
        <v>515718.18181818177</v>
      </c>
      <c r="O224" s="17">
        <v>463630.64545454539</v>
      </c>
      <c r="P224" t="s">
        <v>213</v>
      </c>
      <c r="Q224" t="s">
        <v>214</v>
      </c>
    </row>
    <row r="225" spans="1:17" x14ac:dyDescent="0.35">
      <c r="A225" t="str">
        <f>_xlfn.XLOOKUP(B225,Mapping!C:C,Mapping!D:D)</f>
        <v>E-MART</v>
      </c>
      <c r="B225" s="2" t="s">
        <v>165</v>
      </c>
      <c r="C225" s="2">
        <v>0</v>
      </c>
      <c r="D225" s="3">
        <v>46174</v>
      </c>
      <c r="E225" s="4">
        <v>46188</v>
      </c>
      <c r="F225" s="5">
        <v>15</v>
      </c>
      <c r="G225" s="2" t="s">
        <v>109</v>
      </c>
      <c r="H225" s="17">
        <v>249900</v>
      </c>
      <c r="I225" s="18">
        <v>219900</v>
      </c>
      <c r="J225" s="17">
        <v>199900</v>
      </c>
      <c r="K225" s="17">
        <v>199900</v>
      </c>
      <c r="L225" s="6">
        <v>100</v>
      </c>
      <c r="M225" s="6">
        <v>19990000</v>
      </c>
      <c r="N225" s="17">
        <v>14766818.18181818</v>
      </c>
      <c r="O225" s="17">
        <v>13275369.545454543</v>
      </c>
      <c r="P225" t="s">
        <v>225</v>
      </c>
      <c r="Q225" t="s">
        <v>226</v>
      </c>
    </row>
    <row r="226" spans="1:17" x14ac:dyDescent="0.35">
      <c r="A226" t="str">
        <f>_xlfn.XLOOKUP(B226,Mapping!C:C,Mapping!D:D)</f>
        <v>E-MART</v>
      </c>
      <c r="B226" s="2" t="s">
        <v>165</v>
      </c>
      <c r="C226" s="2">
        <v>0</v>
      </c>
      <c r="D226" s="3">
        <v>46178</v>
      </c>
      <c r="E226" s="4">
        <v>46203</v>
      </c>
      <c r="F226" s="5">
        <v>26</v>
      </c>
      <c r="G226" s="2" t="s">
        <v>107</v>
      </c>
      <c r="H226" s="17">
        <v>849000</v>
      </c>
      <c r="I226" s="18">
        <v>749000</v>
      </c>
      <c r="J226" s="17">
        <v>699000</v>
      </c>
      <c r="K226" s="17">
        <v>649000</v>
      </c>
      <c r="L226" s="6">
        <v>100</v>
      </c>
      <c r="M226" s="6">
        <v>64900000</v>
      </c>
      <c r="N226" s="17">
        <v>57586545.454545446</v>
      </c>
      <c r="O226" s="17">
        <v>51770304.36363636</v>
      </c>
      <c r="P226" t="s">
        <v>213</v>
      </c>
      <c r="Q226" t="s">
        <v>220</v>
      </c>
    </row>
    <row r="227" spans="1:17" x14ac:dyDescent="0.35">
      <c r="A227" t="str">
        <f>_xlfn.XLOOKUP(B227,Mapping!C:C,Mapping!D:D)</f>
        <v>E-MART</v>
      </c>
      <c r="B227" s="2" t="s">
        <v>165</v>
      </c>
      <c r="C227" s="2">
        <v>0</v>
      </c>
      <c r="D227" s="3">
        <v>46195</v>
      </c>
      <c r="E227" s="4">
        <v>46201</v>
      </c>
      <c r="F227" s="5">
        <v>7</v>
      </c>
      <c r="G227" s="2" t="s">
        <v>26</v>
      </c>
      <c r="H227" s="17">
        <v>899000</v>
      </c>
      <c r="I227" s="18">
        <v>849000</v>
      </c>
      <c r="J227" s="17">
        <v>799000</v>
      </c>
      <c r="K227" s="17">
        <v>799000</v>
      </c>
      <c r="L227" s="6">
        <v>85</v>
      </c>
      <c r="M227" s="6">
        <v>67915000</v>
      </c>
      <c r="N227" s="17">
        <v>54713727.272727273</v>
      </c>
      <c r="O227" s="17">
        <v>49187640.81818182</v>
      </c>
      <c r="P227" t="s">
        <v>213</v>
      </c>
      <c r="Q227" t="s">
        <v>221</v>
      </c>
    </row>
    <row r="228" spans="1:17" x14ac:dyDescent="0.35">
      <c r="A228" t="str">
        <f>_xlfn.XLOOKUP(B228,Mapping!C:C,Mapping!D:D)</f>
        <v>E-MART</v>
      </c>
      <c r="B228" s="2" t="s">
        <v>165</v>
      </c>
      <c r="C228" s="2">
        <v>0</v>
      </c>
      <c r="D228" s="3">
        <v>46195</v>
      </c>
      <c r="E228" s="4">
        <v>46201</v>
      </c>
      <c r="F228" s="5">
        <v>7</v>
      </c>
      <c r="G228" s="2" t="s">
        <v>87</v>
      </c>
      <c r="H228" s="17">
        <v>219900</v>
      </c>
      <c r="I228" s="18">
        <v>199900</v>
      </c>
      <c r="J228" s="17">
        <v>179900</v>
      </c>
      <c r="K228" s="17">
        <v>179900</v>
      </c>
      <c r="L228" s="6">
        <v>3</v>
      </c>
      <c r="M228" s="6">
        <v>539700</v>
      </c>
      <c r="N228" s="17">
        <v>389822.72727272724</v>
      </c>
      <c r="O228" s="17">
        <v>350450.63181818178</v>
      </c>
      <c r="P228" t="s">
        <v>225</v>
      </c>
      <c r="Q228" t="s">
        <v>226</v>
      </c>
    </row>
    <row r="229" spans="1:17" x14ac:dyDescent="0.35">
      <c r="A229" t="str">
        <f>_xlfn.XLOOKUP(B229,Mapping!C:C,Mapping!D:D)</f>
        <v>E-MART</v>
      </c>
      <c r="B229" s="2" t="s">
        <v>165</v>
      </c>
      <c r="C229" s="2">
        <v>0</v>
      </c>
      <c r="D229" s="3">
        <v>46195</v>
      </c>
      <c r="E229" s="4">
        <v>46201</v>
      </c>
      <c r="F229" s="5">
        <v>7</v>
      </c>
      <c r="G229" s="2" t="s">
        <v>35</v>
      </c>
      <c r="H229" s="17">
        <v>749000</v>
      </c>
      <c r="I229" s="18">
        <v>599000</v>
      </c>
      <c r="J229" s="17">
        <v>549000</v>
      </c>
      <c r="K229" s="17">
        <v>549000</v>
      </c>
      <c r="L229" s="6">
        <v>100</v>
      </c>
      <c r="M229" s="6">
        <v>54900000</v>
      </c>
      <c r="N229" s="17">
        <v>50803636.36363636</v>
      </c>
      <c r="O229" s="17">
        <v>45672469.090909086</v>
      </c>
      <c r="P229" t="s">
        <v>213</v>
      </c>
      <c r="Q229" t="s">
        <v>221</v>
      </c>
    </row>
    <row r="230" spans="1:17" x14ac:dyDescent="0.35">
      <c r="A230" t="str">
        <f>_xlfn.XLOOKUP(B230,Mapping!C:C,Mapping!D:D)</f>
        <v>E-MART</v>
      </c>
      <c r="B230" s="2" t="s">
        <v>165</v>
      </c>
      <c r="C230" s="2">
        <v>0</v>
      </c>
      <c r="D230" s="3">
        <v>46195</v>
      </c>
      <c r="E230" s="4">
        <v>46201</v>
      </c>
      <c r="F230" s="5">
        <v>7</v>
      </c>
      <c r="G230" s="2" t="s">
        <v>36</v>
      </c>
      <c r="H230" s="17">
        <v>469900</v>
      </c>
      <c r="I230" s="18">
        <v>399900</v>
      </c>
      <c r="J230" s="17">
        <v>389900</v>
      </c>
      <c r="K230" s="17">
        <v>399900</v>
      </c>
      <c r="L230" s="6">
        <v>15</v>
      </c>
      <c r="M230" s="6">
        <v>5998500</v>
      </c>
      <c r="N230" s="17">
        <v>5585727.2727272725</v>
      </c>
      <c r="O230" s="17">
        <v>5021568.8181818184</v>
      </c>
      <c r="P230" t="s">
        <v>213</v>
      </c>
      <c r="Q230" t="s">
        <v>222</v>
      </c>
    </row>
    <row r="231" spans="1:17" x14ac:dyDescent="0.35">
      <c r="A231" t="str">
        <f>_xlfn.XLOOKUP(B231,Mapping!C:C,Mapping!D:D)</f>
        <v>E-MART</v>
      </c>
      <c r="B231" s="2" t="s">
        <v>165</v>
      </c>
      <c r="C231" s="2">
        <v>0</v>
      </c>
      <c r="D231" s="3">
        <v>46195</v>
      </c>
      <c r="E231" s="4">
        <v>46201</v>
      </c>
      <c r="F231" s="5">
        <v>7</v>
      </c>
      <c r="G231" s="2" t="s">
        <v>99</v>
      </c>
      <c r="H231" s="17">
        <v>219900</v>
      </c>
      <c r="I231" s="18">
        <v>199900</v>
      </c>
      <c r="J231" s="17">
        <v>179900</v>
      </c>
      <c r="K231" s="17">
        <v>179900</v>
      </c>
      <c r="L231" s="6">
        <v>5</v>
      </c>
      <c r="M231" s="6">
        <v>899500</v>
      </c>
      <c r="N231" s="17">
        <v>649704.54545454541</v>
      </c>
      <c r="O231" s="17">
        <v>584084.38636363635</v>
      </c>
      <c r="P231" t="s">
        <v>225</v>
      </c>
      <c r="Q231" t="s">
        <v>226</v>
      </c>
    </row>
    <row r="232" spans="1:17" x14ac:dyDescent="0.35">
      <c r="A232" t="str">
        <f>_xlfn.XLOOKUP(B232,Mapping!C:C,Mapping!D:D)</f>
        <v>E-MART</v>
      </c>
      <c r="B232" s="2" t="s">
        <v>165</v>
      </c>
      <c r="C232" s="2">
        <v>0</v>
      </c>
      <c r="D232" s="3">
        <v>46181</v>
      </c>
      <c r="E232" s="4">
        <v>46187</v>
      </c>
      <c r="F232" s="5">
        <v>7</v>
      </c>
      <c r="G232" s="2" t="s">
        <v>31</v>
      </c>
      <c r="H232" s="17">
        <v>849000</v>
      </c>
      <c r="I232" s="18">
        <v>749000</v>
      </c>
      <c r="J232" s="17">
        <v>699000</v>
      </c>
      <c r="K232" s="17">
        <v>749000</v>
      </c>
      <c r="L232" s="6">
        <v>20</v>
      </c>
      <c r="M232" s="6">
        <v>14980000</v>
      </c>
      <c r="N232" s="17">
        <v>11517309.09090909</v>
      </c>
      <c r="O232" s="17">
        <v>10354060.872727271</v>
      </c>
      <c r="P232" t="s">
        <v>213</v>
      </c>
      <c r="Q232" t="s">
        <v>221</v>
      </c>
    </row>
    <row r="233" spans="1:17" x14ac:dyDescent="0.35">
      <c r="A233" t="str">
        <f>_xlfn.XLOOKUP(B233,Mapping!C:C,Mapping!D:D)</f>
        <v>E-MART</v>
      </c>
      <c r="B233" s="2" t="s">
        <v>165</v>
      </c>
      <c r="C233" s="2">
        <v>0</v>
      </c>
      <c r="D233" s="3">
        <v>46181</v>
      </c>
      <c r="E233" s="4">
        <v>46187</v>
      </c>
      <c r="F233" s="5">
        <v>7</v>
      </c>
      <c r="G233" s="2" t="s">
        <v>87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3</v>
      </c>
      <c r="M233" s="6">
        <v>599700</v>
      </c>
      <c r="N233" s="17">
        <v>389822.72727272724</v>
      </c>
      <c r="O233" s="17">
        <v>350450.63181818178</v>
      </c>
      <c r="P233" t="s">
        <v>225</v>
      </c>
      <c r="Q233" t="s">
        <v>226</v>
      </c>
    </row>
    <row r="234" spans="1:17" x14ac:dyDescent="0.35">
      <c r="A234" t="str">
        <f>_xlfn.XLOOKUP(B234,Mapping!C:C,Mapping!D:D)</f>
        <v>E-MART</v>
      </c>
      <c r="B234" s="2" t="s">
        <v>165</v>
      </c>
      <c r="C234" s="2">
        <v>0</v>
      </c>
      <c r="D234" s="3">
        <v>46181</v>
      </c>
      <c r="E234" s="4">
        <v>46187</v>
      </c>
      <c r="F234" s="5">
        <v>7</v>
      </c>
      <c r="G234" s="2" t="s">
        <v>36</v>
      </c>
      <c r="H234" s="17">
        <v>469900</v>
      </c>
      <c r="I234" s="18">
        <v>399900</v>
      </c>
      <c r="J234" s="17">
        <v>389900</v>
      </c>
      <c r="K234" s="17">
        <v>399900</v>
      </c>
      <c r="L234" s="6">
        <v>15</v>
      </c>
      <c r="M234" s="6">
        <v>5998500</v>
      </c>
      <c r="N234" s="17">
        <v>5585727.2727272725</v>
      </c>
      <c r="O234" s="17">
        <v>5021568.8181818184</v>
      </c>
      <c r="P234" t="s">
        <v>213</v>
      </c>
      <c r="Q234" t="s">
        <v>222</v>
      </c>
    </row>
    <row r="235" spans="1:17" x14ac:dyDescent="0.35">
      <c r="A235" t="str">
        <f>_xlfn.XLOOKUP(B235,Mapping!C:C,Mapping!D:D)</f>
        <v>E-MART</v>
      </c>
      <c r="B235" s="2" t="s">
        <v>165</v>
      </c>
      <c r="C235" s="2">
        <v>0</v>
      </c>
      <c r="D235" s="3">
        <v>46181</v>
      </c>
      <c r="E235" s="4">
        <v>46187</v>
      </c>
      <c r="F235" s="5">
        <v>7</v>
      </c>
      <c r="G235" s="2" t="s">
        <v>99</v>
      </c>
      <c r="H235" s="17">
        <v>219900</v>
      </c>
      <c r="I235" s="18">
        <v>199900</v>
      </c>
      <c r="J235" s="17">
        <v>179900</v>
      </c>
      <c r="K235" s="17">
        <v>199900</v>
      </c>
      <c r="L235" s="6">
        <v>5</v>
      </c>
      <c r="M235" s="6">
        <v>999500</v>
      </c>
      <c r="N235" s="17">
        <v>649704.54545454541</v>
      </c>
      <c r="O235" s="17">
        <v>584084.38636363635</v>
      </c>
      <c r="P235" t="s">
        <v>225</v>
      </c>
      <c r="Q235" t="s">
        <v>226</v>
      </c>
    </row>
    <row r="236" spans="1:17" x14ac:dyDescent="0.35">
      <c r="A236" t="str">
        <f>_xlfn.XLOOKUP(B236,Mapping!C:C,Mapping!D:D)</f>
        <v>E-MART</v>
      </c>
      <c r="B236" s="2" t="s">
        <v>165</v>
      </c>
      <c r="C236" s="2">
        <v>0</v>
      </c>
      <c r="D236" s="3">
        <v>46181</v>
      </c>
      <c r="E236" s="4">
        <v>46187</v>
      </c>
      <c r="F236" s="5">
        <v>7</v>
      </c>
      <c r="G236" s="2" t="s">
        <v>64</v>
      </c>
      <c r="H236" s="17">
        <v>599000</v>
      </c>
      <c r="I236" s="18">
        <v>549000</v>
      </c>
      <c r="J236" s="17">
        <v>499000</v>
      </c>
      <c r="K236" s="17">
        <v>499000</v>
      </c>
      <c r="L236" s="6">
        <v>70</v>
      </c>
      <c r="M236" s="6">
        <v>34930000</v>
      </c>
      <c r="N236" s="17">
        <v>26066536.363636363</v>
      </c>
      <c r="O236" s="17">
        <v>23433816.190909091</v>
      </c>
      <c r="P236" t="s">
        <v>213</v>
      </c>
      <c r="Q236" t="s">
        <v>221</v>
      </c>
    </row>
    <row r="237" spans="1:17" x14ac:dyDescent="0.35">
      <c r="A237" t="str">
        <f>_xlfn.XLOOKUP(B237,Mapping!C:C,Mapping!D:D)</f>
        <v>E-MART</v>
      </c>
      <c r="B237" s="2" t="s">
        <v>165</v>
      </c>
      <c r="C237" s="2">
        <v>0</v>
      </c>
      <c r="D237" s="3">
        <v>46176</v>
      </c>
      <c r="E237" s="4">
        <v>46180</v>
      </c>
      <c r="F237" s="5">
        <v>5</v>
      </c>
      <c r="G237" s="2" t="s">
        <v>84</v>
      </c>
      <c r="H237" s="17">
        <v>169900</v>
      </c>
      <c r="I237" s="18">
        <v>149900</v>
      </c>
      <c r="J237" s="17">
        <v>129900</v>
      </c>
      <c r="K237" s="17">
        <v>129900</v>
      </c>
      <c r="L237" s="6">
        <v>3</v>
      </c>
      <c r="M237" s="6">
        <v>389700</v>
      </c>
      <c r="N237" s="17">
        <v>319720.90909090906</v>
      </c>
      <c r="O237" s="17">
        <v>285830.49272727268</v>
      </c>
      <c r="P237" t="s">
        <v>211</v>
      </c>
      <c r="Q237" t="s">
        <v>212</v>
      </c>
    </row>
    <row r="238" spans="1:17" x14ac:dyDescent="0.35">
      <c r="A238" t="str">
        <f>_xlfn.XLOOKUP(B238,Mapping!C:C,Mapping!D:D)</f>
        <v>E-MART</v>
      </c>
      <c r="B238" s="2" t="s">
        <v>165</v>
      </c>
      <c r="C238" s="2">
        <v>0</v>
      </c>
      <c r="D238" s="3">
        <v>46176</v>
      </c>
      <c r="E238" s="4">
        <v>46180</v>
      </c>
      <c r="F238" s="5">
        <v>5</v>
      </c>
      <c r="G238" s="2" t="s">
        <v>17</v>
      </c>
      <c r="H238" s="17">
        <v>599000</v>
      </c>
      <c r="I238" s="18">
        <v>399900</v>
      </c>
      <c r="J238" s="17">
        <v>399900</v>
      </c>
      <c r="K238" s="17">
        <v>399000</v>
      </c>
      <c r="L238" s="6">
        <v>300</v>
      </c>
      <c r="M238" s="6">
        <v>119700000</v>
      </c>
      <c r="N238" s="17">
        <v>117621818.18181817</v>
      </c>
      <c r="O238" s="17">
        <v>105742014.54545453</v>
      </c>
      <c r="P238" t="s">
        <v>213</v>
      </c>
      <c r="Q238" t="s">
        <v>214</v>
      </c>
    </row>
    <row r="239" spans="1:17" x14ac:dyDescent="0.35">
      <c r="A239" t="str">
        <f>_xlfn.XLOOKUP(B239,Mapping!C:C,Mapping!D:D)</f>
        <v>E-MART</v>
      </c>
      <c r="B239" s="2" t="s">
        <v>165</v>
      </c>
      <c r="C239" s="2">
        <v>0</v>
      </c>
      <c r="D239" s="3">
        <v>46176</v>
      </c>
      <c r="E239" s="4">
        <v>46180</v>
      </c>
      <c r="F239" s="5">
        <v>5</v>
      </c>
      <c r="G239" s="2" t="s">
        <v>27</v>
      </c>
      <c r="H239" s="17">
        <v>329900</v>
      </c>
      <c r="I239" s="18">
        <v>299900</v>
      </c>
      <c r="J239" s="17">
        <v>279900</v>
      </c>
      <c r="K239" s="17">
        <v>299900</v>
      </c>
      <c r="L239" s="6">
        <v>25</v>
      </c>
      <c r="M239" s="6">
        <v>7497500</v>
      </c>
      <c r="N239" s="17">
        <v>5173431.8181818174</v>
      </c>
      <c r="O239" s="17">
        <v>4625048.0454545449</v>
      </c>
      <c r="P239" t="s">
        <v>211</v>
      </c>
      <c r="Q239" t="s">
        <v>212</v>
      </c>
    </row>
    <row r="240" spans="1:17" x14ac:dyDescent="0.35">
      <c r="A240" t="str">
        <f>_xlfn.XLOOKUP(B240,Mapping!C:C,Mapping!D:D)</f>
        <v>E-MART</v>
      </c>
      <c r="B240" s="2" t="s">
        <v>165</v>
      </c>
      <c r="C240" s="2">
        <v>0</v>
      </c>
      <c r="D240" s="3">
        <v>46176</v>
      </c>
      <c r="E240" s="4">
        <v>46180</v>
      </c>
      <c r="F240" s="5">
        <v>5</v>
      </c>
      <c r="G240" s="2" t="s">
        <v>95</v>
      </c>
      <c r="H240" s="17">
        <v>79900</v>
      </c>
      <c r="I240" s="18">
        <v>54900</v>
      </c>
      <c r="J240" s="17">
        <v>54900</v>
      </c>
      <c r="K240" s="17">
        <v>54900</v>
      </c>
      <c r="L240" s="6">
        <v>30</v>
      </c>
      <c r="M240" s="6">
        <v>1647000</v>
      </c>
      <c r="N240" s="17">
        <v>1503572.7272727271</v>
      </c>
      <c r="O240" s="17">
        <v>1344194.0181818181</v>
      </c>
      <c r="P240" t="s">
        <v>211</v>
      </c>
      <c r="Q240" t="s">
        <v>233</v>
      </c>
    </row>
    <row r="241" spans="1:17" x14ac:dyDescent="0.35">
      <c r="A241" t="str">
        <f>_xlfn.XLOOKUP(B241,Mapping!C:C,Mapping!D:D)</f>
        <v>E-MART</v>
      </c>
      <c r="B241" s="2" t="s">
        <v>165</v>
      </c>
      <c r="C241" s="2">
        <v>0</v>
      </c>
      <c r="D241" s="3">
        <v>46176</v>
      </c>
      <c r="E241" s="4">
        <v>46183</v>
      </c>
      <c r="F241" s="5">
        <v>8</v>
      </c>
      <c r="G241" s="2" t="s">
        <v>32</v>
      </c>
      <c r="H241" s="17">
        <v>349900</v>
      </c>
      <c r="I241" s="18">
        <v>299900</v>
      </c>
      <c r="J241" s="17">
        <v>269900</v>
      </c>
      <c r="K241" s="17">
        <v>269900</v>
      </c>
      <c r="L241" s="6">
        <v>5</v>
      </c>
      <c r="M241" s="6">
        <v>1349500</v>
      </c>
      <c r="N241" s="17">
        <v>1146177.2727272727</v>
      </c>
      <c r="O241" s="17">
        <v>1024682.4818181818</v>
      </c>
      <c r="P241" t="s">
        <v>211</v>
      </c>
      <c r="Q241" t="s">
        <v>224</v>
      </c>
    </row>
    <row r="242" spans="1:17" x14ac:dyDescent="0.35">
      <c r="A242" t="str">
        <f>_xlfn.XLOOKUP(B242,Mapping!C:C,Mapping!D:D)</f>
        <v>E-MART</v>
      </c>
      <c r="B242" s="2" t="s">
        <v>165</v>
      </c>
      <c r="C242" s="2">
        <v>0</v>
      </c>
      <c r="D242" s="3">
        <v>46176</v>
      </c>
      <c r="E242" s="4">
        <v>46183</v>
      </c>
      <c r="F242" s="5">
        <v>8</v>
      </c>
      <c r="G242" s="2" t="s">
        <v>39</v>
      </c>
      <c r="H242" s="17">
        <v>249900</v>
      </c>
      <c r="I242" s="18">
        <v>199900</v>
      </c>
      <c r="J242" s="17">
        <v>189900</v>
      </c>
      <c r="K242" s="17">
        <v>199900</v>
      </c>
      <c r="L242" s="6">
        <v>20</v>
      </c>
      <c r="M242" s="6">
        <v>3998000</v>
      </c>
      <c r="N242" s="17">
        <v>3135109.0909090908</v>
      </c>
      <c r="O242" s="17">
        <v>2802787.5272727273</v>
      </c>
      <c r="P242" t="s">
        <v>211</v>
      </c>
      <c r="Q242" t="s">
        <v>212</v>
      </c>
    </row>
    <row r="243" spans="1:17" x14ac:dyDescent="0.35">
      <c r="A243" t="str">
        <f>_xlfn.XLOOKUP(B243,Mapping!C:C,Mapping!D:D)</f>
        <v>E-MART</v>
      </c>
      <c r="B243" s="2" t="s">
        <v>165</v>
      </c>
      <c r="C243" s="2">
        <v>0</v>
      </c>
      <c r="D243" s="3">
        <v>46176</v>
      </c>
      <c r="E243" s="4">
        <v>46190</v>
      </c>
      <c r="F243" s="5">
        <v>15</v>
      </c>
      <c r="G243" s="2" t="s">
        <v>38</v>
      </c>
      <c r="H243" s="17">
        <v>429900</v>
      </c>
      <c r="I243" s="18">
        <v>399900</v>
      </c>
      <c r="J243" s="17">
        <v>349900</v>
      </c>
      <c r="K243" s="17">
        <v>399900</v>
      </c>
      <c r="L243" s="6">
        <v>20</v>
      </c>
      <c r="M243" s="6">
        <v>7998000</v>
      </c>
      <c r="N243" s="17">
        <v>5393290.9090909082</v>
      </c>
      <c r="O243" s="17">
        <v>4821602.0727272723</v>
      </c>
      <c r="P243" t="s">
        <v>215</v>
      </c>
      <c r="Q243" t="s">
        <v>227</v>
      </c>
    </row>
    <row r="244" spans="1:17" x14ac:dyDescent="0.35">
      <c r="A244" t="str">
        <f>_xlfn.XLOOKUP(B244,Mapping!C:C,Mapping!D:D)</f>
        <v>E-MART</v>
      </c>
      <c r="B244" s="2" t="s">
        <v>165</v>
      </c>
      <c r="C244" s="2">
        <v>0</v>
      </c>
      <c r="D244" s="3">
        <v>46176</v>
      </c>
      <c r="E244" s="4">
        <v>46190</v>
      </c>
      <c r="F244" s="5">
        <v>15</v>
      </c>
      <c r="G244" s="2" t="s">
        <v>101</v>
      </c>
      <c r="H244" s="17">
        <v>149900</v>
      </c>
      <c r="I244" s="18">
        <v>139900</v>
      </c>
      <c r="J244" s="17">
        <v>109900</v>
      </c>
      <c r="K244" s="17">
        <v>129900</v>
      </c>
      <c r="L244" s="6">
        <v>30</v>
      </c>
      <c r="M244" s="6">
        <v>3897000</v>
      </c>
      <c r="N244" s="17">
        <v>2820845.4545454541</v>
      </c>
      <c r="O244" s="17">
        <v>2521835.836363636</v>
      </c>
      <c r="P244" t="s">
        <v>211</v>
      </c>
      <c r="Q244" t="s">
        <v>231</v>
      </c>
    </row>
    <row r="245" spans="1:17" x14ac:dyDescent="0.35">
      <c r="A245" t="str">
        <f>_xlfn.XLOOKUP(B245,Mapping!C:C,Mapping!D:D)</f>
        <v>E-MART</v>
      </c>
      <c r="B245" s="2" t="s">
        <v>165</v>
      </c>
      <c r="C245" s="2">
        <v>0</v>
      </c>
      <c r="D245" s="3">
        <v>46191</v>
      </c>
      <c r="E245" s="4">
        <v>46197</v>
      </c>
      <c r="F245" s="5">
        <v>7</v>
      </c>
      <c r="G245" s="2" t="s">
        <v>19</v>
      </c>
      <c r="H245" s="17">
        <v>249900</v>
      </c>
      <c r="I245" s="18">
        <v>219900</v>
      </c>
      <c r="J245" s="17">
        <v>199900</v>
      </c>
      <c r="K245" s="17">
        <v>219900</v>
      </c>
      <c r="L245" s="6">
        <v>10</v>
      </c>
      <c r="M245" s="6">
        <v>2199000</v>
      </c>
      <c r="N245" s="17">
        <v>1695036.3636363635</v>
      </c>
      <c r="O245" s="17">
        <v>1515362.509090909</v>
      </c>
      <c r="P245" t="s">
        <v>215</v>
      </c>
      <c r="Q245" t="s">
        <v>216</v>
      </c>
    </row>
    <row r="246" spans="1:17" x14ac:dyDescent="0.35">
      <c r="A246" t="str">
        <f>_xlfn.XLOOKUP(B246,Mapping!C:C,Mapping!D:D)</f>
        <v>E-MART</v>
      </c>
      <c r="B246" s="2" t="s">
        <v>165</v>
      </c>
      <c r="C246" s="2">
        <v>0</v>
      </c>
      <c r="D246" s="3">
        <v>46191</v>
      </c>
      <c r="E246" s="4">
        <v>46197</v>
      </c>
      <c r="F246" s="5">
        <v>7</v>
      </c>
      <c r="G246" s="2" t="s">
        <v>20</v>
      </c>
      <c r="H246" s="17">
        <v>249900</v>
      </c>
      <c r="I246" s="18">
        <v>219900</v>
      </c>
      <c r="J246" s="17">
        <v>199900</v>
      </c>
      <c r="K246" s="17">
        <v>219900</v>
      </c>
      <c r="L246" s="6">
        <v>3</v>
      </c>
      <c r="M246" s="6">
        <v>659700</v>
      </c>
      <c r="N246" s="17">
        <v>508510.90909090906</v>
      </c>
      <c r="O246" s="17">
        <v>454608.75272727269</v>
      </c>
      <c r="P246" t="s">
        <v>215</v>
      </c>
      <c r="Q246" t="s">
        <v>216</v>
      </c>
    </row>
    <row r="247" spans="1:17" x14ac:dyDescent="0.35">
      <c r="A247" t="str">
        <f>_xlfn.XLOOKUP(B247,Mapping!C:C,Mapping!D:D)</f>
        <v>E-MART</v>
      </c>
      <c r="B247" s="2" t="s">
        <v>165</v>
      </c>
      <c r="C247" s="2">
        <v>0</v>
      </c>
      <c r="D247" s="3">
        <v>46191</v>
      </c>
      <c r="E247" s="4">
        <v>46197</v>
      </c>
      <c r="F247" s="5">
        <v>7</v>
      </c>
      <c r="G247" s="2" t="s">
        <v>106</v>
      </c>
      <c r="H247" s="17">
        <v>399900</v>
      </c>
      <c r="I247" s="18">
        <v>349900</v>
      </c>
      <c r="J247" s="17">
        <v>299900</v>
      </c>
      <c r="K247" s="17">
        <v>349900</v>
      </c>
      <c r="L247" s="6">
        <v>10</v>
      </c>
      <c r="M247" s="6">
        <v>3499000</v>
      </c>
      <c r="N247" s="17">
        <v>2508463.6363636362</v>
      </c>
      <c r="O247" s="17">
        <v>2242566.4909090907</v>
      </c>
      <c r="P247" t="s">
        <v>215</v>
      </c>
      <c r="Q247" t="s">
        <v>234</v>
      </c>
    </row>
    <row r="248" spans="1:17" x14ac:dyDescent="0.35">
      <c r="A248" t="str">
        <f>_xlfn.XLOOKUP(B248,Mapping!C:C,Mapping!D:D)</f>
        <v>E-MART</v>
      </c>
      <c r="B248" s="2" t="s">
        <v>165</v>
      </c>
      <c r="C248" s="2">
        <v>0</v>
      </c>
      <c r="D248" s="3">
        <v>46191</v>
      </c>
      <c r="E248" s="4">
        <v>46204</v>
      </c>
      <c r="F248" s="5">
        <v>14</v>
      </c>
      <c r="G248" s="2" t="s">
        <v>93</v>
      </c>
      <c r="H248" s="17">
        <v>119900</v>
      </c>
      <c r="I248" s="18">
        <v>99900</v>
      </c>
      <c r="J248" s="17">
        <v>84900</v>
      </c>
      <c r="K248" s="17">
        <v>99900</v>
      </c>
      <c r="L248" s="6">
        <v>15</v>
      </c>
      <c r="M248" s="6">
        <v>1498500</v>
      </c>
      <c r="N248" s="17">
        <v>1128150</v>
      </c>
      <c r="O248" s="17">
        <v>1008566.1</v>
      </c>
      <c r="P248" t="s">
        <v>211</v>
      </c>
      <c r="Q248" t="s">
        <v>231</v>
      </c>
    </row>
    <row r="249" spans="1:17" x14ac:dyDescent="0.35">
      <c r="A249" t="str">
        <f>_xlfn.XLOOKUP(B249,Mapping!C:C,Mapping!D:D)</f>
        <v>E-MART</v>
      </c>
      <c r="B249" s="2" t="s">
        <v>165</v>
      </c>
      <c r="C249" s="2">
        <v>0</v>
      </c>
      <c r="D249" s="3">
        <v>46191</v>
      </c>
      <c r="E249" s="4">
        <v>46204</v>
      </c>
      <c r="F249" s="5">
        <v>14</v>
      </c>
      <c r="G249" s="2" t="s">
        <v>94</v>
      </c>
      <c r="H249" s="17">
        <v>119900</v>
      </c>
      <c r="I249" s="18">
        <v>99900</v>
      </c>
      <c r="J249" s="17">
        <v>84900</v>
      </c>
      <c r="K249" s="17">
        <v>99900</v>
      </c>
      <c r="L249" s="6">
        <v>20</v>
      </c>
      <c r="M249" s="6">
        <v>1998000</v>
      </c>
      <c r="N249" s="17">
        <v>1504200</v>
      </c>
      <c r="O249" s="17">
        <v>1344754.8</v>
      </c>
      <c r="P249" t="s">
        <v>211</v>
      </c>
      <c r="Q249" t="s">
        <v>231</v>
      </c>
    </row>
    <row r="250" spans="1:17" x14ac:dyDescent="0.35">
      <c r="A250" t="str">
        <f>_xlfn.XLOOKUP(B250,Mapping!C:C,Mapping!D:D)</f>
        <v>E-MART</v>
      </c>
      <c r="B250" s="7" t="s">
        <v>165</v>
      </c>
      <c r="C250" s="2" t="s">
        <v>166</v>
      </c>
      <c r="D250" s="3">
        <v>46174</v>
      </c>
      <c r="E250" s="4">
        <v>46188</v>
      </c>
      <c r="F250" s="5">
        <v>15</v>
      </c>
      <c r="G250" s="2" t="s">
        <v>109</v>
      </c>
      <c r="H250" s="17">
        <v>249900</v>
      </c>
      <c r="I250" s="18">
        <v>219900</v>
      </c>
      <c r="J250" s="17">
        <v>199900</v>
      </c>
      <c r="K250" s="17">
        <v>149900</v>
      </c>
      <c r="L250" s="6">
        <v>160</v>
      </c>
      <c r="M250" s="6">
        <v>23984000</v>
      </c>
      <c r="N250" s="17">
        <v>23626909.090909086</v>
      </c>
      <c r="O250" s="17">
        <v>21240591.27272727</v>
      </c>
      <c r="P250" t="s">
        <v>225</v>
      </c>
      <c r="Q250" t="s">
        <v>226</v>
      </c>
    </row>
    <row r="251" spans="1:17" x14ac:dyDescent="0.35">
      <c r="A251" t="str">
        <f>_xlfn.XLOOKUP(B251,Mapping!C:C,Mapping!D:D)</f>
        <v>Dept Store</v>
      </c>
      <c r="B251" s="2" t="s">
        <v>167</v>
      </c>
      <c r="C251" s="2">
        <v>0</v>
      </c>
      <c r="D251" s="3">
        <v>46174</v>
      </c>
      <c r="E251" s="4">
        <v>46180</v>
      </c>
      <c r="F251" s="5">
        <v>7</v>
      </c>
      <c r="G251" s="2" t="s">
        <v>81</v>
      </c>
      <c r="H251" s="17">
        <v>119900</v>
      </c>
      <c r="I251" s="18">
        <v>99900</v>
      </c>
      <c r="J251" s="17">
        <v>84900</v>
      </c>
      <c r="K251" s="17">
        <v>119900</v>
      </c>
      <c r="L251" s="6">
        <v>5</v>
      </c>
      <c r="M251" s="6">
        <v>599500</v>
      </c>
      <c r="N251" s="17">
        <v>544999.99999999988</v>
      </c>
      <c r="O251" s="17">
        <v>395124.99999999988</v>
      </c>
      <c r="P251" t="s">
        <v>211</v>
      </c>
      <c r="Q251" t="s">
        <v>231</v>
      </c>
    </row>
    <row r="252" spans="1:17" x14ac:dyDescent="0.35">
      <c r="A252" t="str">
        <f>_xlfn.XLOOKUP(B252,Mapping!C:C,Mapping!D:D)</f>
        <v>Dept Store</v>
      </c>
      <c r="B252" s="2" t="s">
        <v>167</v>
      </c>
      <c r="C252" s="2">
        <v>0</v>
      </c>
      <c r="D252" s="3">
        <v>46174</v>
      </c>
      <c r="E252" s="4">
        <v>46180</v>
      </c>
      <c r="F252" s="5">
        <v>7</v>
      </c>
      <c r="G252" s="2" t="s">
        <v>19</v>
      </c>
      <c r="H252" s="17">
        <v>249900</v>
      </c>
      <c r="I252" s="18">
        <v>219900</v>
      </c>
      <c r="J252" s="17">
        <v>199900</v>
      </c>
      <c r="K252" s="17">
        <v>219900</v>
      </c>
      <c r="L252" s="6">
        <v>10</v>
      </c>
      <c r="M252" s="6">
        <v>2199000</v>
      </c>
      <c r="N252" s="17">
        <v>2271818.1818181816</v>
      </c>
      <c r="O252" s="17">
        <v>1647068.1818181816</v>
      </c>
      <c r="P252" t="s">
        <v>215</v>
      </c>
      <c r="Q252" t="s">
        <v>216</v>
      </c>
    </row>
    <row r="253" spans="1:17" x14ac:dyDescent="0.35">
      <c r="A253" t="str">
        <f>_xlfn.XLOOKUP(B253,Mapping!C:C,Mapping!D:D)</f>
        <v>Dept Store</v>
      </c>
      <c r="B253" s="2" t="s">
        <v>167</v>
      </c>
      <c r="C253" s="2">
        <v>0</v>
      </c>
      <c r="D253" s="3">
        <v>46174</v>
      </c>
      <c r="E253" s="4">
        <v>46180</v>
      </c>
      <c r="F253" s="5">
        <v>7</v>
      </c>
      <c r="G253" s="2" t="s">
        <v>20</v>
      </c>
      <c r="H253" s="17">
        <v>249900</v>
      </c>
      <c r="I253" s="18">
        <v>219900</v>
      </c>
      <c r="J253" s="17">
        <v>199900</v>
      </c>
      <c r="K253" s="17">
        <v>219900</v>
      </c>
      <c r="L253" s="6">
        <v>10</v>
      </c>
      <c r="M253" s="6">
        <v>2199000</v>
      </c>
      <c r="N253" s="17">
        <v>2271818.1818181816</v>
      </c>
      <c r="O253" s="17">
        <v>1647068.1818181816</v>
      </c>
      <c r="P253" t="s">
        <v>215</v>
      </c>
      <c r="Q253" t="s">
        <v>216</v>
      </c>
    </row>
    <row r="254" spans="1:17" x14ac:dyDescent="0.35">
      <c r="A254" t="str">
        <f>_xlfn.XLOOKUP(B254,Mapping!C:C,Mapping!D:D)</f>
        <v>Dept Store</v>
      </c>
      <c r="B254" s="2" t="s">
        <v>167</v>
      </c>
      <c r="C254" s="2">
        <v>0</v>
      </c>
      <c r="D254" s="3">
        <v>46174</v>
      </c>
      <c r="E254" s="4">
        <v>46180</v>
      </c>
      <c r="F254" s="5">
        <v>7</v>
      </c>
      <c r="G254" s="2" t="s">
        <v>25</v>
      </c>
      <c r="H254" s="17">
        <v>899000</v>
      </c>
      <c r="I254" s="18">
        <v>779000</v>
      </c>
      <c r="J254" s="17">
        <v>779000</v>
      </c>
      <c r="K254" s="17">
        <v>899000</v>
      </c>
      <c r="L254" s="6">
        <v>5</v>
      </c>
      <c r="M254" s="6">
        <v>4495000</v>
      </c>
      <c r="N254" s="17">
        <v>4086363.6363636358</v>
      </c>
      <c r="O254" s="17">
        <v>2962613.6363636358</v>
      </c>
      <c r="P254" t="s">
        <v>213</v>
      </c>
      <c r="Q254" t="s">
        <v>221</v>
      </c>
    </row>
    <row r="255" spans="1:17" x14ac:dyDescent="0.35">
      <c r="A255" t="str">
        <f>_xlfn.XLOOKUP(B255,Mapping!C:C,Mapping!D:D)</f>
        <v>Dept Store</v>
      </c>
      <c r="B255" s="2" t="s">
        <v>167</v>
      </c>
      <c r="C255" s="2">
        <v>0</v>
      </c>
      <c r="D255" s="3">
        <v>46174</v>
      </c>
      <c r="E255" s="4">
        <v>46180</v>
      </c>
      <c r="F255" s="5">
        <v>7</v>
      </c>
      <c r="G255" s="2" t="s">
        <v>26</v>
      </c>
      <c r="H255" s="17">
        <v>899000</v>
      </c>
      <c r="I255" s="18">
        <v>849000</v>
      </c>
      <c r="J255" s="17">
        <v>799000</v>
      </c>
      <c r="K255" s="17">
        <v>849000</v>
      </c>
      <c r="L255" s="6">
        <v>100</v>
      </c>
      <c r="M255" s="6">
        <v>84900000</v>
      </c>
      <c r="N255" s="17">
        <v>81727272.727272719</v>
      </c>
      <c r="O255" s="17">
        <v>59252272.727272719</v>
      </c>
      <c r="P255" t="s">
        <v>213</v>
      </c>
      <c r="Q255" t="s">
        <v>221</v>
      </c>
    </row>
    <row r="256" spans="1:17" x14ac:dyDescent="0.35">
      <c r="A256" t="str">
        <f>_xlfn.XLOOKUP(B256,Mapping!C:C,Mapping!D:D)</f>
        <v>Dept Store</v>
      </c>
      <c r="B256" s="2" t="s">
        <v>167</v>
      </c>
      <c r="C256" s="2">
        <v>0</v>
      </c>
      <c r="D256" s="3">
        <v>46174</v>
      </c>
      <c r="E256" s="4">
        <v>46180</v>
      </c>
      <c r="F256" s="5">
        <v>7</v>
      </c>
      <c r="G256" s="2" t="s">
        <v>27</v>
      </c>
      <c r="H256" s="17">
        <v>329900</v>
      </c>
      <c r="I256" s="18">
        <v>299900</v>
      </c>
      <c r="J256" s="17">
        <v>279900</v>
      </c>
      <c r="K256" s="17">
        <v>329900</v>
      </c>
      <c r="L256" s="6">
        <v>10</v>
      </c>
      <c r="M256" s="6">
        <v>3299000</v>
      </c>
      <c r="N256" s="17">
        <v>2999090.9090909087</v>
      </c>
      <c r="O256" s="17">
        <v>2174340.9090909087</v>
      </c>
      <c r="P256" t="s">
        <v>211</v>
      </c>
      <c r="Q256" t="s">
        <v>212</v>
      </c>
    </row>
    <row r="257" spans="1:17" x14ac:dyDescent="0.35">
      <c r="A257" t="str">
        <f>_xlfn.XLOOKUP(B257,Mapping!C:C,Mapping!D:D)</f>
        <v>Dept Store</v>
      </c>
      <c r="B257" s="2" t="s">
        <v>167</v>
      </c>
      <c r="C257" s="2">
        <v>0</v>
      </c>
      <c r="D257" s="3">
        <v>46174</v>
      </c>
      <c r="E257" s="4">
        <v>46180</v>
      </c>
      <c r="F257" s="5">
        <v>7</v>
      </c>
      <c r="G257" s="2" t="s">
        <v>28</v>
      </c>
      <c r="H257" s="17">
        <v>299900</v>
      </c>
      <c r="I257" s="18">
        <v>199900</v>
      </c>
      <c r="J257" s="17">
        <v>199900</v>
      </c>
      <c r="K257" s="17">
        <v>219900</v>
      </c>
      <c r="L257" s="6">
        <v>10</v>
      </c>
      <c r="M257" s="6">
        <v>2199000</v>
      </c>
      <c r="N257" s="17">
        <v>2726363.6363636358</v>
      </c>
      <c r="O257" s="17">
        <v>1976613.6363636358</v>
      </c>
      <c r="P257" t="s">
        <v>213</v>
      </c>
      <c r="Q257" t="s">
        <v>222</v>
      </c>
    </row>
    <row r="258" spans="1:17" x14ac:dyDescent="0.35">
      <c r="A258" t="str">
        <f>_xlfn.XLOOKUP(B258,Mapping!C:C,Mapping!D:D)</f>
        <v>Dept Store</v>
      </c>
      <c r="B258" s="2" t="s">
        <v>167</v>
      </c>
      <c r="C258" s="2">
        <v>0</v>
      </c>
      <c r="D258" s="3">
        <v>46174</v>
      </c>
      <c r="E258" s="4">
        <v>46180</v>
      </c>
      <c r="F258" s="5">
        <v>7</v>
      </c>
      <c r="G258" s="2" t="s">
        <v>106</v>
      </c>
      <c r="H258" s="17">
        <v>399900</v>
      </c>
      <c r="I258" s="18">
        <v>349900</v>
      </c>
      <c r="J258" s="17">
        <v>299900</v>
      </c>
      <c r="K258" s="17">
        <v>399900</v>
      </c>
      <c r="L258" s="6">
        <v>5</v>
      </c>
      <c r="M258" s="6">
        <v>1999500</v>
      </c>
      <c r="N258" s="17">
        <v>1817727.2727272727</v>
      </c>
      <c r="O258" s="17">
        <v>1317852.2727272727</v>
      </c>
      <c r="P258" t="s">
        <v>215</v>
      </c>
      <c r="Q258" t="s">
        <v>234</v>
      </c>
    </row>
    <row r="259" spans="1:17" x14ac:dyDescent="0.35">
      <c r="A259" t="str">
        <f>_xlfn.XLOOKUP(B259,Mapping!C:C,Mapping!D:D)</f>
        <v>Dept Store</v>
      </c>
      <c r="B259" s="2" t="s">
        <v>167</v>
      </c>
      <c r="C259" s="2">
        <v>0</v>
      </c>
      <c r="D259" s="3">
        <v>46174</v>
      </c>
      <c r="E259" s="4">
        <v>46180</v>
      </c>
      <c r="F259" s="5">
        <v>7</v>
      </c>
      <c r="G259" s="2" t="s">
        <v>85</v>
      </c>
      <c r="H259" s="17">
        <v>349900</v>
      </c>
      <c r="I259" s="18">
        <v>319900</v>
      </c>
      <c r="J259" s="17">
        <v>299900</v>
      </c>
      <c r="K259" s="17">
        <v>349900</v>
      </c>
      <c r="L259" s="6">
        <v>10</v>
      </c>
      <c r="M259" s="6">
        <v>3499000</v>
      </c>
      <c r="N259" s="17">
        <v>3180909.0909090908</v>
      </c>
      <c r="O259" s="17">
        <v>2306159.0909090908</v>
      </c>
      <c r="P259" t="s">
        <v>211</v>
      </c>
      <c r="Q259" t="s">
        <v>232</v>
      </c>
    </row>
    <row r="260" spans="1:17" x14ac:dyDescent="0.35">
      <c r="A260" t="str">
        <f>_xlfn.XLOOKUP(B260,Mapping!C:C,Mapping!D:D)</f>
        <v>Dept Store</v>
      </c>
      <c r="B260" s="2" t="s">
        <v>167</v>
      </c>
      <c r="C260" s="2">
        <v>0</v>
      </c>
      <c r="D260" s="3">
        <v>46174</v>
      </c>
      <c r="E260" s="4">
        <v>46180</v>
      </c>
      <c r="F260" s="5">
        <v>7</v>
      </c>
      <c r="G260" s="2" t="s">
        <v>31</v>
      </c>
      <c r="H260" s="17">
        <v>849000</v>
      </c>
      <c r="I260" s="18">
        <v>749000</v>
      </c>
      <c r="J260" s="17">
        <v>699000</v>
      </c>
      <c r="K260" s="17">
        <v>849000</v>
      </c>
      <c r="L260" s="6">
        <v>5</v>
      </c>
      <c r="M260" s="6">
        <v>4245000</v>
      </c>
      <c r="N260" s="17">
        <v>3859090.9090909087</v>
      </c>
      <c r="O260" s="17">
        <v>2797840.9090909087</v>
      </c>
      <c r="P260" t="s">
        <v>213</v>
      </c>
      <c r="Q260" t="s">
        <v>221</v>
      </c>
    </row>
    <row r="261" spans="1:17" x14ac:dyDescent="0.35">
      <c r="A261" t="str">
        <f>_xlfn.XLOOKUP(B261,Mapping!C:C,Mapping!D:D)</f>
        <v>Dept Store</v>
      </c>
      <c r="B261" s="2" t="s">
        <v>167</v>
      </c>
      <c r="C261" s="2">
        <v>0</v>
      </c>
      <c r="D261" s="3">
        <v>46174</v>
      </c>
      <c r="E261" s="4">
        <v>46180</v>
      </c>
      <c r="F261" s="5">
        <v>7</v>
      </c>
      <c r="G261" s="2" t="s">
        <v>109</v>
      </c>
      <c r="H261" s="17">
        <v>249900</v>
      </c>
      <c r="I261" s="18">
        <v>219900</v>
      </c>
      <c r="J261" s="17">
        <v>199900</v>
      </c>
      <c r="K261" s="17">
        <v>249900</v>
      </c>
      <c r="L261" s="6">
        <v>20</v>
      </c>
      <c r="M261" s="6">
        <v>4998000</v>
      </c>
      <c r="N261" s="17">
        <v>4543636.3636363633</v>
      </c>
      <c r="O261" s="17">
        <v>3294136.3636363633</v>
      </c>
      <c r="P261" t="s">
        <v>225</v>
      </c>
      <c r="Q261" t="s">
        <v>226</v>
      </c>
    </row>
    <row r="262" spans="1:17" x14ac:dyDescent="0.35">
      <c r="A262" t="str">
        <f>_xlfn.XLOOKUP(B262,Mapping!C:C,Mapping!D:D)</f>
        <v>Dept Store</v>
      </c>
      <c r="B262" s="2" t="s">
        <v>167</v>
      </c>
      <c r="C262" s="2">
        <v>0</v>
      </c>
      <c r="D262" s="3">
        <v>46174</v>
      </c>
      <c r="E262" s="4">
        <v>46180</v>
      </c>
      <c r="F262" s="5">
        <v>7</v>
      </c>
      <c r="G262" s="2" t="s">
        <v>86</v>
      </c>
      <c r="H262" s="17">
        <v>149900</v>
      </c>
      <c r="I262" s="18">
        <v>139900</v>
      </c>
      <c r="J262" s="17">
        <v>109900</v>
      </c>
      <c r="K262" s="17">
        <v>129900</v>
      </c>
      <c r="L262" s="6">
        <v>20</v>
      </c>
      <c r="M262" s="6">
        <v>2598000</v>
      </c>
      <c r="N262" s="17">
        <v>2725454.5454545454</v>
      </c>
      <c r="O262" s="17">
        <v>1975954.5454545454</v>
      </c>
      <c r="P262" t="s">
        <v>211</v>
      </c>
      <c r="Q262" t="s">
        <v>231</v>
      </c>
    </row>
    <row r="263" spans="1:17" x14ac:dyDescent="0.35">
      <c r="A263" t="str">
        <f>_xlfn.XLOOKUP(B263,Mapping!C:C,Mapping!D:D)</f>
        <v>Dept Store</v>
      </c>
      <c r="B263" s="2" t="s">
        <v>167</v>
      </c>
      <c r="C263" s="2">
        <v>0</v>
      </c>
      <c r="D263" s="3">
        <v>46174</v>
      </c>
      <c r="E263" s="4">
        <v>46180</v>
      </c>
      <c r="F263" s="5">
        <v>7</v>
      </c>
      <c r="G263" s="2" t="s">
        <v>32</v>
      </c>
      <c r="H263" s="17">
        <v>349900</v>
      </c>
      <c r="I263" s="18">
        <v>299900</v>
      </c>
      <c r="J263" s="17">
        <v>269900</v>
      </c>
      <c r="K263" s="17">
        <v>269900</v>
      </c>
      <c r="L263" s="6">
        <v>20</v>
      </c>
      <c r="M263" s="6">
        <v>5398000</v>
      </c>
      <c r="N263" s="17">
        <v>6361818.1818181816</v>
      </c>
      <c r="O263" s="17">
        <v>4612318.1818181816</v>
      </c>
      <c r="P263" t="s">
        <v>211</v>
      </c>
      <c r="Q263" t="s">
        <v>224</v>
      </c>
    </row>
    <row r="264" spans="1:17" x14ac:dyDescent="0.35">
      <c r="A264" t="str">
        <f>_xlfn.XLOOKUP(B264,Mapping!C:C,Mapping!D:D)</f>
        <v>Dept Store</v>
      </c>
      <c r="B264" s="2" t="s">
        <v>167</v>
      </c>
      <c r="C264" s="2">
        <v>0</v>
      </c>
      <c r="D264" s="3">
        <v>46174</v>
      </c>
      <c r="E264" s="4">
        <v>46180</v>
      </c>
      <c r="F264" s="5">
        <v>7</v>
      </c>
      <c r="G264" s="2" t="s">
        <v>87</v>
      </c>
      <c r="H264" s="17">
        <v>219900</v>
      </c>
      <c r="I264" s="18">
        <v>199900</v>
      </c>
      <c r="J264" s="17">
        <v>179900</v>
      </c>
      <c r="K264" s="17">
        <v>219900</v>
      </c>
      <c r="L264" s="6">
        <v>5</v>
      </c>
      <c r="M264" s="6">
        <v>1099500</v>
      </c>
      <c r="N264" s="17">
        <v>999545.45454545435</v>
      </c>
      <c r="O264" s="17">
        <v>724670.45454545435</v>
      </c>
      <c r="P264" t="s">
        <v>225</v>
      </c>
      <c r="Q264" t="s">
        <v>226</v>
      </c>
    </row>
    <row r="265" spans="1:17" x14ac:dyDescent="0.35">
      <c r="A265" t="str">
        <f>_xlfn.XLOOKUP(B265,Mapping!C:C,Mapping!D:D)</f>
        <v>Dept Store</v>
      </c>
      <c r="B265" s="2" t="s">
        <v>167</v>
      </c>
      <c r="C265" s="2">
        <v>0</v>
      </c>
      <c r="D265" s="3">
        <v>46174</v>
      </c>
      <c r="E265" s="4">
        <v>46180</v>
      </c>
      <c r="F265" s="5">
        <v>7</v>
      </c>
      <c r="G265" s="2" t="s">
        <v>36</v>
      </c>
      <c r="H265" s="17">
        <v>469900</v>
      </c>
      <c r="I265" s="18">
        <v>399900</v>
      </c>
      <c r="J265" s="17">
        <v>389900</v>
      </c>
      <c r="K265" s="17">
        <v>469900</v>
      </c>
      <c r="L265" s="6">
        <v>5</v>
      </c>
      <c r="M265" s="6">
        <v>2349500</v>
      </c>
      <c r="N265" s="17">
        <v>2135909.0909090908</v>
      </c>
      <c r="O265" s="17">
        <v>1548534.0909090908</v>
      </c>
      <c r="P265" t="s">
        <v>213</v>
      </c>
      <c r="Q265" t="s">
        <v>222</v>
      </c>
    </row>
    <row r="266" spans="1:17" x14ac:dyDescent="0.35">
      <c r="A266" t="str">
        <f>_xlfn.XLOOKUP(B266,Mapping!C:C,Mapping!D:D)</f>
        <v>Dept Store</v>
      </c>
      <c r="B266" s="2" t="s">
        <v>167</v>
      </c>
      <c r="C266" s="2">
        <v>0</v>
      </c>
      <c r="D266" s="3">
        <v>46174</v>
      </c>
      <c r="E266" s="4">
        <v>46180</v>
      </c>
      <c r="F266" s="5">
        <v>7</v>
      </c>
      <c r="G266" s="2" t="s">
        <v>38</v>
      </c>
      <c r="H266" s="17">
        <v>429900</v>
      </c>
      <c r="I266" s="18">
        <v>399900</v>
      </c>
      <c r="J266" s="17">
        <v>349900</v>
      </c>
      <c r="K266" s="17">
        <v>399900</v>
      </c>
      <c r="L266" s="6">
        <v>20</v>
      </c>
      <c r="M266" s="6">
        <v>7998000</v>
      </c>
      <c r="N266" s="17">
        <v>7816363.6363636348</v>
      </c>
      <c r="O266" s="17">
        <v>5666863.6363636348</v>
      </c>
      <c r="P266" t="s">
        <v>215</v>
      </c>
      <c r="Q266" t="s">
        <v>227</v>
      </c>
    </row>
    <row r="267" spans="1:17" x14ac:dyDescent="0.35">
      <c r="A267" t="str">
        <f>_xlfn.XLOOKUP(B267,Mapping!C:C,Mapping!D:D)</f>
        <v>Dept Store</v>
      </c>
      <c r="B267" s="2" t="s">
        <v>167</v>
      </c>
      <c r="C267" s="2">
        <v>0</v>
      </c>
      <c r="D267" s="3">
        <v>46174</v>
      </c>
      <c r="E267" s="4">
        <v>46180</v>
      </c>
      <c r="F267" s="5">
        <v>7</v>
      </c>
      <c r="G267" s="2" t="s">
        <v>39</v>
      </c>
      <c r="H267" s="17">
        <v>249900</v>
      </c>
      <c r="I267" s="18">
        <v>199900</v>
      </c>
      <c r="J267" s="17">
        <v>189900</v>
      </c>
      <c r="K267" s="17">
        <v>199900</v>
      </c>
      <c r="L267" s="6">
        <v>10</v>
      </c>
      <c r="M267" s="6">
        <v>1999000</v>
      </c>
      <c r="N267" s="17">
        <v>2271818.1818181816</v>
      </c>
      <c r="O267" s="17">
        <v>1647068.1818181816</v>
      </c>
      <c r="P267" t="s">
        <v>211</v>
      </c>
      <c r="Q267" t="s">
        <v>212</v>
      </c>
    </row>
    <row r="268" spans="1:17" x14ac:dyDescent="0.35">
      <c r="A268" t="str">
        <f>_xlfn.XLOOKUP(B268,Mapping!C:C,Mapping!D:D)</f>
        <v>Dept Store</v>
      </c>
      <c r="B268" s="2" t="s">
        <v>167</v>
      </c>
      <c r="C268" s="2">
        <v>0</v>
      </c>
      <c r="D268" s="3">
        <v>46174</v>
      </c>
      <c r="E268" s="4">
        <v>46180</v>
      </c>
      <c r="F268" s="5">
        <v>7</v>
      </c>
      <c r="G268" s="2" t="s">
        <v>111</v>
      </c>
      <c r="H268" s="17">
        <v>249900</v>
      </c>
      <c r="I268" s="18">
        <v>219900</v>
      </c>
      <c r="J268" s="17">
        <v>199900</v>
      </c>
      <c r="K268" s="17">
        <v>249900</v>
      </c>
      <c r="L268" s="6">
        <v>5</v>
      </c>
      <c r="M268" s="6">
        <v>1249500</v>
      </c>
      <c r="N268" s="17">
        <v>1135909.0909090908</v>
      </c>
      <c r="O268" s="17">
        <v>823534.09090909082</v>
      </c>
      <c r="P268" t="s">
        <v>225</v>
      </c>
      <c r="Q268" t="s">
        <v>226</v>
      </c>
    </row>
    <row r="269" spans="1:17" x14ac:dyDescent="0.35">
      <c r="A269" t="str">
        <f>_xlfn.XLOOKUP(B269,Mapping!C:C,Mapping!D:D)</f>
        <v>Dept Store</v>
      </c>
      <c r="B269" s="2" t="s">
        <v>167</v>
      </c>
      <c r="C269" s="2">
        <v>0</v>
      </c>
      <c r="D269" s="3">
        <v>46174</v>
      </c>
      <c r="E269" s="4">
        <v>46180</v>
      </c>
      <c r="F269" s="5">
        <v>7</v>
      </c>
      <c r="G269" s="2" t="s">
        <v>92</v>
      </c>
      <c r="H269" s="17">
        <v>119900</v>
      </c>
      <c r="I269" s="18">
        <v>99900</v>
      </c>
      <c r="J269" s="17">
        <v>84900</v>
      </c>
      <c r="K269" s="17">
        <v>119900</v>
      </c>
      <c r="L269" s="6">
        <v>5</v>
      </c>
      <c r="M269" s="6">
        <v>599500</v>
      </c>
      <c r="N269" s="17">
        <v>544999.99999999988</v>
      </c>
      <c r="O269" s="17">
        <v>395124.99999999988</v>
      </c>
      <c r="P269" t="s">
        <v>211</v>
      </c>
      <c r="Q269" t="s">
        <v>231</v>
      </c>
    </row>
    <row r="270" spans="1:17" x14ac:dyDescent="0.35">
      <c r="A270" t="str">
        <f>_xlfn.XLOOKUP(B270,Mapping!C:C,Mapping!D:D)</f>
        <v>Dept Store</v>
      </c>
      <c r="B270" s="2" t="s">
        <v>167</v>
      </c>
      <c r="C270" s="2">
        <v>0</v>
      </c>
      <c r="D270" s="3">
        <v>46174</v>
      </c>
      <c r="E270" s="4">
        <v>46180</v>
      </c>
      <c r="F270" s="5">
        <v>7</v>
      </c>
      <c r="G270" s="2" t="s">
        <v>93</v>
      </c>
      <c r="H270" s="17">
        <v>119900</v>
      </c>
      <c r="I270" s="18">
        <v>99900</v>
      </c>
      <c r="J270" s="17">
        <v>84900</v>
      </c>
      <c r="K270" s="17">
        <v>119900</v>
      </c>
      <c r="L270" s="6">
        <v>5</v>
      </c>
      <c r="M270" s="6">
        <v>599500</v>
      </c>
      <c r="N270" s="17">
        <v>544999.99999999988</v>
      </c>
      <c r="O270" s="17">
        <v>395124.99999999988</v>
      </c>
      <c r="P270" t="s">
        <v>211</v>
      </c>
      <c r="Q270" t="s">
        <v>231</v>
      </c>
    </row>
    <row r="271" spans="1:17" x14ac:dyDescent="0.35">
      <c r="A271" t="str">
        <f>_xlfn.XLOOKUP(B271,Mapping!C:C,Mapping!D:D)</f>
        <v>Dept Store</v>
      </c>
      <c r="B271" s="2" t="s">
        <v>167</v>
      </c>
      <c r="C271" s="2">
        <v>0</v>
      </c>
      <c r="D271" s="3">
        <v>46174</v>
      </c>
      <c r="E271" s="4">
        <v>46180</v>
      </c>
      <c r="F271" s="5">
        <v>7</v>
      </c>
      <c r="G271" s="2" t="s">
        <v>94</v>
      </c>
      <c r="H271" s="17">
        <v>119900</v>
      </c>
      <c r="I271" s="18">
        <v>99900</v>
      </c>
      <c r="J271" s="17">
        <v>84900</v>
      </c>
      <c r="K271" s="17">
        <v>129900</v>
      </c>
      <c r="L271" s="6">
        <v>10</v>
      </c>
      <c r="M271" s="6">
        <v>1299000</v>
      </c>
      <c r="N271" s="17">
        <v>1089999.9999999998</v>
      </c>
      <c r="O271" s="17">
        <v>790249.99999999977</v>
      </c>
      <c r="P271" t="s">
        <v>211</v>
      </c>
      <c r="Q271" t="s">
        <v>231</v>
      </c>
    </row>
    <row r="272" spans="1:17" x14ac:dyDescent="0.35">
      <c r="A272" t="str">
        <f>_xlfn.XLOOKUP(B272,Mapping!C:C,Mapping!D:D)</f>
        <v>Dept Store</v>
      </c>
      <c r="B272" s="2" t="s">
        <v>167</v>
      </c>
      <c r="C272" s="2">
        <v>0</v>
      </c>
      <c r="D272" s="3">
        <v>46174</v>
      </c>
      <c r="E272" s="4">
        <v>46180</v>
      </c>
      <c r="F272" s="5">
        <v>7</v>
      </c>
      <c r="G272" s="2" t="s">
        <v>40</v>
      </c>
      <c r="H272" s="17">
        <v>349900</v>
      </c>
      <c r="I272" s="18">
        <v>319900</v>
      </c>
      <c r="J272" s="17">
        <v>299900</v>
      </c>
      <c r="K272" s="17">
        <v>349900</v>
      </c>
      <c r="L272" s="6">
        <v>5</v>
      </c>
      <c r="M272" s="6">
        <v>1749500</v>
      </c>
      <c r="N272" s="17">
        <v>1590454.5454545454</v>
      </c>
      <c r="O272" s="17">
        <v>1153079.5454545454</v>
      </c>
      <c r="P272" t="s">
        <v>211</v>
      </c>
      <c r="Q272" t="s">
        <v>228</v>
      </c>
    </row>
    <row r="273" spans="1:17" x14ac:dyDescent="0.35">
      <c r="A273" t="str">
        <f>_xlfn.XLOOKUP(B273,Mapping!C:C,Mapping!D:D)</f>
        <v>Dept Store</v>
      </c>
      <c r="B273" s="2" t="s">
        <v>167</v>
      </c>
      <c r="C273" s="2">
        <v>0</v>
      </c>
      <c r="D273" s="3">
        <v>46174</v>
      </c>
      <c r="E273" s="4">
        <v>46180</v>
      </c>
      <c r="F273" s="5">
        <v>7</v>
      </c>
      <c r="G273" s="2" t="s">
        <v>98</v>
      </c>
      <c r="H273" s="17">
        <v>219900</v>
      </c>
      <c r="I273" s="18">
        <v>199900</v>
      </c>
      <c r="J273" s="17">
        <v>179900</v>
      </c>
      <c r="K273" s="17">
        <v>219900</v>
      </c>
      <c r="L273" s="6">
        <v>5</v>
      </c>
      <c r="M273" s="6">
        <v>1099500</v>
      </c>
      <c r="N273" s="17">
        <v>999545.45454545435</v>
      </c>
      <c r="O273" s="17">
        <v>724670.45454545435</v>
      </c>
      <c r="P273" t="s">
        <v>225</v>
      </c>
      <c r="Q273" t="s">
        <v>226</v>
      </c>
    </row>
    <row r="274" spans="1:17" x14ac:dyDescent="0.35">
      <c r="A274" t="str">
        <f>_xlfn.XLOOKUP(B274,Mapping!C:C,Mapping!D:D)</f>
        <v>Dept Store</v>
      </c>
      <c r="B274" s="2" t="s">
        <v>167</v>
      </c>
      <c r="C274" s="2">
        <v>0</v>
      </c>
      <c r="D274" s="3">
        <v>46174</v>
      </c>
      <c r="E274" s="4">
        <v>46180</v>
      </c>
      <c r="F274" s="5">
        <v>7</v>
      </c>
      <c r="G274" s="2" t="s">
        <v>99</v>
      </c>
      <c r="H274" s="17">
        <v>219900</v>
      </c>
      <c r="I274" s="18">
        <v>199900</v>
      </c>
      <c r="J274" s="17">
        <v>179900</v>
      </c>
      <c r="K274" s="17">
        <v>219900</v>
      </c>
      <c r="L274" s="6">
        <v>10</v>
      </c>
      <c r="M274" s="6">
        <v>2199000</v>
      </c>
      <c r="N274" s="17">
        <v>1999090.9090909087</v>
      </c>
      <c r="O274" s="17">
        <v>1449340.9090909087</v>
      </c>
      <c r="P274" t="s">
        <v>225</v>
      </c>
      <c r="Q274" t="s">
        <v>226</v>
      </c>
    </row>
    <row r="275" spans="1:17" x14ac:dyDescent="0.35">
      <c r="A275" t="str">
        <f>_xlfn.XLOOKUP(B275,Mapping!C:C,Mapping!D:D)</f>
        <v>Dept Store</v>
      </c>
      <c r="B275" s="2" t="s">
        <v>167</v>
      </c>
      <c r="C275" s="2">
        <v>0</v>
      </c>
      <c r="D275" s="3">
        <v>46174</v>
      </c>
      <c r="E275" s="4">
        <v>46180</v>
      </c>
      <c r="F275" s="5">
        <v>7</v>
      </c>
      <c r="G275" s="2" t="s">
        <v>101</v>
      </c>
      <c r="H275" s="17">
        <v>149900</v>
      </c>
      <c r="I275" s="18">
        <v>139900</v>
      </c>
      <c r="J275" s="17">
        <v>109900</v>
      </c>
      <c r="K275" s="17">
        <v>129900</v>
      </c>
      <c r="L275" s="6">
        <v>20</v>
      </c>
      <c r="M275" s="6">
        <v>2598000</v>
      </c>
      <c r="N275" s="17">
        <v>2725454.5454545454</v>
      </c>
      <c r="O275" s="17">
        <v>1975954.5454545454</v>
      </c>
      <c r="P275" t="s">
        <v>211</v>
      </c>
      <c r="Q275" t="s">
        <v>231</v>
      </c>
    </row>
    <row r="276" spans="1:17" x14ac:dyDescent="0.35">
      <c r="A276" t="str">
        <f>_xlfn.XLOOKUP(B276,Mapping!C:C,Mapping!D:D)</f>
        <v>Dept Store</v>
      </c>
      <c r="B276" s="2" t="s">
        <v>167</v>
      </c>
      <c r="C276" s="2">
        <v>0</v>
      </c>
      <c r="D276" s="3">
        <v>46174</v>
      </c>
      <c r="E276" s="4">
        <v>46187</v>
      </c>
      <c r="F276" s="5">
        <v>14</v>
      </c>
      <c r="G276" s="2" t="s">
        <v>23</v>
      </c>
      <c r="H276" s="17">
        <v>899000</v>
      </c>
      <c r="I276" s="18">
        <v>849000</v>
      </c>
      <c r="J276" s="17">
        <v>799000</v>
      </c>
      <c r="K276" s="17">
        <v>799000</v>
      </c>
      <c r="L276" s="6">
        <v>20</v>
      </c>
      <c r="M276" s="6">
        <v>15980000</v>
      </c>
      <c r="N276" s="17">
        <v>16345454.545454543</v>
      </c>
      <c r="O276" s="17">
        <v>11850454.545454543</v>
      </c>
      <c r="P276" t="s">
        <v>213</v>
      </c>
      <c r="Q276" t="s">
        <v>220</v>
      </c>
    </row>
    <row r="277" spans="1:17" x14ac:dyDescent="0.35">
      <c r="A277" t="str">
        <f>_xlfn.XLOOKUP(B277,Mapping!C:C,Mapping!D:D)</f>
        <v>Dept Store</v>
      </c>
      <c r="B277" s="2" t="s">
        <v>167</v>
      </c>
      <c r="C277" s="2">
        <v>0</v>
      </c>
      <c r="D277" s="3">
        <v>46174</v>
      </c>
      <c r="E277" s="4">
        <v>46187</v>
      </c>
      <c r="F277" s="5">
        <v>14</v>
      </c>
      <c r="G277" s="2" t="s">
        <v>96</v>
      </c>
      <c r="H277" s="17">
        <v>139900</v>
      </c>
      <c r="I277" s="18">
        <v>119900</v>
      </c>
      <c r="J277" s="17">
        <v>99900</v>
      </c>
      <c r="K277" s="17">
        <v>139900</v>
      </c>
      <c r="L277" s="6">
        <v>15</v>
      </c>
      <c r="M277" s="6">
        <v>2098500</v>
      </c>
      <c r="N277" s="17">
        <v>1907727.2727272727</v>
      </c>
      <c r="O277" s="17">
        <v>1383102.2727272727</v>
      </c>
      <c r="P277" t="s">
        <v>213</v>
      </c>
      <c r="Q277" t="s">
        <v>230</v>
      </c>
    </row>
    <row r="278" spans="1:17" x14ac:dyDescent="0.35">
      <c r="A278" t="str">
        <f>_xlfn.XLOOKUP(B278,Mapping!C:C,Mapping!D:D)</f>
        <v>Dept Store</v>
      </c>
      <c r="B278" s="2" t="s">
        <v>167</v>
      </c>
      <c r="C278" s="2">
        <v>0</v>
      </c>
      <c r="D278" s="3">
        <v>46174</v>
      </c>
      <c r="E278" s="4">
        <v>46194</v>
      </c>
      <c r="F278" s="5">
        <v>21</v>
      </c>
      <c r="G278" s="2" t="s">
        <v>84</v>
      </c>
      <c r="H278" s="17">
        <v>169900</v>
      </c>
      <c r="I278" s="18">
        <v>149900</v>
      </c>
      <c r="J278" s="17">
        <v>129900</v>
      </c>
      <c r="K278" s="17">
        <v>169900</v>
      </c>
      <c r="L278" s="6">
        <v>30</v>
      </c>
      <c r="M278" s="6">
        <v>5097000</v>
      </c>
      <c r="N278" s="17">
        <v>4633636.3636363633</v>
      </c>
      <c r="O278" s="17">
        <v>3359386.3636363633</v>
      </c>
      <c r="P278" t="s">
        <v>211</v>
      </c>
      <c r="Q278" t="s">
        <v>212</v>
      </c>
    </row>
    <row r="279" spans="1:17" x14ac:dyDescent="0.35">
      <c r="A279" t="str">
        <f>_xlfn.XLOOKUP(B279,Mapping!C:C,Mapping!D:D)</f>
        <v>Dept Store</v>
      </c>
      <c r="B279" s="2" t="s">
        <v>167</v>
      </c>
      <c r="C279" s="2">
        <v>0</v>
      </c>
      <c r="D279" s="3">
        <v>46174</v>
      </c>
      <c r="E279" s="4">
        <v>46194</v>
      </c>
      <c r="F279" s="5">
        <v>21</v>
      </c>
      <c r="G279" s="2" t="s">
        <v>33</v>
      </c>
      <c r="H279" s="17">
        <v>399900</v>
      </c>
      <c r="I279" s="18">
        <v>349900</v>
      </c>
      <c r="J279" s="17">
        <v>299900</v>
      </c>
      <c r="K279" s="17">
        <v>399900</v>
      </c>
      <c r="L279" s="6">
        <v>30</v>
      </c>
      <c r="M279" s="6">
        <v>11997000</v>
      </c>
      <c r="N279" s="17">
        <v>10906363.636363637</v>
      </c>
      <c r="O279" s="17">
        <v>7907113.6363636367</v>
      </c>
      <c r="P279" t="s">
        <v>225</v>
      </c>
      <c r="Q279" t="s">
        <v>226</v>
      </c>
    </row>
    <row r="280" spans="1:17" x14ac:dyDescent="0.35">
      <c r="A280" t="str">
        <f>_xlfn.XLOOKUP(B280,Mapping!C:C,Mapping!D:D)</f>
        <v>Dept Store</v>
      </c>
      <c r="B280" s="2" t="s">
        <v>167</v>
      </c>
      <c r="C280" s="2">
        <v>0</v>
      </c>
      <c r="D280" s="3">
        <v>46174</v>
      </c>
      <c r="E280" s="4">
        <v>46194</v>
      </c>
      <c r="F280" s="5">
        <v>21</v>
      </c>
      <c r="G280" s="2" t="s">
        <v>41</v>
      </c>
      <c r="H280" s="17">
        <v>299900</v>
      </c>
      <c r="I280" s="18">
        <v>269900</v>
      </c>
      <c r="J280" s="17">
        <v>249900</v>
      </c>
      <c r="K280" s="17">
        <v>249900</v>
      </c>
      <c r="L280" s="6">
        <v>60</v>
      </c>
      <c r="M280" s="6">
        <v>14994000</v>
      </c>
      <c r="N280" s="17">
        <v>16358181.818181815</v>
      </c>
      <c r="O280" s="17">
        <v>11859681.818181816</v>
      </c>
      <c r="P280" t="s">
        <v>225</v>
      </c>
      <c r="Q280" t="s">
        <v>226</v>
      </c>
    </row>
    <row r="281" spans="1:17" x14ac:dyDescent="0.35">
      <c r="A281" t="str">
        <f>_xlfn.XLOOKUP(B281,Mapping!C:C,Mapping!D:D)</f>
        <v>Dept Store</v>
      </c>
      <c r="B281" s="2" t="s">
        <v>167</v>
      </c>
      <c r="C281" s="2">
        <v>0</v>
      </c>
      <c r="D281" s="3">
        <v>46174</v>
      </c>
      <c r="E281" s="4">
        <v>46194</v>
      </c>
      <c r="F281" s="5">
        <v>21</v>
      </c>
      <c r="G281" s="2" t="s">
        <v>42</v>
      </c>
      <c r="H281" s="17">
        <v>399900</v>
      </c>
      <c r="I281" s="18">
        <v>349900</v>
      </c>
      <c r="J281" s="17">
        <v>299900</v>
      </c>
      <c r="K281" s="17">
        <v>399900</v>
      </c>
      <c r="L281" s="6">
        <v>60</v>
      </c>
      <c r="M281" s="6">
        <v>23994000</v>
      </c>
      <c r="N281" s="17">
        <v>21812727.272727273</v>
      </c>
      <c r="O281" s="17">
        <v>15814227.272727273</v>
      </c>
      <c r="P281" t="s">
        <v>225</v>
      </c>
      <c r="Q281" t="s">
        <v>226</v>
      </c>
    </row>
    <row r="282" spans="1:17" x14ac:dyDescent="0.35">
      <c r="A282" t="str">
        <f>_xlfn.XLOOKUP(B282,Mapping!C:C,Mapping!D:D)</f>
        <v>Dept Store</v>
      </c>
      <c r="B282" s="2" t="s">
        <v>167</v>
      </c>
      <c r="C282" s="2">
        <v>0</v>
      </c>
      <c r="D282" s="3">
        <v>46195</v>
      </c>
      <c r="E282" s="4">
        <v>46208</v>
      </c>
      <c r="F282" s="5">
        <v>14</v>
      </c>
      <c r="G282" s="2" t="s">
        <v>81</v>
      </c>
      <c r="H282" s="17">
        <v>119900</v>
      </c>
      <c r="I282" s="18">
        <v>99900</v>
      </c>
      <c r="J282" s="17">
        <v>84900</v>
      </c>
      <c r="K282" s="17">
        <v>84900</v>
      </c>
      <c r="L282" s="6">
        <v>46</v>
      </c>
      <c r="M282" s="6">
        <v>3905400</v>
      </c>
      <c r="N282" s="17">
        <v>5013999.9999999991</v>
      </c>
      <c r="O282" s="17">
        <v>3635149.9999999991</v>
      </c>
      <c r="P282" t="s">
        <v>211</v>
      </c>
      <c r="Q282" t="s">
        <v>231</v>
      </c>
    </row>
    <row r="283" spans="1:17" x14ac:dyDescent="0.35">
      <c r="A283" t="str">
        <f>_xlfn.XLOOKUP(B283,Mapping!C:C,Mapping!D:D)</f>
        <v>Dept Store</v>
      </c>
      <c r="B283" s="2" t="s">
        <v>167</v>
      </c>
      <c r="C283" s="2">
        <v>0</v>
      </c>
      <c r="D283" s="3">
        <v>46195</v>
      </c>
      <c r="E283" s="4">
        <v>46208</v>
      </c>
      <c r="F283" s="5">
        <v>14</v>
      </c>
      <c r="G283" s="2" t="s">
        <v>26</v>
      </c>
      <c r="H283" s="17">
        <v>899000</v>
      </c>
      <c r="I283" s="18">
        <v>849000</v>
      </c>
      <c r="J283" s="17">
        <v>799000</v>
      </c>
      <c r="K283" s="17">
        <v>799000</v>
      </c>
      <c r="L283" s="6">
        <v>200</v>
      </c>
      <c r="M283" s="6">
        <v>159800000</v>
      </c>
      <c r="N283" s="17">
        <v>163454545.45454544</v>
      </c>
      <c r="O283" s="17">
        <v>118504545.45454544</v>
      </c>
      <c r="P283" t="s">
        <v>213</v>
      </c>
      <c r="Q283" t="s">
        <v>221</v>
      </c>
    </row>
    <row r="284" spans="1:17" x14ac:dyDescent="0.35">
      <c r="A284" t="str">
        <f>_xlfn.XLOOKUP(B284,Mapping!C:C,Mapping!D:D)</f>
        <v>Dept Store</v>
      </c>
      <c r="B284" s="2" t="s">
        <v>167</v>
      </c>
      <c r="C284" s="2">
        <v>0</v>
      </c>
      <c r="D284" s="3">
        <v>46195</v>
      </c>
      <c r="E284" s="4">
        <v>46208</v>
      </c>
      <c r="F284" s="5">
        <v>14</v>
      </c>
      <c r="G284" s="2" t="s">
        <v>28</v>
      </c>
      <c r="H284" s="17">
        <v>299900</v>
      </c>
      <c r="I284" s="18">
        <v>199900</v>
      </c>
      <c r="J284" s="17">
        <v>199900</v>
      </c>
      <c r="K284" s="17">
        <v>219900</v>
      </c>
      <c r="L284" s="6">
        <v>25</v>
      </c>
      <c r="M284" s="6">
        <v>5497500</v>
      </c>
      <c r="N284" s="17">
        <v>6815909.0909090899</v>
      </c>
      <c r="O284" s="17">
        <v>4941534.0909090899</v>
      </c>
      <c r="P284" t="s">
        <v>213</v>
      </c>
      <c r="Q284" t="s">
        <v>222</v>
      </c>
    </row>
    <row r="285" spans="1:17" x14ac:dyDescent="0.35">
      <c r="A285" t="str">
        <f>_xlfn.XLOOKUP(B285,Mapping!C:C,Mapping!D:D)</f>
        <v>Dept Store</v>
      </c>
      <c r="B285" s="2" t="s">
        <v>167</v>
      </c>
      <c r="C285" s="2">
        <v>0</v>
      </c>
      <c r="D285" s="3">
        <v>46195</v>
      </c>
      <c r="E285" s="4">
        <v>46208</v>
      </c>
      <c r="F285" s="5">
        <v>14</v>
      </c>
      <c r="G285" s="2" t="s">
        <v>31</v>
      </c>
      <c r="H285" s="17">
        <v>849000</v>
      </c>
      <c r="I285" s="18">
        <v>749000</v>
      </c>
      <c r="J285" s="17">
        <v>699000</v>
      </c>
      <c r="K285" s="17">
        <v>849000</v>
      </c>
      <c r="L285" s="6">
        <v>5</v>
      </c>
      <c r="M285" s="6">
        <v>4245000</v>
      </c>
      <c r="N285" s="17">
        <v>3859090.9090909087</v>
      </c>
      <c r="O285" s="17">
        <v>2797840.9090909087</v>
      </c>
      <c r="P285" t="s">
        <v>213</v>
      </c>
      <c r="Q285" t="s">
        <v>221</v>
      </c>
    </row>
    <row r="286" spans="1:17" x14ac:dyDescent="0.35">
      <c r="A286" t="str">
        <f>_xlfn.XLOOKUP(B286,Mapping!C:C,Mapping!D:D)</f>
        <v>Dept Store</v>
      </c>
      <c r="B286" s="2" t="s">
        <v>167</v>
      </c>
      <c r="C286" s="2">
        <v>0</v>
      </c>
      <c r="D286" s="3">
        <v>46195</v>
      </c>
      <c r="E286" s="4">
        <v>46208</v>
      </c>
      <c r="F286" s="5">
        <v>14</v>
      </c>
      <c r="G286" s="2" t="s">
        <v>109</v>
      </c>
      <c r="H286" s="17">
        <v>249900</v>
      </c>
      <c r="I286" s="18">
        <v>219900</v>
      </c>
      <c r="J286" s="17">
        <v>199900</v>
      </c>
      <c r="K286" s="17">
        <v>199900</v>
      </c>
      <c r="L286" s="6">
        <v>80</v>
      </c>
      <c r="M286" s="6">
        <v>15992000</v>
      </c>
      <c r="N286" s="17">
        <v>18174545.454545453</v>
      </c>
      <c r="O286" s="17">
        <v>13176545.454545453</v>
      </c>
      <c r="P286" t="s">
        <v>225</v>
      </c>
      <c r="Q286" t="s">
        <v>226</v>
      </c>
    </row>
    <row r="287" spans="1:17" x14ac:dyDescent="0.35">
      <c r="A287" t="str">
        <f>_xlfn.XLOOKUP(B287,Mapping!C:C,Mapping!D:D)</f>
        <v>Dept Store</v>
      </c>
      <c r="B287" s="2" t="s">
        <v>167</v>
      </c>
      <c r="C287" s="2">
        <v>0</v>
      </c>
      <c r="D287" s="3">
        <v>46195</v>
      </c>
      <c r="E287" s="4">
        <v>46208</v>
      </c>
      <c r="F287" s="5">
        <v>14</v>
      </c>
      <c r="G287" s="2" t="s">
        <v>86</v>
      </c>
      <c r="H287" s="17">
        <v>149900</v>
      </c>
      <c r="I287" s="18">
        <v>139900</v>
      </c>
      <c r="J287" s="17">
        <v>109900</v>
      </c>
      <c r="K287" s="17">
        <v>119900</v>
      </c>
      <c r="L287" s="6">
        <v>100</v>
      </c>
      <c r="M287" s="6">
        <v>11990000</v>
      </c>
      <c r="N287" s="17">
        <v>13627272.727272727</v>
      </c>
      <c r="O287" s="17">
        <v>9879772.7272727266</v>
      </c>
      <c r="P287" t="s">
        <v>211</v>
      </c>
      <c r="Q287" t="s">
        <v>231</v>
      </c>
    </row>
    <row r="288" spans="1:17" x14ac:dyDescent="0.35">
      <c r="A288" t="str">
        <f>_xlfn.XLOOKUP(B288,Mapping!C:C,Mapping!D:D)</f>
        <v>Dept Store</v>
      </c>
      <c r="B288" s="2" t="s">
        <v>167</v>
      </c>
      <c r="C288" s="2">
        <v>0</v>
      </c>
      <c r="D288" s="3">
        <v>46195</v>
      </c>
      <c r="E288" s="4">
        <v>46208</v>
      </c>
      <c r="F288" s="5">
        <v>14</v>
      </c>
      <c r="G288" s="2" t="s">
        <v>87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20</v>
      </c>
      <c r="M288" s="6">
        <v>3598000</v>
      </c>
      <c r="N288" s="17">
        <v>3998181.8181818174</v>
      </c>
      <c r="O288" s="17">
        <v>2898681.8181818174</v>
      </c>
      <c r="P288" t="s">
        <v>225</v>
      </c>
      <c r="Q288" t="s">
        <v>226</v>
      </c>
    </row>
    <row r="289" spans="1:17" x14ac:dyDescent="0.35">
      <c r="A289" t="str">
        <f>_xlfn.XLOOKUP(B289,Mapping!C:C,Mapping!D:D)</f>
        <v>Dept Store</v>
      </c>
      <c r="B289" s="2" t="s">
        <v>167</v>
      </c>
      <c r="C289" s="2">
        <v>0</v>
      </c>
      <c r="D289" s="3">
        <v>46195</v>
      </c>
      <c r="E289" s="4">
        <v>46208</v>
      </c>
      <c r="F289" s="5">
        <v>14</v>
      </c>
      <c r="G289" s="2" t="s">
        <v>33</v>
      </c>
      <c r="H289" s="17">
        <v>399900</v>
      </c>
      <c r="I289" s="18">
        <v>349900</v>
      </c>
      <c r="J289" s="17">
        <v>299900</v>
      </c>
      <c r="K289" s="17">
        <v>349900</v>
      </c>
      <c r="L289" s="6">
        <v>60</v>
      </c>
      <c r="M289" s="6">
        <v>20994000</v>
      </c>
      <c r="N289" s="17">
        <v>21812727.272727273</v>
      </c>
      <c r="O289" s="17">
        <v>15814227.272727273</v>
      </c>
      <c r="P289" t="s">
        <v>225</v>
      </c>
      <c r="Q289" t="s">
        <v>226</v>
      </c>
    </row>
    <row r="290" spans="1:17" x14ac:dyDescent="0.35">
      <c r="A290" t="str">
        <f>_xlfn.XLOOKUP(B290,Mapping!C:C,Mapping!D:D)</f>
        <v>Dept Store</v>
      </c>
      <c r="B290" s="2" t="s">
        <v>167</v>
      </c>
      <c r="C290" s="2">
        <v>0</v>
      </c>
      <c r="D290" s="3">
        <v>46195</v>
      </c>
      <c r="E290" s="4">
        <v>46208</v>
      </c>
      <c r="F290" s="5">
        <v>14</v>
      </c>
      <c r="G290" s="2" t="s">
        <v>36</v>
      </c>
      <c r="H290" s="17">
        <v>469900</v>
      </c>
      <c r="I290" s="18">
        <v>399900</v>
      </c>
      <c r="J290" s="17">
        <v>389900</v>
      </c>
      <c r="K290" s="17">
        <v>399000</v>
      </c>
      <c r="L290" s="6">
        <v>70</v>
      </c>
      <c r="M290" s="6">
        <v>27930000</v>
      </c>
      <c r="N290" s="17">
        <v>29902727.27272727</v>
      </c>
      <c r="O290" s="17">
        <v>21679477.27272727</v>
      </c>
      <c r="P290" t="s">
        <v>213</v>
      </c>
      <c r="Q290" t="s">
        <v>222</v>
      </c>
    </row>
    <row r="291" spans="1:17" x14ac:dyDescent="0.35">
      <c r="A291" t="str">
        <f>_xlfn.XLOOKUP(B291,Mapping!C:C,Mapping!D:D)</f>
        <v>Dept Store</v>
      </c>
      <c r="B291" s="2" t="s">
        <v>167</v>
      </c>
      <c r="C291" s="2">
        <v>0</v>
      </c>
      <c r="D291" s="3">
        <v>46195</v>
      </c>
      <c r="E291" s="4">
        <v>46208</v>
      </c>
      <c r="F291" s="5">
        <v>14</v>
      </c>
      <c r="G291" s="2" t="s">
        <v>38</v>
      </c>
      <c r="H291" s="17">
        <v>429900</v>
      </c>
      <c r="I291" s="18">
        <v>399900</v>
      </c>
      <c r="J291" s="17">
        <v>349900</v>
      </c>
      <c r="K291" s="17">
        <v>399900</v>
      </c>
      <c r="L291" s="6">
        <v>40</v>
      </c>
      <c r="M291" s="6">
        <v>15996000</v>
      </c>
      <c r="N291" s="17">
        <v>15632727.27272727</v>
      </c>
      <c r="O291" s="17">
        <v>11333727.27272727</v>
      </c>
      <c r="P291" t="s">
        <v>215</v>
      </c>
      <c r="Q291" t="s">
        <v>227</v>
      </c>
    </row>
    <row r="292" spans="1:17" x14ac:dyDescent="0.35">
      <c r="A292" t="str">
        <f>_xlfn.XLOOKUP(B292,Mapping!C:C,Mapping!D:D)</f>
        <v>Dept Store</v>
      </c>
      <c r="B292" s="2" t="s">
        <v>167</v>
      </c>
      <c r="C292" s="2">
        <v>0</v>
      </c>
      <c r="D292" s="3">
        <v>46195</v>
      </c>
      <c r="E292" s="4">
        <v>46208</v>
      </c>
      <c r="F292" s="5">
        <v>14</v>
      </c>
      <c r="G292" s="2" t="s">
        <v>111</v>
      </c>
      <c r="H292" s="17">
        <v>249900</v>
      </c>
      <c r="I292" s="18">
        <v>219900</v>
      </c>
      <c r="J292" s="17">
        <v>199900</v>
      </c>
      <c r="K292" s="17">
        <v>199900</v>
      </c>
      <c r="L292" s="6">
        <v>20</v>
      </c>
      <c r="M292" s="6">
        <v>3998000</v>
      </c>
      <c r="N292" s="17">
        <v>4543636.3636363633</v>
      </c>
      <c r="O292" s="17">
        <v>3294136.3636363633</v>
      </c>
      <c r="P292" t="s">
        <v>225</v>
      </c>
      <c r="Q292" t="s">
        <v>226</v>
      </c>
    </row>
    <row r="293" spans="1:17" x14ac:dyDescent="0.35">
      <c r="A293" t="str">
        <f>_xlfn.XLOOKUP(B293,Mapping!C:C,Mapping!D:D)</f>
        <v>Dept Store</v>
      </c>
      <c r="B293" s="2" t="s">
        <v>167</v>
      </c>
      <c r="C293" s="2">
        <v>0</v>
      </c>
      <c r="D293" s="3">
        <v>46195</v>
      </c>
      <c r="E293" s="4">
        <v>46208</v>
      </c>
      <c r="F293" s="5">
        <v>14</v>
      </c>
      <c r="G293" s="2" t="s">
        <v>92</v>
      </c>
      <c r="H293" s="17">
        <v>119900</v>
      </c>
      <c r="I293" s="18">
        <v>99900</v>
      </c>
      <c r="J293" s="17">
        <v>84900</v>
      </c>
      <c r="K293" s="17">
        <v>84900</v>
      </c>
      <c r="L293" s="6">
        <v>46</v>
      </c>
      <c r="M293" s="6">
        <v>3905400</v>
      </c>
      <c r="N293" s="17">
        <v>5013999.9999999991</v>
      </c>
      <c r="O293" s="17">
        <v>3635149.9999999991</v>
      </c>
      <c r="P293" t="s">
        <v>211</v>
      </c>
      <c r="Q293" t="s">
        <v>231</v>
      </c>
    </row>
    <row r="294" spans="1:17" x14ac:dyDescent="0.35">
      <c r="A294" t="str">
        <f>_xlfn.XLOOKUP(B294,Mapping!C:C,Mapping!D:D)</f>
        <v>Dept Store</v>
      </c>
      <c r="B294" s="2" t="s">
        <v>167</v>
      </c>
      <c r="C294" s="2">
        <v>0</v>
      </c>
      <c r="D294" s="3">
        <v>46195</v>
      </c>
      <c r="E294" s="4">
        <v>46208</v>
      </c>
      <c r="F294" s="5">
        <v>14</v>
      </c>
      <c r="G294" s="2" t="s">
        <v>93</v>
      </c>
      <c r="H294" s="17">
        <v>119900</v>
      </c>
      <c r="I294" s="18">
        <v>99900</v>
      </c>
      <c r="J294" s="17">
        <v>84900</v>
      </c>
      <c r="K294" s="17">
        <v>84900</v>
      </c>
      <c r="L294" s="6">
        <v>46</v>
      </c>
      <c r="M294" s="6">
        <v>3905400</v>
      </c>
      <c r="N294" s="17">
        <v>5013999.9999999991</v>
      </c>
      <c r="O294" s="17">
        <v>3635149.9999999991</v>
      </c>
      <c r="P294" t="s">
        <v>211</v>
      </c>
      <c r="Q294" t="s">
        <v>231</v>
      </c>
    </row>
    <row r="295" spans="1:17" x14ac:dyDescent="0.35">
      <c r="A295" t="str">
        <f>_xlfn.XLOOKUP(B295,Mapping!C:C,Mapping!D:D)</f>
        <v>Dept Store</v>
      </c>
      <c r="B295" s="2" t="s">
        <v>167</v>
      </c>
      <c r="C295" s="2">
        <v>0</v>
      </c>
      <c r="D295" s="3">
        <v>46195</v>
      </c>
      <c r="E295" s="4">
        <v>46208</v>
      </c>
      <c r="F295" s="5">
        <v>14</v>
      </c>
      <c r="G295" s="2" t="s">
        <v>94</v>
      </c>
      <c r="H295" s="17">
        <v>119900</v>
      </c>
      <c r="I295" s="18">
        <v>99900</v>
      </c>
      <c r="J295" s="17">
        <v>84900</v>
      </c>
      <c r="K295" s="17">
        <v>119900</v>
      </c>
      <c r="L295" s="6">
        <v>140</v>
      </c>
      <c r="M295" s="6">
        <v>16786000</v>
      </c>
      <c r="N295" s="17">
        <v>15259999.999999998</v>
      </c>
      <c r="O295" s="17">
        <v>11063499.999999998</v>
      </c>
      <c r="P295" t="s">
        <v>211</v>
      </c>
      <c r="Q295" t="s">
        <v>231</v>
      </c>
    </row>
    <row r="296" spans="1:17" x14ac:dyDescent="0.35">
      <c r="A296" t="str">
        <f>_xlfn.XLOOKUP(B296,Mapping!C:C,Mapping!D:D)</f>
        <v>Dept Store</v>
      </c>
      <c r="B296" s="2" t="s">
        <v>167</v>
      </c>
      <c r="C296" s="2">
        <v>0</v>
      </c>
      <c r="D296" s="3">
        <v>46195</v>
      </c>
      <c r="E296" s="4">
        <v>46208</v>
      </c>
      <c r="F296" s="5">
        <v>14</v>
      </c>
      <c r="G296" s="2" t="s">
        <v>96</v>
      </c>
      <c r="H296" s="17">
        <v>139900</v>
      </c>
      <c r="I296" s="18">
        <v>119900</v>
      </c>
      <c r="J296" s="17">
        <v>99900</v>
      </c>
      <c r="K296" s="17">
        <v>139900</v>
      </c>
      <c r="L296" s="6">
        <v>25</v>
      </c>
      <c r="M296" s="6">
        <v>3497500</v>
      </c>
      <c r="N296" s="17">
        <v>3179545.4545454546</v>
      </c>
      <c r="O296" s="17">
        <v>2305170.4545454546</v>
      </c>
      <c r="P296" t="s">
        <v>213</v>
      </c>
      <c r="Q296" t="s">
        <v>230</v>
      </c>
    </row>
    <row r="297" spans="1:17" x14ac:dyDescent="0.35">
      <c r="A297" t="str">
        <f>_xlfn.XLOOKUP(B297,Mapping!C:C,Mapping!D:D)</f>
        <v>Dept Store</v>
      </c>
      <c r="B297" s="2" t="s">
        <v>167</v>
      </c>
      <c r="C297" s="2">
        <v>0</v>
      </c>
      <c r="D297" s="3">
        <v>46195</v>
      </c>
      <c r="E297" s="4">
        <v>46208</v>
      </c>
      <c r="F297" s="5">
        <v>14</v>
      </c>
      <c r="G297" s="2" t="s">
        <v>98</v>
      </c>
      <c r="H297" s="17">
        <v>219900</v>
      </c>
      <c r="I297" s="18">
        <v>199900</v>
      </c>
      <c r="J297" s="17">
        <v>179900</v>
      </c>
      <c r="K297" s="17">
        <v>179900</v>
      </c>
      <c r="L297" s="6">
        <v>20</v>
      </c>
      <c r="M297" s="6">
        <v>3598000</v>
      </c>
      <c r="N297" s="17">
        <v>3998181.8181818174</v>
      </c>
      <c r="O297" s="17">
        <v>2898681.8181818174</v>
      </c>
      <c r="P297" t="s">
        <v>225</v>
      </c>
      <c r="Q297" t="s">
        <v>226</v>
      </c>
    </row>
    <row r="298" spans="1:17" x14ac:dyDescent="0.35">
      <c r="A298" t="str">
        <f>_xlfn.XLOOKUP(B298,Mapping!C:C,Mapping!D:D)</f>
        <v>Dept Store</v>
      </c>
      <c r="B298" s="2" t="s">
        <v>167</v>
      </c>
      <c r="C298" s="2">
        <v>0</v>
      </c>
      <c r="D298" s="3">
        <v>46195</v>
      </c>
      <c r="E298" s="4">
        <v>46208</v>
      </c>
      <c r="F298" s="5">
        <v>14</v>
      </c>
      <c r="G298" s="2" t="s">
        <v>99</v>
      </c>
      <c r="H298" s="17">
        <v>219900</v>
      </c>
      <c r="I298" s="18">
        <v>199900</v>
      </c>
      <c r="J298" s="17">
        <v>179900</v>
      </c>
      <c r="K298" s="17">
        <v>179900</v>
      </c>
      <c r="L298" s="6">
        <v>40</v>
      </c>
      <c r="M298" s="6">
        <v>7196000</v>
      </c>
      <c r="N298" s="17">
        <v>7996363.6363636348</v>
      </c>
      <c r="O298" s="17">
        <v>5797363.6363636348</v>
      </c>
      <c r="P298" t="s">
        <v>225</v>
      </c>
      <c r="Q298" t="s">
        <v>226</v>
      </c>
    </row>
    <row r="299" spans="1:17" x14ac:dyDescent="0.35">
      <c r="A299" t="str">
        <f>_xlfn.XLOOKUP(B299,Mapping!C:C,Mapping!D:D)</f>
        <v>Dept Store</v>
      </c>
      <c r="B299" s="2" t="s">
        <v>167</v>
      </c>
      <c r="C299" s="2">
        <v>0</v>
      </c>
      <c r="D299" s="3">
        <v>46195</v>
      </c>
      <c r="E299" s="4">
        <v>46208</v>
      </c>
      <c r="F299" s="5">
        <v>14</v>
      </c>
      <c r="G299" s="2" t="s">
        <v>42</v>
      </c>
      <c r="H299" s="17">
        <v>399900</v>
      </c>
      <c r="I299" s="18">
        <v>349900</v>
      </c>
      <c r="J299" s="17">
        <v>299900</v>
      </c>
      <c r="K299" s="17">
        <v>349900</v>
      </c>
      <c r="L299" s="6">
        <v>100</v>
      </c>
      <c r="M299" s="6">
        <v>34990000</v>
      </c>
      <c r="N299" s="17">
        <v>36354545.454545453</v>
      </c>
      <c r="O299" s="17">
        <v>26357045.454545453</v>
      </c>
      <c r="P299" t="s">
        <v>225</v>
      </c>
      <c r="Q299" t="s">
        <v>226</v>
      </c>
    </row>
    <row r="300" spans="1:17" x14ac:dyDescent="0.35">
      <c r="A300" t="str">
        <f>_xlfn.XLOOKUP(B300,Mapping!C:C,Mapping!D:D)</f>
        <v>Dept Store</v>
      </c>
      <c r="B300" s="2" t="s">
        <v>167</v>
      </c>
      <c r="C300" s="2">
        <v>0</v>
      </c>
      <c r="D300" s="3">
        <v>46195</v>
      </c>
      <c r="E300" s="4">
        <v>46208</v>
      </c>
      <c r="F300" s="5">
        <v>14</v>
      </c>
      <c r="G300" s="2" t="s">
        <v>101</v>
      </c>
      <c r="H300" s="17">
        <v>149900</v>
      </c>
      <c r="I300" s="18">
        <v>139900</v>
      </c>
      <c r="J300" s="17">
        <v>109900</v>
      </c>
      <c r="K300" s="17">
        <v>119900</v>
      </c>
      <c r="L300" s="6">
        <v>100</v>
      </c>
      <c r="M300" s="6">
        <v>11990000</v>
      </c>
      <c r="N300" s="17">
        <v>13627272.727272727</v>
      </c>
      <c r="O300" s="17">
        <v>9879772.7272727266</v>
      </c>
      <c r="P300" t="s">
        <v>211</v>
      </c>
      <c r="Q300" t="s">
        <v>231</v>
      </c>
    </row>
    <row r="301" spans="1:17" x14ac:dyDescent="0.35">
      <c r="A301" t="str">
        <f>_xlfn.XLOOKUP(B301,Mapping!C:C,Mapping!D:D)</f>
        <v>Dept Store</v>
      </c>
      <c r="B301" s="2" t="s">
        <v>167</v>
      </c>
      <c r="C301" s="2">
        <v>0</v>
      </c>
      <c r="D301" s="3">
        <v>46195</v>
      </c>
      <c r="E301" s="4">
        <v>46201</v>
      </c>
      <c r="F301" s="5">
        <v>7</v>
      </c>
      <c r="G301" s="2" t="s">
        <v>84</v>
      </c>
      <c r="H301" s="17">
        <v>169900</v>
      </c>
      <c r="I301" s="18">
        <v>149900</v>
      </c>
      <c r="J301" s="17">
        <v>129900</v>
      </c>
      <c r="K301" s="17">
        <v>129900</v>
      </c>
      <c r="L301" s="6">
        <v>20</v>
      </c>
      <c r="M301" s="6">
        <v>2598000</v>
      </c>
      <c r="N301" s="17">
        <v>3089090.9090909087</v>
      </c>
      <c r="O301" s="17">
        <v>2239590.9090909087</v>
      </c>
      <c r="P301" t="s">
        <v>211</v>
      </c>
      <c r="Q301" t="s">
        <v>212</v>
      </c>
    </row>
    <row r="302" spans="1:17" x14ac:dyDescent="0.35">
      <c r="A302" t="str">
        <f>_xlfn.XLOOKUP(B302,Mapping!C:C,Mapping!D:D)</f>
        <v>Dept Store</v>
      </c>
      <c r="B302" s="2" t="s">
        <v>167</v>
      </c>
      <c r="C302" s="2">
        <v>0</v>
      </c>
      <c r="D302" s="3">
        <v>46195</v>
      </c>
      <c r="E302" s="4">
        <v>46201</v>
      </c>
      <c r="F302" s="5">
        <v>7</v>
      </c>
      <c r="G302" s="2" t="s">
        <v>25</v>
      </c>
      <c r="H302" s="17">
        <v>899000</v>
      </c>
      <c r="I302" s="18">
        <v>779000</v>
      </c>
      <c r="J302" s="17">
        <v>779000</v>
      </c>
      <c r="K302" s="17">
        <v>779000</v>
      </c>
      <c r="L302" s="6">
        <v>15</v>
      </c>
      <c r="M302" s="6">
        <v>11685000</v>
      </c>
      <c r="N302" s="17">
        <v>12259090.909090908</v>
      </c>
      <c r="O302" s="17">
        <v>8887840.9090909082</v>
      </c>
      <c r="P302" t="s">
        <v>213</v>
      </c>
      <c r="Q302" t="s">
        <v>221</v>
      </c>
    </row>
    <row r="303" spans="1:17" x14ac:dyDescent="0.35">
      <c r="A303" t="str">
        <f>_xlfn.XLOOKUP(B303,Mapping!C:C,Mapping!D:D)</f>
        <v>Dept Store</v>
      </c>
      <c r="B303" s="2" t="s">
        <v>167</v>
      </c>
      <c r="C303" s="2">
        <v>0</v>
      </c>
      <c r="D303" s="3">
        <v>46195</v>
      </c>
      <c r="E303" s="4">
        <v>46201</v>
      </c>
      <c r="F303" s="5">
        <v>7</v>
      </c>
      <c r="G303" s="2" t="s">
        <v>41</v>
      </c>
      <c r="H303" s="17">
        <v>299900</v>
      </c>
      <c r="I303" s="18">
        <v>269900</v>
      </c>
      <c r="J303" s="17">
        <v>249900</v>
      </c>
      <c r="K303" s="17">
        <v>299900</v>
      </c>
      <c r="L303" s="6">
        <v>10</v>
      </c>
      <c r="M303" s="6">
        <v>2999000</v>
      </c>
      <c r="N303" s="17">
        <v>2726363.6363636358</v>
      </c>
      <c r="O303" s="17">
        <v>1976613.6363636358</v>
      </c>
      <c r="P303" t="s">
        <v>225</v>
      </c>
      <c r="Q303" t="s">
        <v>226</v>
      </c>
    </row>
    <row r="304" spans="1:17" x14ac:dyDescent="0.35">
      <c r="A304" t="str">
        <f>_xlfn.XLOOKUP(B304,Mapping!C:C,Mapping!D:D)</f>
        <v>Dept Store</v>
      </c>
      <c r="B304" s="2" t="s">
        <v>167</v>
      </c>
      <c r="C304" s="2">
        <v>0</v>
      </c>
      <c r="D304" s="3">
        <v>46181</v>
      </c>
      <c r="E304" s="4">
        <v>46208</v>
      </c>
      <c r="F304" s="5">
        <v>28</v>
      </c>
      <c r="G304" s="2" t="s">
        <v>19</v>
      </c>
      <c r="H304" s="17">
        <v>249900</v>
      </c>
      <c r="I304" s="18">
        <v>219900</v>
      </c>
      <c r="J304" s="17">
        <v>199900</v>
      </c>
      <c r="K304" s="17">
        <v>249900</v>
      </c>
      <c r="L304" s="6">
        <v>20</v>
      </c>
      <c r="M304" s="6">
        <v>4998000</v>
      </c>
      <c r="N304" s="17">
        <v>4543636.3636363633</v>
      </c>
      <c r="O304" s="17">
        <v>3294136.3636363633</v>
      </c>
      <c r="P304" t="s">
        <v>215</v>
      </c>
      <c r="Q304" t="s">
        <v>216</v>
      </c>
    </row>
    <row r="305" spans="1:17" x14ac:dyDescent="0.35">
      <c r="A305" t="str">
        <f>_xlfn.XLOOKUP(B305,Mapping!C:C,Mapping!D:D)</f>
        <v>Dept Store</v>
      </c>
      <c r="B305" s="2" t="s">
        <v>167</v>
      </c>
      <c r="C305" s="2">
        <v>0</v>
      </c>
      <c r="D305" s="3">
        <v>46181</v>
      </c>
      <c r="E305" s="4">
        <v>46208</v>
      </c>
      <c r="F305" s="5">
        <v>28</v>
      </c>
      <c r="G305" s="2" t="s">
        <v>20</v>
      </c>
      <c r="H305" s="17">
        <v>249900</v>
      </c>
      <c r="I305" s="18">
        <v>219900</v>
      </c>
      <c r="J305" s="17">
        <v>199900</v>
      </c>
      <c r="K305" s="17">
        <v>249900</v>
      </c>
      <c r="L305" s="6">
        <v>20</v>
      </c>
      <c r="M305" s="6">
        <v>4998000</v>
      </c>
      <c r="N305" s="17">
        <v>4543636.3636363633</v>
      </c>
      <c r="O305" s="17">
        <v>3294136.3636363633</v>
      </c>
      <c r="P305" t="s">
        <v>215</v>
      </c>
      <c r="Q305" t="s">
        <v>216</v>
      </c>
    </row>
    <row r="306" spans="1:17" x14ac:dyDescent="0.35">
      <c r="A306" t="str">
        <f>_xlfn.XLOOKUP(B306,Mapping!C:C,Mapping!D:D)</f>
        <v>Dept Store</v>
      </c>
      <c r="B306" s="2" t="s">
        <v>167</v>
      </c>
      <c r="C306" s="2">
        <v>0</v>
      </c>
      <c r="D306" s="3">
        <v>46181</v>
      </c>
      <c r="E306" s="4">
        <v>46187</v>
      </c>
      <c r="F306" s="5">
        <v>7</v>
      </c>
      <c r="G306" s="2" t="s">
        <v>81</v>
      </c>
      <c r="H306" s="17">
        <v>119900</v>
      </c>
      <c r="I306" s="18">
        <v>99900</v>
      </c>
      <c r="J306" s="17">
        <v>84900</v>
      </c>
      <c r="K306" s="17">
        <v>99900</v>
      </c>
      <c r="L306" s="6">
        <v>15</v>
      </c>
      <c r="M306" s="6">
        <v>1498500</v>
      </c>
      <c r="N306" s="17">
        <v>1634999.9999999998</v>
      </c>
      <c r="O306" s="17">
        <v>1185374.9999999998</v>
      </c>
      <c r="P306" t="s">
        <v>211</v>
      </c>
      <c r="Q306" t="s">
        <v>231</v>
      </c>
    </row>
    <row r="307" spans="1:17" x14ac:dyDescent="0.35">
      <c r="A307" t="str">
        <f>_xlfn.XLOOKUP(B307,Mapping!C:C,Mapping!D:D)</f>
        <v>Dept Store</v>
      </c>
      <c r="B307" s="2" t="s">
        <v>167</v>
      </c>
      <c r="C307" s="2">
        <v>0</v>
      </c>
      <c r="D307" s="3">
        <v>46181</v>
      </c>
      <c r="E307" s="4">
        <v>46187</v>
      </c>
      <c r="F307" s="5">
        <v>7</v>
      </c>
      <c r="G307" s="2" t="s">
        <v>25</v>
      </c>
      <c r="H307" s="17">
        <v>899000</v>
      </c>
      <c r="I307" s="18">
        <v>779000</v>
      </c>
      <c r="J307" s="17">
        <v>779000</v>
      </c>
      <c r="K307" s="17">
        <v>779000</v>
      </c>
      <c r="L307" s="6">
        <v>15</v>
      </c>
      <c r="M307" s="6">
        <v>11685000</v>
      </c>
      <c r="N307" s="17">
        <v>12259090.909090908</v>
      </c>
      <c r="O307" s="17">
        <v>8887840.9090909082</v>
      </c>
      <c r="P307" t="s">
        <v>213</v>
      </c>
      <c r="Q307" t="s">
        <v>221</v>
      </c>
    </row>
    <row r="308" spans="1:17" x14ac:dyDescent="0.35">
      <c r="A308" t="str">
        <f>_xlfn.XLOOKUP(B308,Mapping!C:C,Mapping!D:D)</f>
        <v>Dept Store</v>
      </c>
      <c r="B308" s="2" t="s">
        <v>167</v>
      </c>
      <c r="C308" s="2">
        <v>0</v>
      </c>
      <c r="D308" s="3">
        <v>46181</v>
      </c>
      <c r="E308" s="4">
        <v>46187</v>
      </c>
      <c r="F308" s="5">
        <v>7</v>
      </c>
      <c r="G308" s="2" t="s">
        <v>27</v>
      </c>
      <c r="H308" s="17">
        <v>329900</v>
      </c>
      <c r="I308" s="18">
        <v>299900</v>
      </c>
      <c r="J308" s="17">
        <v>279900</v>
      </c>
      <c r="K308" s="17">
        <v>299900</v>
      </c>
      <c r="L308" s="6">
        <v>20</v>
      </c>
      <c r="M308" s="6">
        <v>5998000</v>
      </c>
      <c r="N308" s="17">
        <v>5998181.8181818174</v>
      </c>
      <c r="O308" s="17">
        <v>4348681.8181818174</v>
      </c>
      <c r="P308" t="s">
        <v>211</v>
      </c>
      <c r="Q308" t="s">
        <v>212</v>
      </c>
    </row>
    <row r="309" spans="1:17" x14ac:dyDescent="0.35">
      <c r="A309" t="str">
        <f>_xlfn.XLOOKUP(B309,Mapping!C:C,Mapping!D:D)</f>
        <v>Dept Store</v>
      </c>
      <c r="B309" s="2" t="s">
        <v>167</v>
      </c>
      <c r="C309" s="2">
        <v>0</v>
      </c>
      <c r="D309" s="3">
        <v>46181</v>
      </c>
      <c r="E309" s="4">
        <v>46187</v>
      </c>
      <c r="F309" s="5">
        <v>7</v>
      </c>
      <c r="G309" s="2" t="s">
        <v>106</v>
      </c>
      <c r="H309" s="17">
        <v>399900</v>
      </c>
      <c r="I309" s="18">
        <v>349900</v>
      </c>
      <c r="J309" s="17">
        <v>299900</v>
      </c>
      <c r="K309" s="17">
        <v>349900</v>
      </c>
      <c r="L309" s="6">
        <v>25</v>
      </c>
      <c r="M309" s="6">
        <v>8747500</v>
      </c>
      <c r="N309" s="17">
        <v>9088636.3636363633</v>
      </c>
      <c r="O309" s="17">
        <v>6589261.3636363633</v>
      </c>
      <c r="P309" t="s">
        <v>215</v>
      </c>
      <c r="Q309" t="s">
        <v>234</v>
      </c>
    </row>
    <row r="310" spans="1:17" x14ac:dyDescent="0.35">
      <c r="A310" t="str">
        <f>_xlfn.XLOOKUP(B310,Mapping!C:C,Mapping!D:D)</f>
        <v>Dept Store</v>
      </c>
      <c r="B310" s="2" t="s">
        <v>167</v>
      </c>
      <c r="C310" s="2">
        <v>0</v>
      </c>
      <c r="D310" s="3">
        <v>46181</v>
      </c>
      <c r="E310" s="4">
        <v>46187</v>
      </c>
      <c r="F310" s="5">
        <v>7</v>
      </c>
      <c r="G310" s="2" t="s">
        <v>85</v>
      </c>
      <c r="H310" s="17">
        <v>349900</v>
      </c>
      <c r="I310" s="18">
        <v>319900</v>
      </c>
      <c r="J310" s="17">
        <v>299900</v>
      </c>
      <c r="K310" s="17">
        <v>319900</v>
      </c>
      <c r="L310" s="6">
        <v>35</v>
      </c>
      <c r="M310" s="6">
        <v>11196500</v>
      </c>
      <c r="N310" s="17">
        <v>11133181.818181816</v>
      </c>
      <c r="O310" s="17">
        <v>8071556.8181818165</v>
      </c>
      <c r="P310" t="s">
        <v>211</v>
      </c>
      <c r="Q310" t="s">
        <v>232</v>
      </c>
    </row>
    <row r="311" spans="1:17" x14ac:dyDescent="0.35">
      <c r="A311" t="str">
        <f>_xlfn.XLOOKUP(B311,Mapping!C:C,Mapping!D:D)</f>
        <v>Dept Store</v>
      </c>
      <c r="B311" s="2" t="s">
        <v>167</v>
      </c>
      <c r="C311" s="2">
        <v>0</v>
      </c>
      <c r="D311" s="3">
        <v>46181</v>
      </c>
      <c r="E311" s="4">
        <v>46187</v>
      </c>
      <c r="F311" s="5">
        <v>7</v>
      </c>
      <c r="G311" s="2" t="s">
        <v>109</v>
      </c>
      <c r="H311" s="17">
        <v>249900</v>
      </c>
      <c r="I311" s="18">
        <v>219900</v>
      </c>
      <c r="J311" s="17">
        <v>199900</v>
      </c>
      <c r="K311" s="17">
        <v>199900</v>
      </c>
      <c r="L311" s="6">
        <v>20</v>
      </c>
      <c r="M311" s="6">
        <v>3998000</v>
      </c>
      <c r="N311" s="17">
        <v>4543636.3636363633</v>
      </c>
      <c r="O311" s="17">
        <v>3294136.3636363633</v>
      </c>
      <c r="P311" t="s">
        <v>225</v>
      </c>
      <c r="Q311" t="s">
        <v>226</v>
      </c>
    </row>
    <row r="312" spans="1:17" x14ac:dyDescent="0.35">
      <c r="A312" t="str">
        <f>_xlfn.XLOOKUP(B312,Mapping!C:C,Mapping!D:D)</f>
        <v>Dept Store</v>
      </c>
      <c r="B312" s="2" t="s">
        <v>167</v>
      </c>
      <c r="C312" s="2">
        <v>0</v>
      </c>
      <c r="D312" s="3">
        <v>46181</v>
      </c>
      <c r="E312" s="4">
        <v>46187</v>
      </c>
      <c r="F312" s="5">
        <v>7</v>
      </c>
      <c r="G312" s="2" t="s">
        <v>87</v>
      </c>
      <c r="H312" s="17">
        <v>219900</v>
      </c>
      <c r="I312" s="18">
        <v>199900</v>
      </c>
      <c r="J312" s="17">
        <v>179900</v>
      </c>
      <c r="K312" s="17">
        <v>199900</v>
      </c>
      <c r="L312" s="6">
        <v>10</v>
      </c>
      <c r="M312" s="6">
        <v>1999000</v>
      </c>
      <c r="N312" s="17">
        <v>1999090.9090909087</v>
      </c>
      <c r="O312" s="17">
        <v>1449340.9090909087</v>
      </c>
      <c r="P312" t="s">
        <v>225</v>
      </c>
      <c r="Q312" t="s">
        <v>226</v>
      </c>
    </row>
    <row r="313" spans="1:17" x14ac:dyDescent="0.35">
      <c r="A313" t="str">
        <f>_xlfn.XLOOKUP(B313,Mapping!C:C,Mapping!D:D)</f>
        <v>Dept Store</v>
      </c>
      <c r="B313" s="2" t="s">
        <v>167</v>
      </c>
      <c r="C313" s="2">
        <v>0</v>
      </c>
      <c r="D313" s="3">
        <v>46181</v>
      </c>
      <c r="E313" s="4">
        <v>46187</v>
      </c>
      <c r="F313" s="5">
        <v>7</v>
      </c>
      <c r="G313" s="2" t="s">
        <v>36</v>
      </c>
      <c r="H313" s="17">
        <v>469900</v>
      </c>
      <c r="I313" s="18">
        <v>399900</v>
      </c>
      <c r="J313" s="17">
        <v>389900</v>
      </c>
      <c r="K313" s="17">
        <v>399000</v>
      </c>
      <c r="L313" s="6">
        <v>15</v>
      </c>
      <c r="M313" s="6">
        <v>5985000</v>
      </c>
      <c r="N313" s="17">
        <v>6407727.2727272715</v>
      </c>
      <c r="O313" s="17">
        <v>4645602.2727272715</v>
      </c>
      <c r="P313" t="s">
        <v>213</v>
      </c>
      <c r="Q313" t="s">
        <v>222</v>
      </c>
    </row>
    <row r="314" spans="1:17" x14ac:dyDescent="0.35">
      <c r="A314" t="str">
        <f>_xlfn.XLOOKUP(B314,Mapping!C:C,Mapping!D:D)</f>
        <v>Dept Store</v>
      </c>
      <c r="B314" s="2" t="s">
        <v>167</v>
      </c>
      <c r="C314" s="2">
        <v>0</v>
      </c>
      <c r="D314" s="3">
        <v>46181</v>
      </c>
      <c r="E314" s="4">
        <v>46187</v>
      </c>
      <c r="F314" s="5">
        <v>7</v>
      </c>
      <c r="G314" s="2" t="s">
        <v>111</v>
      </c>
      <c r="H314" s="17">
        <v>249900</v>
      </c>
      <c r="I314" s="18">
        <v>219900</v>
      </c>
      <c r="J314" s="17">
        <v>199900</v>
      </c>
      <c r="K314" s="17">
        <v>199900</v>
      </c>
      <c r="L314" s="6">
        <v>20</v>
      </c>
      <c r="M314" s="6">
        <v>3998000</v>
      </c>
      <c r="N314" s="17">
        <v>4543636.3636363633</v>
      </c>
      <c r="O314" s="17">
        <v>3294136.3636363633</v>
      </c>
      <c r="P314" t="s">
        <v>225</v>
      </c>
      <c r="Q314" t="s">
        <v>226</v>
      </c>
    </row>
    <row r="315" spans="1:17" x14ac:dyDescent="0.35">
      <c r="A315" t="str">
        <f>_xlfn.XLOOKUP(B315,Mapping!C:C,Mapping!D:D)</f>
        <v>Dept Store</v>
      </c>
      <c r="B315" s="2" t="s">
        <v>167</v>
      </c>
      <c r="C315" s="2">
        <v>0</v>
      </c>
      <c r="D315" s="3">
        <v>46181</v>
      </c>
      <c r="E315" s="4">
        <v>46187</v>
      </c>
      <c r="F315" s="5">
        <v>7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99900</v>
      </c>
      <c r="L315" s="6">
        <v>15</v>
      </c>
      <c r="M315" s="6">
        <v>1498500</v>
      </c>
      <c r="N315" s="17">
        <v>1634999.9999999998</v>
      </c>
      <c r="O315" s="17">
        <v>1185374.9999999998</v>
      </c>
      <c r="P315" t="s">
        <v>211</v>
      </c>
      <c r="Q315" t="s">
        <v>231</v>
      </c>
    </row>
    <row r="316" spans="1:17" x14ac:dyDescent="0.35">
      <c r="A316" t="str">
        <f>_xlfn.XLOOKUP(B316,Mapping!C:C,Mapping!D:D)</f>
        <v>Dept Store</v>
      </c>
      <c r="B316" s="2" t="s">
        <v>167</v>
      </c>
      <c r="C316" s="2">
        <v>0</v>
      </c>
      <c r="D316" s="3">
        <v>46181</v>
      </c>
      <c r="E316" s="4">
        <v>46187</v>
      </c>
      <c r="F316" s="5">
        <v>7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99900</v>
      </c>
      <c r="L316" s="6">
        <v>15</v>
      </c>
      <c r="M316" s="6">
        <v>1498500</v>
      </c>
      <c r="N316" s="17">
        <v>1634999.9999999998</v>
      </c>
      <c r="O316" s="17">
        <v>1185374.9999999998</v>
      </c>
      <c r="P316" t="s">
        <v>211</v>
      </c>
      <c r="Q316" t="s">
        <v>231</v>
      </c>
    </row>
    <row r="317" spans="1:17" x14ac:dyDescent="0.35">
      <c r="A317" t="str">
        <f>_xlfn.XLOOKUP(B317,Mapping!C:C,Mapping!D:D)</f>
        <v>Dept Store</v>
      </c>
      <c r="B317" s="2" t="s">
        <v>167</v>
      </c>
      <c r="C317" s="2">
        <v>0</v>
      </c>
      <c r="D317" s="3">
        <v>46181</v>
      </c>
      <c r="E317" s="4">
        <v>46187</v>
      </c>
      <c r="F317" s="5">
        <v>7</v>
      </c>
      <c r="G317" s="2" t="s">
        <v>40</v>
      </c>
      <c r="H317" s="17">
        <v>349900</v>
      </c>
      <c r="I317" s="18">
        <v>319900</v>
      </c>
      <c r="J317" s="17">
        <v>299900</v>
      </c>
      <c r="K317" s="17">
        <v>299900</v>
      </c>
      <c r="L317" s="6">
        <v>10</v>
      </c>
      <c r="M317" s="6">
        <v>2999000</v>
      </c>
      <c r="N317" s="17">
        <v>3180909.0909090908</v>
      </c>
      <c r="O317" s="17">
        <v>2306159.0909090908</v>
      </c>
      <c r="P317" t="s">
        <v>211</v>
      </c>
      <c r="Q317" t="s">
        <v>228</v>
      </c>
    </row>
    <row r="318" spans="1:17" x14ac:dyDescent="0.35">
      <c r="A318" t="str">
        <f>_xlfn.XLOOKUP(B318,Mapping!C:C,Mapping!D:D)</f>
        <v>Dept Store</v>
      </c>
      <c r="B318" s="2" t="s">
        <v>167</v>
      </c>
      <c r="C318" s="2">
        <v>0</v>
      </c>
      <c r="D318" s="3">
        <v>46181</v>
      </c>
      <c r="E318" s="4">
        <v>46187</v>
      </c>
      <c r="F318" s="5">
        <v>7</v>
      </c>
      <c r="G318" s="2" t="s">
        <v>98</v>
      </c>
      <c r="H318" s="17">
        <v>219900</v>
      </c>
      <c r="I318" s="18">
        <v>199900</v>
      </c>
      <c r="J318" s="17">
        <v>179900</v>
      </c>
      <c r="K318" s="17">
        <v>199900</v>
      </c>
      <c r="L318" s="6">
        <v>10</v>
      </c>
      <c r="M318" s="6">
        <v>1999000</v>
      </c>
      <c r="N318" s="17">
        <v>1999090.9090909087</v>
      </c>
      <c r="O318" s="17">
        <v>1449340.9090909087</v>
      </c>
      <c r="P318" t="s">
        <v>225</v>
      </c>
      <c r="Q318" t="s">
        <v>226</v>
      </c>
    </row>
    <row r="319" spans="1:17" x14ac:dyDescent="0.35">
      <c r="A319" t="str">
        <f>_xlfn.XLOOKUP(B319,Mapping!C:C,Mapping!D:D)</f>
        <v>Dept Store</v>
      </c>
      <c r="B319" s="2" t="s">
        <v>167</v>
      </c>
      <c r="C319" s="2">
        <v>0</v>
      </c>
      <c r="D319" s="3">
        <v>46181</v>
      </c>
      <c r="E319" s="4">
        <v>46187</v>
      </c>
      <c r="F319" s="5">
        <v>7</v>
      </c>
      <c r="G319" s="2" t="s">
        <v>99</v>
      </c>
      <c r="H319" s="17">
        <v>219900</v>
      </c>
      <c r="I319" s="18">
        <v>199900</v>
      </c>
      <c r="J319" s="17">
        <v>179900</v>
      </c>
      <c r="K319" s="17">
        <v>199900</v>
      </c>
      <c r="L319" s="6">
        <v>10</v>
      </c>
      <c r="M319" s="6">
        <v>1999000</v>
      </c>
      <c r="N319" s="17">
        <v>1999090.9090909087</v>
      </c>
      <c r="O319" s="17">
        <v>1449340.9090909087</v>
      </c>
      <c r="P319" t="s">
        <v>225</v>
      </c>
      <c r="Q319" t="s">
        <v>226</v>
      </c>
    </row>
    <row r="320" spans="1:17" x14ac:dyDescent="0.35">
      <c r="A320" t="str">
        <f>_xlfn.XLOOKUP(B320,Mapping!C:C,Mapping!D:D)</f>
        <v>Dept Store</v>
      </c>
      <c r="B320" s="2" t="s">
        <v>167</v>
      </c>
      <c r="C320" s="2">
        <v>0</v>
      </c>
      <c r="D320" s="3">
        <v>46181</v>
      </c>
      <c r="E320" s="4">
        <v>46201</v>
      </c>
      <c r="F320" s="5">
        <v>21</v>
      </c>
      <c r="G320" s="2" t="s">
        <v>32</v>
      </c>
      <c r="H320" s="17">
        <v>349900</v>
      </c>
      <c r="I320" s="18">
        <v>299900</v>
      </c>
      <c r="J320" s="17">
        <v>269900</v>
      </c>
      <c r="K320" s="17">
        <v>349900</v>
      </c>
      <c r="L320" s="6">
        <v>30</v>
      </c>
      <c r="M320" s="6">
        <v>10497000</v>
      </c>
      <c r="N320" s="17">
        <v>9542727.2727272715</v>
      </c>
      <c r="O320" s="17">
        <v>6918477.2727272715</v>
      </c>
      <c r="P320" t="s">
        <v>211</v>
      </c>
      <c r="Q320" t="s">
        <v>224</v>
      </c>
    </row>
    <row r="321" spans="1:17" x14ac:dyDescent="0.35">
      <c r="A321" t="str">
        <f>_xlfn.XLOOKUP(B321,Mapping!C:C,Mapping!D:D)</f>
        <v>Dept Store</v>
      </c>
      <c r="B321" s="2" t="s">
        <v>167</v>
      </c>
      <c r="C321" s="2">
        <v>0</v>
      </c>
      <c r="D321" s="3">
        <v>46181</v>
      </c>
      <c r="E321" s="4">
        <v>46201</v>
      </c>
      <c r="F321" s="5">
        <v>21</v>
      </c>
      <c r="G321" s="2" t="s">
        <v>39</v>
      </c>
      <c r="H321" s="17">
        <v>249900</v>
      </c>
      <c r="I321" s="18">
        <v>199900</v>
      </c>
      <c r="J321" s="17">
        <v>189900</v>
      </c>
      <c r="K321" s="17">
        <v>249900</v>
      </c>
      <c r="L321" s="6">
        <v>15</v>
      </c>
      <c r="M321" s="6">
        <v>3748500</v>
      </c>
      <c r="N321" s="17">
        <v>3407727.2727272725</v>
      </c>
      <c r="O321" s="17">
        <v>2470602.2727272725</v>
      </c>
      <c r="P321" t="s">
        <v>211</v>
      </c>
      <c r="Q321" t="s">
        <v>212</v>
      </c>
    </row>
    <row r="322" spans="1:17" x14ac:dyDescent="0.35">
      <c r="A322" t="str">
        <f>_xlfn.XLOOKUP(B322,Mapping!C:C,Mapping!D:D)</f>
        <v>Dept Store</v>
      </c>
      <c r="B322" s="2" t="s">
        <v>167</v>
      </c>
      <c r="C322" s="2">
        <v>0</v>
      </c>
      <c r="D322" s="3">
        <v>46181</v>
      </c>
      <c r="E322" s="4">
        <v>46194</v>
      </c>
      <c r="F322" s="5">
        <v>14</v>
      </c>
      <c r="G322" s="2" t="s">
        <v>26</v>
      </c>
      <c r="H322" s="17">
        <v>899000</v>
      </c>
      <c r="I322" s="18">
        <v>849000</v>
      </c>
      <c r="J322" s="17">
        <v>799000</v>
      </c>
      <c r="K322" s="17">
        <v>899000</v>
      </c>
      <c r="L322" s="6">
        <v>30</v>
      </c>
      <c r="M322" s="6">
        <v>26970000</v>
      </c>
      <c r="N322" s="17">
        <v>24518181.818181816</v>
      </c>
      <c r="O322" s="17">
        <v>17775681.818181816</v>
      </c>
      <c r="P322" t="s">
        <v>213</v>
      </c>
      <c r="Q322" t="s">
        <v>221</v>
      </c>
    </row>
    <row r="323" spans="1:17" x14ac:dyDescent="0.35">
      <c r="A323" t="str">
        <f>_xlfn.XLOOKUP(B323,Mapping!C:C,Mapping!D:D)</f>
        <v>Dept Store</v>
      </c>
      <c r="B323" s="2" t="s">
        <v>167</v>
      </c>
      <c r="C323" s="2">
        <v>0</v>
      </c>
      <c r="D323" s="3">
        <v>46181</v>
      </c>
      <c r="E323" s="4">
        <v>46194</v>
      </c>
      <c r="F323" s="5">
        <v>14</v>
      </c>
      <c r="G323" s="2" t="s">
        <v>28</v>
      </c>
      <c r="H323" s="17">
        <v>299900</v>
      </c>
      <c r="I323" s="18">
        <v>199900</v>
      </c>
      <c r="J323" s="17">
        <v>199900</v>
      </c>
      <c r="K323" s="17">
        <v>299900</v>
      </c>
      <c r="L323" s="6">
        <v>10</v>
      </c>
      <c r="M323" s="6">
        <v>2999000</v>
      </c>
      <c r="N323" s="17">
        <v>2726363.6363636358</v>
      </c>
      <c r="O323" s="17">
        <v>1976613.6363636358</v>
      </c>
      <c r="P323" t="s">
        <v>213</v>
      </c>
      <c r="Q323" t="s">
        <v>222</v>
      </c>
    </row>
    <row r="324" spans="1:17" x14ac:dyDescent="0.35">
      <c r="A324" t="str">
        <f>_xlfn.XLOOKUP(B324,Mapping!C:C,Mapping!D:D)</f>
        <v>Dept Store</v>
      </c>
      <c r="B324" s="2" t="s">
        <v>167</v>
      </c>
      <c r="C324" s="2">
        <v>0</v>
      </c>
      <c r="D324" s="3">
        <v>46181</v>
      </c>
      <c r="E324" s="4">
        <v>46194</v>
      </c>
      <c r="F324" s="5">
        <v>14</v>
      </c>
      <c r="G324" s="2" t="s">
        <v>31</v>
      </c>
      <c r="H324" s="17">
        <v>849000</v>
      </c>
      <c r="I324" s="18">
        <v>749000</v>
      </c>
      <c r="J324" s="17">
        <v>699000</v>
      </c>
      <c r="K324" s="17">
        <v>699000</v>
      </c>
      <c r="L324" s="6">
        <v>25</v>
      </c>
      <c r="M324" s="6">
        <v>17475000</v>
      </c>
      <c r="N324" s="17">
        <v>19295454.545454543</v>
      </c>
      <c r="O324" s="17">
        <v>13989204.545454543</v>
      </c>
      <c r="P324" t="s">
        <v>213</v>
      </c>
      <c r="Q324" t="s">
        <v>221</v>
      </c>
    </row>
    <row r="325" spans="1:17" x14ac:dyDescent="0.35">
      <c r="A325" t="str">
        <f>_xlfn.XLOOKUP(B325,Mapping!C:C,Mapping!D:D)</f>
        <v>Dept Store</v>
      </c>
      <c r="B325" s="2" t="s">
        <v>167</v>
      </c>
      <c r="C325" s="2">
        <v>0</v>
      </c>
      <c r="D325" s="3">
        <v>46181</v>
      </c>
      <c r="E325" s="4">
        <v>46194</v>
      </c>
      <c r="F325" s="5">
        <v>14</v>
      </c>
      <c r="G325" s="2" t="s">
        <v>86</v>
      </c>
      <c r="H325" s="17">
        <v>149900</v>
      </c>
      <c r="I325" s="18">
        <v>139900</v>
      </c>
      <c r="J325" s="17">
        <v>109900</v>
      </c>
      <c r="K325" s="17">
        <v>149900</v>
      </c>
      <c r="L325" s="6">
        <v>20</v>
      </c>
      <c r="M325" s="6">
        <v>2998000</v>
      </c>
      <c r="N325" s="17">
        <v>2725454.5454545454</v>
      </c>
      <c r="O325" s="17">
        <v>1975954.5454545454</v>
      </c>
      <c r="P325" t="s">
        <v>211</v>
      </c>
      <c r="Q325" t="s">
        <v>231</v>
      </c>
    </row>
    <row r="326" spans="1:17" x14ac:dyDescent="0.35">
      <c r="A326" t="str">
        <f>_xlfn.XLOOKUP(B326,Mapping!C:C,Mapping!D:D)</f>
        <v>Dept Store</v>
      </c>
      <c r="B326" s="2" t="s">
        <v>167</v>
      </c>
      <c r="C326" s="2">
        <v>0</v>
      </c>
      <c r="D326" s="3">
        <v>46181</v>
      </c>
      <c r="E326" s="4">
        <v>46194</v>
      </c>
      <c r="F326" s="5">
        <v>14</v>
      </c>
      <c r="G326" s="2" t="s">
        <v>38</v>
      </c>
      <c r="H326" s="17">
        <v>429900</v>
      </c>
      <c r="I326" s="18">
        <v>399900</v>
      </c>
      <c r="J326" s="17">
        <v>349900</v>
      </c>
      <c r="K326" s="17">
        <v>429900</v>
      </c>
      <c r="L326" s="6">
        <v>10</v>
      </c>
      <c r="M326" s="6">
        <v>4299000</v>
      </c>
      <c r="N326" s="17">
        <v>3908181.8181818174</v>
      </c>
      <c r="O326" s="17">
        <v>2833431.8181818174</v>
      </c>
      <c r="P326" t="s">
        <v>215</v>
      </c>
      <c r="Q326" t="s">
        <v>227</v>
      </c>
    </row>
    <row r="327" spans="1:17" x14ac:dyDescent="0.35">
      <c r="A327" t="str">
        <f>_xlfn.XLOOKUP(B327,Mapping!C:C,Mapping!D:D)</f>
        <v>Dept Store</v>
      </c>
      <c r="B327" s="2" t="s">
        <v>167</v>
      </c>
      <c r="C327" s="2">
        <v>0</v>
      </c>
      <c r="D327" s="3">
        <v>46181</v>
      </c>
      <c r="E327" s="4">
        <v>46194</v>
      </c>
      <c r="F327" s="5">
        <v>14</v>
      </c>
      <c r="G327" s="2" t="s">
        <v>94</v>
      </c>
      <c r="H327" s="17">
        <v>119900</v>
      </c>
      <c r="I327" s="18">
        <v>99900</v>
      </c>
      <c r="J327" s="17">
        <v>84900</v>
      </c>
      <c r="K327" s="17">
        <v>149900</v>
      </c>
      <c r="L327" s="6">
        <v>20</v>
      </c>
      <c r="M327" s="6">
        <v>2998000</v>
      </c>
      <c r="N327" s="17">
        <v>2179999.9999999995</v>
      </c>
      <c r="O327" s="17">
        <v>1580499.9999999995</v>
      </c>
      <c r="P327" t="s">
        <v>211</v>
      </c>
      <c r="Q327" t="s">
        <v>231</v>
      </c>
    </row>
    <row r="328" spans="1:17" x14ac:dyDescent="0.35">
      <c r="A328" t="str">
        <f>_xlfn.XLOOKUP(B328,Mapping!C:C,Mapping!D:D)</f>
        <v>Dept Store</v>
      </c>
      <c r="B328" s="2" t="s">
        <v>167</v>
      </c>
      <c r="C328" s="2">
        <v>0</v>
      </c>
      <c r="D328" s="3">
        <v>46181</v>
      </c>
      <c r="E328" s="4">
        <v>46194</v>
      </c>
      <c r="F328" s="5">
        <v>14</v>
      </c>
      <c r="G328" s="2" t="s">
        <v>101</v>
      </c>
      <c r="H328" s="17">
        <v>149900</v>
      </c>
      <c r="I328" s="18">
        <v>139900</v>
      </c>
      <c r="J328" s="17">
        <v>109900</v>
      </c>
      <c r="K328" s="17">
        <v>149900</v>
      </c>
      <c r="L328" s="6">
        <v>20</v>
      </c>
      <c r="M328" s="6">
        <v>2998000</v>
      </c>
      <c r="N328" s="17">
        <v>2725454.5454545454</v>
      </c>
      <c r="O328" s="17">
        <v>1975954.5454545454</v>
      </c>
      <c r="P328" t="s">
        <v>211</v>
      </c>
      <c r="Q328" t="s">
        <v>231</v>
      </c>
    </row>
    <row r="329" spans="1:17" x14ac:dyDescent="0.35">
      <c r="A329" t="str">
        <f>_xlfn.XLOOKUP(B329,Mapping!C:C,Mapping!D:D)</f>
        <v>Dept Store</v>
      </c>
      <c r="B329" s="2" t="s">
        <v>167</v>
      </c>
      <c r="C329" s="2">
        <v>0</v>
      </c>
      <c r="D329" s="3">
        <v>46202</v>
      </c>
      <c r="E329" s="4">
        <v>46208</v>
      </c>
      <c r="F329" s="5">
        <v>7</v>
      </c>
      <c r="G329" s="2" t="s">
        <v>84</v>
      </c>
      <c r="H329" s="17">
        <v>169900</v>
      </c>
      <c r="I329" s="18">
        <v>149900</v>
      </c>
      <c r="J329" s="17">
        <v>129900</v>
      </c>
      <c r="K329" s="17">
        <v>169900</v>
      </c>
      <c r="L329" s="6">
        <v>10</v>
      </c>
      <c r="M329" s="6">
        <v>1699000</v>
      </c>
      <c r="N329" s="17">
        <v>1544545.4545454544</v>
      </c>
      <c r="O329" s="17">
        <v>1119795.4545454544</v>
      </c>
      <c r="P329" t="s">
        <v>211</v>
      </c>
      <c r="Q329" t="s">
        <v>212</v>
      </c>
    </row>
    <row r="330" spans="1:17" x14ac:dyDescent="0.35">
      <c r="A330" t="str">
        <f>_xlfn.XLOOKUP(B330,Mapping!C:C,Mapping!D:D)</f>
        <v>Dept Store</v>
      </c>
      <c r="B330" s="2" t="s">
        <v>167</v>
      </c>
      <c r="C330" s="2">
        <v>0</v>
      </c>
      <c r="D330" s="3">
        <v>46202</v>
      </c>
      <c r="E330" s="4">
        <v>46208</v>
      </c>
      <c r="F330" s="5">
        <v>7</v>
      </c>
      <c r="G330" s="2" t="s">
        <v>25</v>
      </c>
      <c r="H330" s="17">
        <v>899000</v>
      </c>
      <c r="I330" s="18">
        <v>779000</v>
      </c>
      <c r="J330" s="17">
        <v>779000</v>
      </c>
      <c r="K330" s="17">
        <v>899000</v>
      </c>
      <c r="L330" s="6">
        <v>5</v>
      </c>
      <c r="M330" s="6">
        <v>4495000</v>
      </c>
      <c r="N330" s="17">
        <v>4086363.6363636358</v>
      </c>
      <c r="O330" s="17">
        <v>2962613.6363636358</v>
      </c>
      <c r="P330" t="s">
        <v>213</v>
      </c>
      <c r="Q330" t="s">
        <v>221</v>
      </c>
    </row>
    <row r="331" spans="1:17" x14ac:dyDescent="0.35">
      <c r="A331" t="str">
        <f>_xlfn.XLOOKUP(B331,Mapping!C:C,Mapping!D:D)</f>
        <v>Dept Store</v>
      </c>
      <c r="B331" s="2" t="s">
        <v>167</v>
      </c>
      <c r="C331" s="2">
        <v>0</v>
      </c>
      <c r="D331" s="3">
        <v>46202</v>
      </c>
      <c r="E331" s="4">
        <v>46208</v>
      </c>
      <c r="F331" s="5">
        <v>7</v>
      </c>
      <c r="G331" s="2" t="s">
        <v>85</v>
      </c>
      <c r="H331" s="17">
        <v>349900</v>
      </c>
      <c r="I331" s="18">
        <v>319900</v>
      </c>
      <c r="J331" s="17">
        <v>299900</v>
      </c>
      <c r="K331" s="17">
        <v>299900</v>
      </c>
      <c r="L331" s="6">
        <v>55</v>
      </c>
      <c r="M331" s="6">
        <v>16494500</v>
      </c>
      <c r="N331" s="17">
        <v>17495000</v>
      </c>
      <c r="O331" s="17">
        <v>12683875</v>
      </c>
      <c r="P331" t="s">
        <v>211</v>
      </c>
      <c r="Q331" t="s">
        <v>232</v>
      </c>
    </row>
    <row r="332" spans="1:17" x14ac:dyDescent="0.35">
      <c r="A332" t="str">
        <f>_xlfn.XLOOKUP(B332,Mapping!C:C,Mapping!D:D)</f>
        <v>Dept Store</v>
      </c>
      <c r="B332" s="2" t="s">
        <v>167</v>
      </c>
      <c r="C332" s="2">
        <v>0</v>
      </c>
      <c r="D332" s="3">
        <v>46202</v>
      </c>
      <c r="E332" s="4">
        <v>46208</v>
      </c>
      <c r="F332" s="5">
        <v>7</v>
      </c>
      <c r="G332" s="2" t="s">
        <v>32</v>
      </c>
      <c r="H332" s="17">
        <v>349900</v>
      </c>
      <c r="I332" s="18">
        <v>299900</v>
      </c>
      <c r="J332" s="17">
        <v>269900</v>
      </c>
      <c r="K332" s="17">
        <v>299000</v>
      </c>
      <c r="L332" s="6">
        <v>30</v>
      </c>
      <c r="M332" s="6">
        <v>8970000</v>
      </c>
      <c r="N332" s="17">
        <v>9542727.2727272715</v>
      </c>
      <c r="O332" s="17">
        <v>6918477.2727272715</v>
      </c>
      <c r="P332" t="s">
        <v>211</v>
      </c>
      <c r="Q332" t="s">
        <v>224</v>
      </c>
    </row>
    <row r="333" spans="1:17" x14ac:dyDescent="0.35">
      <c r="A333" t="str">
        <f>_xlfn.XLOOKUP(B333,Mapping!C:C,Mapping!D:D)</f>
        <v>Dept Store</v>
      </c>
      <c r="B333" s="2" t="s">
        <v>167</v>
      </c>
      <c r="C333" s="2">
        <v>0</v>
      </c>
      <c r="D333" s="3">
        <v>46202</v>
      </c>
      <c r="E333" s="4">
        <v>46208</v>
      </c>
      <c r="F333" s="5">
        <v>7</v>
      </c>
      <c r="G333" s="2" t="s">
        <v>39</v>
      </c>
      <c r="H333" s="17">
        <v>249900</v>
      </c>
      <c r="I333" s="18">
        <v>199900</v>
      </c>
      <c r="J333" s="17">
        <v>189900</v>
      </c>
      <c r="K333" s="17">
        <v>189900</v>
      </c>
      <c r="L333" s="6">
        <v>15</v>
      </c>
      <c r="M333" s="6">
        <v>2848500</v>
      </c>
      <c r="N333" s="17">
        <v>3407727.2727272725</v>
      </c>
      <c r="O333" s="17">
        <v>2470602.2727272725</v>
      </c>
      <c r="P333" t="s">
        <v>211</v>
      </c>
      <c r="Q333" t="s">
        <v>212</v>
      </c>
    </row>
    <row r="334" spans="1:17" x14ac:dyDescent="0.35">
      <c r="A334" t="str">
        <f>_xlfn.XLOOKUP(B334,Mapping!C:C,Mapping!D:D)</f>
        <v>Dept Store</v>
      </c>
      <c r="B334" s="2" t="s">
        <v>167</v>
      </c>
      <c r="C334" s="2">
        <v>0</v>
      </c>
      <c r="D334" s="3">
        <v>46202</v>
      </c>
      <c r="E334" s="4">
        <v>46208</v>
      </c>
      <c r="F334" s="5">
        <v>7</v>
      </c>
      <c r="G334" s="2" t="s">
        <v>41</v>
      </c>
      <c r="H334" s="17">
        <v>299900</v>
      </c>
      <c r="I334" s="18">
        <v>269900</v>
      </c>
      <c r="J334" s="17">
        <v>249900</v>
      </c>
      <c r="K334" s="17">
        <v>249900</v>
      </c>
      <c r="L334" s="6">
        <v>20</v>
      </c>
      <c r="M334" s="6">
        <v>4998000</v>
      </c>
      <c r="N334" s="17">
        <v>5452727.2727272715</v>
      </c>
      <c r="O334" s="17">
        <v>3953227.2727272715</v>
      </c>
      <c r="P334" t="s">
        <v>225</v>
      </c>
      <c r="Q334" t="s">
        <v>226</v>
      </c>
    </row>
    <row r="335" spans="1:17" x14ac:dyDescent="0.35">
      <c r="A335" t="str">
        <f>_xlfn.XLOOKUP(B335,Mapping!C:C,Mapping!D:D)</f>
        <v>Dept Store</v>
      </c>
      <c r="B335" s="2" t="s">
        <v>167</v>
      </c>
      <c r="C335" s="2">
        <v>0</v>
      </c>
      <c r="D335" s="3">
        <v>46188</v>
      </c>
      <c r="E335" s="4">
        <v>46208</v>
      </c>
      <c r="F335" s="5">
        <v>21</v>
      </c>
      <c r="G335" s="2" t="s">
        <v>24</v>
      </c>
      <c r="H335" s="17">
        <v>949000</v>
      </c>
      <c r="I335" s="18">
        <v>879000</v>
      </c>
      <c r="J335" s="17">
        <v>849000</v>
      </c>
      <c r="K335" s="17">
        <v>1049000</v>
      </c>
      <c r="L335" s="6">
        <v>15</v>
      </c>
      <c r="M335" s="6">
        <v>15735000</v>
      </c>
      <c r="N335" s="17">
        <v>12940909.09090909</v>
      </c>
      <c r="O335" s="17">
        <v>9382159.0909090899</v>
      </c>
      <c r="P335" t="s">
        <v>213</v>
      </c>
      <c r="Q335" t="s">
        <v>220</v>
      </c>
    </row>
    <row r="336" spans="1:17" x14ac:dyDescent="0.35">
      <c r="A336" t="str">
        <f>_xlfn.XLOOKUP(B336,Mapping!C:C,Mapping!D:D)</f>
        <v>Dept Store</v>
      </c>
      <c r="B336" s="2" t="s">
        <v>167</v>
      </c>
      <c r="C336" s="2">
        <v>0</v>
      </c>
      <c r="D336" s="3">
        <v>46188</v>
      </c>
      <c r="E336" s="4">
        <v>46208</v>
      </c>
      <c r="F336" s="5">
        <v>21</v>
      </c>
      <c r="G336" s="2" t="s">
        <v>27</v>
      </c>
      <c r="H336" s="17">
        <v>329900</v>
      </c>
      <c r="I336" s="18">
        <v>299900</v>
      </c>
      <c r="J336" s="17">
        <v>279900</v>
      </c>
      <c r="K336" s="17">
        <v>329900</v>
      </c>
      <c r="L336" s="6">
        <v>30</v>
      </c>
      <c r="M336" s="6">
        <v>9897000</v>
      </c>
      <c r="N336" s="17">
        <v>8997272.7272727266</v>
      </c>
      <c r="O336" s="17">
        <v>6523022.7272727266</v>
      </c>
      <c r="P336" t="s">
        <v>211</v>
      </c>
      <c r="Q336" t="s">
        <v>212</v>
      </c>
    </row>
    <row r="337" spans="1:17" x14ac:dyDescent="0.35">
      <c r="A337" t="str">
        <f>_xlfn.XLOOKUP(B337,Mapping!C:C,Mapping!D:D)</f>
        <v>Dept Store</v>
      </c>
      <c r="B337" s="2" t="s">
        <v>167</v>
      </c>
      <c r="C337" s="2">
        <v>0</v>
      </c>
      <c r="D337" s="3">
        <v>46188</v>
      </c>
      <c r="E337" s="4">
        <v>46208</v>
      </c>
      <c r="F337" s="5">
        <v>21</v>
      </c>
      <c r="G337" s="2" t="s">
        <v>106</v>
      </c>
      <c r="H337" s="17">
        <v>399900</v>
      </c>
      <c r="I337" s="18">
        <v>349900</v>
      </c>
      <c r="J337" s="17">
        <v>299900</v>
      </c>
      <c r="K337" s="17">
        <v>399900</v>
      </c>
      <c r="L337" s="6">
        <v>15</v>
      </c>
      <c r="M337" s="6">
        <v>5998500</v>
      </c>
      <c r="N337" s="17">
        <v>5453181.8181818184</v>
      </c>
      <c r="O337" s="17">
        <v>3953556.8181818184</v>
      </c>
      <c r="P337" t="s">
        <v>215</v>
      </c>
      <c r="Q337" t="s">
        <v>234</v>
      </c>
    </row>
    <row r="338" spans="1:17" x14ac:dyDescent="0.35">
      <c r="A338" t="str">
        <f>_xlfn.XLOOKUP(B338,Mapping!C:C,Mapping!D:D)</f>
        <v>Dept Store</v>
      </c>
      <c r="B338" s="2" t="s">
        <v>167</v>
      </c>
      <c r="C338" s="2">
        <v>0</v>
      </c>
      <c r="D338" s="3">
        <v>46188</v>
      </c>
      <c r="E338" s="4">
        <v>46208</v>
      </c>
      <c r="F338" s="5">
        <v>21</v>
      </c>
      <c r="G338" s="2" t="s">
        <v>40</v>
      </c>
      <c r="H338" s="17">
        <v>349900</v>
      </c>
      <c r="I338" s="18">
        <v>319900</v>
      </c>
      <c r="J338" s="17">
        <v>299900</v>
      </c>
      <c r="K338" s="17">
        <v>349900</v>
      </c>
      <c r="L338" s="6">
        <v>15</v>
      </c>
      <c r="M338" s="6">
        <v>5248500</v>
      </c>
      <c r="N338" s="17">
        <v>4771363.6363636358</v>
      </c>
      <c r="O338" s="17">
        <v>3459238.6363636358</v>
      </c>
      <c r="P338" t="s">
        <v>211</v>
      </c>
      <c r="Q338" t="s">
        <v>228</v>
      </c>
    </row>
    <row r="339" spans="1:17" x14ac:dyDescent="0.35">
      <c r="A339" t="str">
        <f>_xlfn.XLOOKUP(B339,Mapping!C:C,Mapping!D:D)</f>
        <v>Dept Store</v>
      </c>
      <c r="B339" s="2" t="s">
        <v>167</v>
      </c>
      <c r="C339" s="2">
        <v>0</v>
      </c>
      <c r="D339" s="3">
        <v>46188</v>
      </c>
      <c r="E339" s="4">
        <v>46208</v>
      </c>
      <c r="F339" s="5">
        <v>21</v>
      </c>
      <c r="G339" s="2" t="s">
        <v>52</v>
      </c>
      <c r="H339" s="17">
        <v>949000</v>
      </c>
      <c r="I339" s="18">
        <v>879000</v>
      </c>
      <c r="J339" s="17">
        <v>849000</v>
      </c>
      <c r="K339" s="17">
        <v>1049000</v>
      </c>
      <c r="L339" s="6">
        <v>15</v>
      </c>
      <c r="M339" s="6">
        <v>15735000</v>
      </c>
      <c r="N339" s="17">
        <v>12940909.09090909</v>
      </c>
      <c r="O339" s="17">
        <v>9382159.0909090899</v>
      </c>
      <c r="P339" t="s">
        <v>213</v>
      </c>
      <c r="Q339" t="s">
        <v>220</v>
      </c>
    </row>
    <row r="340" spans="1:17" x14ac:dyDescent="0.35">
      <c r="A340" t="str">
        <f>_xlfn.XLOOKUP(B340,Mapping!C:C,Mapping!D:D)</f>
        <v>Dept Store</v>
      </c>
      <c r="B340" s="2" t="s">
        <v>167</v>
      </c>
      <c r="C340" s="2">
        <v>0</v>
      </c>
      <c r="D340" s="3">
        <v>46188</v>
      </c>
      <c r="E340" s="4">
        <v>46201</v>
      </c>
      <c r="F340" s="5">
        <v>14</v>
      </c>
      <c r="G340" s="2" t="s">
        <v>23</v>
      </c>
      <c r="H340" s="17">
        <v>899000</v>
      </c>
      <c r="I340" s="18">
        <v>849000</v>
      </c>
      <c r="J340" s="17">
        <v>799000</v>
      </c>
      <c r="K340" s="17">
        <v>899000</v>
      </c>
      <c r="L340" s="6">
        <v>10</v>
      </c>
      <c r="M340" s="6">
        <v>8990000</v>
      </c>
      <c r="N340" s="17">
        <v>8172727.2727272715</v>
      </c>
      <c r="O340" s="17">
        <v>5925227.2727272715</v>
      </c>
      <c r="P340" t="s">
        <v>213</v>
      </c>
      <c r="Q340" t="s">
        <v>220</v>
      </c>
    </row>
    <row r="341" spans="1:17" x14ac:dyDescent="0.35">
      <c r="A341" t="str">
        <f>_xlfn.XLOOKUP(B341,Mapping!C:C,Mapping!D:D)</f>
        <v>Dept Store</v>
      </c>
      <c r="B341" s="2" t="s">
        <v>167</v>
      </c>
      <c r="C341" s="2">
        <v>0</v>
      </c>
      <c r="D341" s="3">
        <v>46188</v>
      </c>
      <c r="E341" s="4">
        <v>46201</v>
      </c>
      <c r="F341" s="5">
        <v>14</v>
      </c>
      <c r="G341" s="2" t="s">
        <v>85</v>
      </c>
      <c r="H341" s="17">
        <v>349900</v>
      </c>
      <c r="I341" s="18">
        <v>319900</v>
      </c>
      <c r="J341" s="17">
        <v>299900</v>
      </c>
      <c r="K341" s="17">
        <v>349900</v>
      </c>
      <c r="L341" s="6">
        <v>20</v>
      </c>
      <c r="M341" s="6">
        <v>6998000</v>
      </c>
      <c r="N341" s="17">
        <v>6361818.1818181816</v>
      </c>
      <c r="O341" s="17">
        <v>4612318.1818181816</v>
      </c>
      <c r="P341" t="s">
        <v>211</v>
      </c>
      <c r="Q341" t="s">
        <v>232</v>
      </c>
    </row>
    <row r="342" spans="1:17" x14ac:dyDescent="0.35">
      <c r="A342" t="str">
        <f>_xlfn.XLOOKUP(B342,Mapping!C:C,Mapping!D:D)</f>
        <v>Dept Store</v>
      </c>
      <c r="B342" s="2" t="s">
        <v>167</v>
      </c>
      <c r="C342" s="2">
        <v>0</v>
      </c>
      <c r="D342" s="3">
        <v>46188</v>
      </c>
      <c r="E342" s="4">
        <v>46194</v>
      </c>
      <c r="F342" s="5">
        <v>7</v>
      </c>
      <c r="G342" s="2" t="s">
        <v>81</v>
      </c>
      <c r="H342" s="17">
        <v>119900</v>
      </c>
      <c r="I342" s="18">
        <v>99900</v>
      </c>
      <c r="J342" s="17">
        <v>84900</v>
      </c>
      <c r="K342" s="17">
        <v>119900</v>
      </c>
      <c r="L342" s="6">
        <v>5</v>
      </c>
      <c r="M342" s="6">
        <v>599500</v>
      </c>
      <c r="N342" s="17">
        <v>544999.99999999988</v>
      </c>
      <c r="O342" s="17">
        <v>395124.99999999988</v>
      </c>
      <c r="P342" t="s">
        <v>211</v>
      </c>
      <c r="Q342" t="s">
        <v>231</v>
      </c>
    </row>
    <row r="343" spans="1:17" x14ac:dyDescent="0.35">
      <c r="A343" t="str">
        <f>_xlfn.XLOOKUP(B343,Mapping!C:C,Mapping!D:D)</f>
        <v>Dept Store</v>
      </c>
      <c r="B343" s="2" t="s">
        <v>167</v>
      </c>
      <c r="C343" s="2">
        <v>0</v>
      </c>
      <c r="D343" s="3">
        <v>46188</v>
      </c>
      <c r="E343" s="4">
        <v>46194</v>
      </c>
      <c r="F343" s="5">
        <v>7</v>
      </c>
      <c r="G343" s="2" t="s">
        <v>25</v>
      </c>
      <c r="H343" s="17">
        <v>899000</v>
      </c>
      <c r="I343" s="18">
        <v>779000</v>
      </c>
      <c r="J343" s="17">
        <v>779000</v>
      </c>
      <c r="K343" s="17">
        <v>899000</v>
      </c>
      <c r="L343" s="6">
        <v>5</v>
      </c>
      <c r="M343" s="6">
        <v>4495000</v>
      </c>
      <c r="N343" s="17">
        <v>4086363.6363636358</v>
      </c>
      <c r="O343" s="17">
        <v>2962613.6363636358</v>
      </c>
      <c r="P343" t="s">
        <v>213</v>
      </c>
      <c r="Q343" t="s">
        <v>221</v>
      </c>
    </row>
    <row r="344" spans="1:17" x14ac:dyDescent="0.35">
      <c r="A344" t="str">
        <f>_xlfn.XLOOKUP(B344,Mapping!C:C,Mapping!D:D)</f>
        <v>Dept Store</v>
      </c>
      <c r="B344" s="2" t="s">
        <v>167</v>
      </c>
      <c r="C344" s="2">
        <v>0</v>
      </c>
      <c r="D344" s="3">
        <v>46188</v>
      </c>
      <c r="E344" s="4">
        <v>46194</v>
      </c>
      <c r="F344" s="5">
        <v>7</v>
      </c>
      <c r="G344" s="2" t="s">
        <v>109</v>
      </c>
      <c r="H344" s="17">
        <v>249900</v>
      </c>
      <c r="I344" s="18">
        <v>219900</v>
      </c>
      <c r="J344" s="17">
        <v>199900</v>
      </c>
      <c r="K344" s="17">
        <v>249900</v>
      </c>
      <c r="L344" s="6">
        <v>30</v>
      </c>
      <c r="M344" s="6">
        <v>7497000</v>
      </c>
      <c r="N344" s="17">
        <v>6815454.5454545449</v>
      </c>
      <c r="O344" s="17">
        <v>4941204.5454545449</v>
      </c>
      <c r="P344" t="s">
        <v>225</v>
      </c>
      <c r="Q344" t="s">
        <v>226</v>
      </c>
    </row>
    <row r="345" spans="1:17" x14ac:dyDescent="0.35">
      <c r="A345" t="str">
        <f>_xlfn.XLOOKUP(B345,Mapping!C:C,Mapping!D:D)</f>
        <v>Dept Store</v>
      </c>
      <c r="B345" s="2" t="s">
        <v>167</v>
      </c>
      <c r="C345" s="2">
        <v>0</v>
      </c>
      <c r="D345" s="3">
        <v>46188</v>
      </c>
      <c r="E345" s="4">
        <v>46194</v>
      </c>
      <c r="F345" s="5">
        <v>7</v>
      </c>
      <c r="G345" s="2" t="s">
        <v>87</v>
      </c>
      <c r="H345" s="17">
        <v>219900</v>
      </c>
      <c r="I345" s="18">
        <v>199900</v>
      </c>
      <c r="J345" s="17">
        <v>179900</v>
      </c>
      <c r="K345" s="17">
        <v>219900</v>
      </c>
      <c r="L345" s="6">
        <v>5</v>
      </c>
      <c r="M345" s="6">
        <v>1099500</v>
      </c>
      <c r="N345" s="17">
        <v>999545.45454545435</v>
      </c>
      <c r="O345" s="17">
        <v>724670.45454545435</v>
      </c>
      <c r="P345" t="s">
        <v>225</v>
      </c>
      <c r="Q345" t="s">
        <v>226</v>
      </c>
    </row>
    <row r="346" spans="1:17" x14ac:dyDescent="0.35">
      <c r="A346" t="str">
        <f>_xlfn.XLOOKUP(B346,Mapping!C:C,Mapping!D:D)</f>
        <v>Dept Store</v>
      </c>
      <c r="B346" s="2" t="s">
        <v>167</v>
      </c>
      <c r="C346" s="2">
        <v>0</v>
      </c>
      <c r="D346" s="3">
        <v>46188</v>
      </c>
      <c r="E346" s="4">
        <v>46194</v>
      </c>
      <c r="F346" s="5">
        <v>7</v>
      </c>
      <c r="G346" s="2" t="s">
        <v>36</v>
      </c>
      <c r="H346" s="17">
        <v>469900</v>
      </c>
      <c r="I346" s="18">
        <v>399900</v>
      </c>
      <c r="J346" s="17">
        <v>389900</v>
      </c>
      <c r="K346" s="17">
        <v>469900</v>
      </c>
      <c r="L346" s="6">
        <v>5</v>
      </c>
      <c r="M346" s="6">
        <v>2349500</v>
      </c>
      <c r="N346" s="17">
        <v>2135909.0909090908</v>
      </c>
      <c r="O346" s="17">
        <v>1548534.0909090908</v>
      </c>
      <c r="P346" t="s">
        <v>213</v>
      </c>
      <c r="Q346" t="s">
        <v>222</v>
      </c>
    </row>
    <row r="347" spans="1:17" x14ac:dyDescent="0.35">
      <c r="A347" t="str">
        <f>_xlfn.XLOOKUP(B347,Mapping!C:C,Mapping!D:D)</f>
        <v>Dept Store</v>
      </c>
      <c r="B347" s="2" t="s">
        <v>167</v>
      </c>
      <c r="C347" s="2">
        <v>0</v>
      </c>
      <c r="D347" s="3">
        <v>46188</v>
      </c>
      <c r="E347" s="4">
        <v>46194</v>
      </c>
      <c r="F347" s="5">
        <v>7</v>
      </c>
      <c r="G347" s="2" t="s">
        <v>111</v>
      </c>
      <c r="H347" s="17">
        <v>249900</v>
      </c>
      <c r="I347" s="18">
        <v>219900</v>
      </c>
      <c r="J347" s="17">
        <v>199900</v>
      </c>
      <c r="K347" s="17">
        <v>249900</v>
      </c>
      <c r="L347" s="6">
        <v>10</v>
      </c>
      <c r="M347" s="6">
        <v>2499000</v>
      </c>
      <c r="N347" s="17">
        <v>2271818.1818181816</v>
      </c>
      <c r="O347" s="17">
        <v>1647068.1818181816</v>
      </c>
      <c r="P347" t="s">
        <v>225</v>
      </c>
      <c r="Q347" t="s">
        <v>226</v>
      </c>
    </row>
    <row r="348" spans="1:17" x14ac:dyDescent="0.35">
      <c r="A348" t="str">
        <f>_xlfn.XLOOKUP(B348,Mapping!C:C,Mapping!D:D)</f>
        <v>Dept Store</v>
      </c>
      <c r="B348" s="2" t="s">
        <v>167</v>
      </c>
      <c r="C348" s="2">
        <v>0</v>
      </c>
      <c r="D348" s="3">
        <v>46188</v>
      </c>
      <c r="E348" s="4">
        <v>46194</v>
      </c>
      <c r="F348" s="5">
        <v>7</v>
      </c>
      <c r="G348" s="2" t="s">
        <v>92</v>
      </c>
      <c r="H348" s="17">
        <v>119900</v>
      </c>
      <c r="I348" s="18">
        <v>99900</v>
      </c>
      <c r="J348" s="17">
        <v>84900</v>
      </c>
      <c r="K348" s="17">
        <v>119900</v>
      </c>
      <c r="L348" s="6">
        <v>5</v>
      </c>
      <c r="M348" s="6">
        <v>599500</v>
      </c>
      <c r="N348" s="17">
        <v>544999.99999999988</v>
      </c>
      <c r="O348" s="17">
        <v>395124.99999999988</v>
      </c>
      <c r="P348" t="s">
        <v>211</v>
      </c>
      <c r="Q348" t="s">
        <v>231</v>
      </c>
    </row>
    <row r="349" spans="1:17" x14ac:dyDescent="0.35">
      <c r="A349" t="str">
        <f>_xlfn.XLOOKUP(B349,Mapping!C:C,Mapping!D:D)</f>
        <v>Dept Store</v>
      </c>
      <c r="B349" s="2" t="s">
        <v>167</v>
      </c>
      <c r="C349" s="2">
        <v>0</v>
      </c>
      <c r="D349" s="3">
        <v>46188</v>
      </c>
      <c r="E349" s="4">
        <v>46194</v>
      </c>
      <c r="F349" s="5">
        <v>7</v>
      </c>
      <c r="G349" s="2" t="s">
        <v>93</v>
      </c>
      <c r="H349" s="17">
        <v>119900</v>
      </c>
      <c r="I349" s="18">
        <v>99900</v>
      </c>
      <c r="J349" s="17">
        <v>84900</v>
      </c>
      <c r="K349" s="17">
        <v>119900</v>
      </c>
      <c r="L349" s="6">
        <v>5</v>
      </c>
      <c r="M349" s="6">
        <v>599500</v>
      </c>
      <c r="N349" s="17">
        <v>544999.99999999988</v>
      </c>
      <c r="O349" s="17">
        <v>395124.99999999988</v>
      </c>
      <c r="P349" t="s">
        <v>211</v>
      </c>
      <c r="Q349" t="s">
        <v>231</v>
      </c>
    </row>
    <row r="350" spans="1:17" x14ac:dyDescent="0.35">
      <c r="A350" t="str">
        <f>_xlfn.XLOOKUP(B350,Mapping!C:C,Mapping!D:D)</f>
        <v>Dept Store</v>
      </c>
      <c r="B350" s="2" t="s">
        <v>167</v>
      </c>
      <c r="C350" s="2">
        <v>0</v>
      </c>
      <c r="D350" s="3">
        <v>46188</v>
      </c>
      <c r="E350" s="4">
        <v>46194</v>
      </c>
      <c r="F350" s="5">
        <v>7</v>
      </c>
      <c r="G350" s="2" t="s">
        <v>96</v>
      </c>
      <c r="H350" s="17">
        <v>139900</v>
      </c>
      <c r="I350" s="18">
        <v>119900</v>
      </c>
      <c r="J350" s="17">
        <v>99900</v>
      </c>
      <c r="K350" s="17">
        <v>119900</v>
      </c>
      <c r="L350" s="6">
        <v>5</v>
      </c>
      <c r="M350" s="6">
        <v>599500</v>
      </c>
      <c r="N350" s="17">
        <v>635909.09090909082</v>
      </c>
      <c r="O350" s="17">
        <v>461034.09090909082</v>
      </c>
      <c r="P350" t="s">
        <v>213</v>
      </c>
      <c r="Q350" t="s">
        <v>230</v>
      </c>
    </row>
    <row r="351" spans="1:17" x14ac:dyDescent="0.35">
      <c r="A351" t="str">
        <f>_xlfn.XLOOKUP(B351,Mapping!C:C,Mapping!D:D)</f>
        <v>Dept Store</v>
      </c>
      <c r="B351" s="2" t="s">
        <v>167</v>
      </c>
      <c r="C351" s="2">
        <v>0</v>
      </c>
      <c r="D351" s="3">
        <v>46188</v>
      </c>
      <c r="E351" s="4">
        <v>46194</v>
      </c>
      <c r="F351" s="5">
        <v>7</v>
      </c>
      <c r="G351" s="2" t="s">
        <v>98</v>
      </c>
      <c r="H351" s="17">
        <v>219900</v>
      </c>
      <c r="I351" s="18">
        <v>199900</v>
      </c>
      <c r="J351" s="17">
        <v>179900</v>
      </c>
      <c r="K351" s="17">
        <v>219900</v>
      </c>
      <c r="L351" s="6">
        <v>5</v>
      </c>
      <c r="M351" s="6">
        <v>1099500</v>
      </c>
      <c r="N351" s="17">
        <v>999545.45454545435</v>
      </c>
      <c r="O351" s="17">
        <v>724670.45454545435</v>
      </c>
      <c r="P351" t="s">
        <v>225</v>
      </c>
      <c r="Q351" t="s">
        <v>226</v>
      </c>
    </row>
    <row r="352" spans="1:17" x14ac:dyDescent="0.35">
      <c r="A352" t="str">
        <f>_xlfn.XLOOKUP(B352,Mapping!C:C,Mapping!D:D)</f>
        <v>Dept Store</v>
      </c>
      <c r="B352" s="7" t="s">
        <v>167</v>
      </c>
      <c r="C352" s="2">
        <v>0</v>
      </c>
      <c r="D352" s="3">
        <v>46188</v>
      </c>
      <c r="E352" s="4">
        <v>46194</v>
      </c>
      <c r="F352" s="5">
        <v>7</v>
      </c>
      <c r="G352" s="2" t="s">
        <v>99</v>
      </c>
      <c r="H352" s="17">
        <v>219900</v>
      </c>
      <c r="I352" s="18">
        <v>199900</v>
      </c>
      <c r="J352" s="17">
        <v>179900</v>
      </c>
      <c r="K352" s="17">
        <v>219900</v>
      </c>
      <c r="L352" s="6">
        <v>10</v>
      </c>
      <c r="M352" s="6">
        <v>2199000</v>
      </c>
      <c r="N352" s="17">
        <v>1999090.9090909087</v>
      </c>
      <c r="O352" s="17">
        <v>1449340.9090909087</v>
      </c>
      <c r="P352" t="s">
        <v>225</v>
      </c>
      <c r="Q352" t="s">
        <v>226</v>
      </c>
    </row>
    <row r="353" spans="1:17" x14ac:dyDescent="0.35">
      <c r="A353" t="str">
        <f>_xlfn.XLOOKUP(B353,Mapping!C:C,Mapping!D:D)</f>
        <v>other Online malls</v>
      </c>
      <c r="B353" s="2" t="s">
        <v>292</v>
      </c>
      <c r="C353" s="2" t="s">
        <v>169</v>
      </c>
      <c r="D353" s="3">
        <v>46174</v>
      </c>
      <c r="E353" s="4">
        <v>46176</v>
      </c>
      <c r="F353" s="5">
        <v>3</v>
      </c>
      <c r="G353" s="2" t="s">
        <v>32</v>
      </c>
      <c r="H353" s="17">
        <v>349900</v>
      </c>
      <c r="I353" s="18">
        <v>299900</v>
      </c>
      <c r="J353" s="17">
        <v>269900</v>
      </c>
      <c r="K353" s="17">
        <v>269001</v>
      </c>
      <c r="L353" s="6">
        <v>39.5</v>
      </c>
      <c r="M353" s="6">
        <v>10625539.5</v>
      </c>
      <c r="N353" s="17">
        <v>9659581.3636363633</v>
      </c>
      <c r="O353" s="17">
        <v>9659581.3636363633</v>
      </c>
      <c r="P353" t="s">
        <v>211</v>
      </c>
      <c r="Q353" t="s">
        <v>224</v>
      </c>
    </row>
    <row r="354" spans="1:17" x14ac:dyDescent="0.35">
      <c r="A354" t="str">
        <f>_xlfn.XLOOKUP(B354,Mapping!C:C,Mapping!D:D)</f>
        <v>other Online malls</v>
      </c>
      <c r="B354" s="2" t="s">
        <v>292</v>
      </c>
      <c r="C354" s="2" t="s">
        <v>169</v>
      </c>
      <c r="D354" s="3">
        <v>46174</v>
      </c>
      <c r="E354" s="4">
        <v>46176</v>
      </c>
      <c r="F354" s="5">
        <v>3</v>
      </c>
      <c r="G354" s="2" t="s">
        <v>87</v>
      </c>
      <c r="H354" s="17">
        <v>219900</v>
      </c>
      <c r="I354" s="18">
        <v>199900</v>
      </c>
      <c r="J354" s="17">
        <v>179900</v>
      </c>
      <c r="K354" s="17">
        <v>199005</v>
      </c>
      <c r="L354" s="6">
        <v>16</v>
      </c>
      <c r="M354" s="6">
        <v>3184080</v>
      </c>
      <c r="N354" s="17">
        <v>2894618.1818181816</v>
      </c>
      <c r="O354" s="17">
        <v>2894618.1818181816</v>
      </c>
      <c r="P354" t="s">
        <v>225</v>
      </c>
      <c r="Q354" t="s">
        <v>226</v>
      </c>
    </row>
    <row r="355" spans="1:17" x14ac:dyDescent="0.35">
      <c r="A355" t="str">
        <f>_xlfn.XLOOKUP(B355,Mapping!C:C,Mapping!D:D)</f>
        <v>other Online malls</v>
      </c>
      <c r="B355" s="2" t="s">
        <v>292</v>
      </c>
      <c r="C355" s="2" t="s">
        <v>169</v>
      </c>
      <c r="D355" s="3">
        <v>46174</v>
      </c>
      <c r="E355" s="4">
        <v>46176</v>
      </c>
      <c r="F355" s="5">
        <v>3</v>
      </c>
      <c r="G355" s="2" t="s">
        <v>91</v>
      </c>
      <c r="H355" s="17">
        <v>219900</v>
      </c>
      <c r="I355" s="18">
        <v>199900</v>
      </c>
      <c r="J355" s="17">
        <v>179900</v>
      </c>
      <c r="K355" s="17">
        <v>199005</v>
      </c>
      <c r="L355" s="6">
        <v>15.333333333333334</v>
      </c>
      <c r="M355" s="6">
        <v>3051410</v>
      </c>
      <c r="N355" s="17">
        <v>2774009.0909090908</v>
      </c>
      <c r="O355" s="17">
        <v>2774009.0909090908</v>
      </c>
      <c r="P355" t="s">
        <v>225</v>
      </c>
      <c r="Q355" t="s">
        <v>226</v>
      </c>
    </row>
    <row r="356" spans="1:17" x14ac:dyDescent="0.35">
      <c r="A356" t="str">
        <f>_xlfn.XLOOKUP(B356,Mapping!C:C,Mapping!D:D)</f>
        <v>other Online malls</v>
      </c>
      <c r="B356" s="2" t="s">
        <v>292</v>
      </c>
      <c r="C356" s="2" t="s">
        <v>169</v>
      </c>
      <c r="D356" s="3">
        <v>46174</v>
      </c>
      <c r="E356" s="4">
        <v>46176</v>
      </c>
      <c r="F356" s="5">
        <v>3</v>
      </c>
      <c r="G356" s="2" t="s">
        <v>99</v>
      </c>
      <c r="H356" s="17">
        <v>219900</v>
      </c>
      <c r="I356" s="18">
        <v>199900</v>
      </c>
      <c r="J356" s="17">
        <v>179900</v>
      </c>
      <c r="K356" s="17">
        <v>199005</v>
      </c>
      <c r="L356" s="6">
        <v>17.166666666666668</v>
      </c>
      <c r="M356" s="6">
        <v>3416252.5000000005</v>
      </c>
      <c r="N356" s="17">
        <v>3105684.0909090908</v>
      </c>
      <c r="O356" s="17">
        <v>3105684.0909090908</v>
      </c>
      <c r="P356" t="s">
        <v>225</v>
      </c>
      <c r="Q356" t="s">
        <v>226</v>
      </c>
    </row>
    <row r="357" spans="1:17" x14ac:dyDescent="0.35">
      <c r="A357" t="str">
        <f>_xlfn.XLOOKUP(B357,Mapping!C:C,Mapping!D:D)</f>
        <v>other Online malls</v>
      </c>
      <c r="B357" s="2" t="s">
        <v>292</v>
      </c>
      <c r="C357" s="2" t="s">
        <v>169</v>
      </c>
      <c r="D357" s="3">
        <v>46174</v>
      </c>
      <c r="E357" s="4">
        <v>46176</v>
      </c>
      <c r="F357" s="5">
        <v>3</v>
      </c>
      <c r="G357" s="2" t="s">
        <v>104</v>
      </c>
      <c r="H357" s="17">
        <v>799000</v>
      </c>
      <c r="I357" s="18">
        <v>0</v>
      </c>
      <c r="J357" s="17">
        <v>649000</v>
      </c>
      <c r="K357" s="17">
        <v>649004</v>
      </c>
      <c r="L357" s="6">
        <v>0</v>
      </c>
      <c r="M357" s="6">
        <v>0</v>
      </c>
      <c r="N357" s="17">
        <v>0</v>
      </c>
      <c r="O357" s="17">
        <v>0</v>
      </c>
      <c r="P357" t="s">
        <v>213</v>
      </c>
      <c r="Q357" t="s">
        <v>221</v>
      </c>
    </row>
    <row r="358" spans="1:17" x14ac:dyDescent="0.35">
      <c r="A358" t="str">
        <f>_xlfn.XLOOKUP(B358,Mapping!C:C,Mapping!D:D)</f>
        <v>other Online malls</v>
      </c>
      <c r="B358" s="2" t="s">
        <v>292</v>
      </c>
      <c r="C358" s="2" t="s">
        <v>169</v>
      </c>
      <c r="D358" s="3">
        <v>46174</v>
      </c>
      <c r="E358" s="4">
        <v>46178</v>
      </c>
      <c r="F358" s="5">
        <v>5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799003</v>
      </c>
      <c r="L358" s="6">
        <v>46</v>
      </c>
      <c r="M358" s="6">
        <v>36754138</v>
      </c>
      <c r="N358" s="17">
        <v>33412852.727272723</v>
      </c>
      <c r="O358" s="17">
        <v>33412852.727272723</v>
      </c>
      <c r="P358" t="s">
        <v>213</v>
      </c>
      <c r="Q358" t="s">
        <v>220</v>
      </c>
    </row>
    <row r="359" spans="1:17" x14ac:dyDescent="0.35">
      <c r="A359" t="str">
        <f>_xlfn.XLOOKUP(B359,Mapping!C:C,Mapping!D:D)</f>
        <v>other Online malls</v>
      </c>
      <c r="B359" s="2" t="s">
        <v>292</v>
      </c>
      <c r="C359" s="2" t="s">
        <v>169</v>
      </c>
      <c r="D359" s="3">
        <v>46174</v>
      </c>
      <c r="E359" s="4">
        <v>46178</v>
      </c>
      <c r="F359" s="5">
        <v>5</v>
      </c>
      <c r="G359" s="2" t="s">
        <v>26</v>
      </c>
      <c r="H359" s="17">
        <v>899000</v>
      </c>
      <c r="I359" s="18">
        <v>849000</v>
      </c>
      <c r="J359" s="17">
        <v>799000</v>
      </c>
      <c r="K359" s="17">
        <v>849003</v>
      </c>
      <c r="L359" s="6">
        <v>28</v>
      </c>
      <c r="M359" s="6">
        <v>23772084</v>
      </c>
      <c r="N359" s="17">
        <v>21610985.454545453</v>
      </c>
      <c r="O359" s="17">
        <v>21610985.454545453</v>
      </c>
      <c r="P359" t="s">
        <v>213</v>
      </c>
      <c r="Q359" t="s">
        <v>221</v>
      </c>
    </row>
    <row r="360" spans="1:17" x14ac:dyDescent="0.35">
      <c r="A360" t="str">
        <f>_xlfn.XLOOKUP(B360,Mapping!C:C,Mapping!D:D)</f>
        <v>other Online malls</v>
      </c>
      <c r="B360" s="2" t="s">
        <v>292</v>
      </c>
      <c r="C360" s="2" t="s">
        <v>169</v>
      </c>
      <c r="D360" s="3">
        <v>46174</v>
      </c>
      <c r="E360" s="4">
        <v>46178</v>
      </c>
      <c r="F360" s="5">
        <v>5</v>
      </c>
      <c r="G360" s="2" t="s">
        <v>28</v>
      </c>
      <c r="H360" s="17">
        <v>299900</v>
      </c>
      <c r="I360" s="18">
        <v>199900</v>
      </c>
      <c r="J360" s="17">
        <v>199900</v>
      </c>
      <c r="K360" s="17">
        <v>199005</v>
      </c>
      <c r="L360" s="6">
        <v>4</v>
      </c>
      <c r="M360" s="6">
        <v>796020</v>
      </c>
      <c r="N360" s="17">
        <v>723654.54545454541</v>
      </c>
      <c r="O360" s="17">
        <v>723654.54545454541</v>
      </c>
      <c r="P360" t="s">
        <v>213</v>
      </c>
      <c r="Q360" t="s">
        <v>222</v>
      </c>
    </row>
    <row r="361" spans="1:17" x14ac:dyDescent="0.35">
      <c r="A361" t="str">
        <f>_xlfn.XLOOKUP(B361,Mapping!C:C,Mapping!D:D)</f>
        <v>other Online malls</v>
      </c>
      <c r="B361" s="2" t="s">
        <v>292</v>
      </c>
      <c r="C361" s="2" t="s">
        <v>169</v>
      </c>
      <c r="D361" s="3">
        <v>46174</v>
      </c>
      <c r="E361" s="4">
        <v>46178</v>
      </c>
      <c r="F361" s="5">
        <v>5</v>
      </c>
      <c r="G361" s="2" t="s">
        <v>29</v>
      </c>
      <c r="H361" s="17">
        <v>349900</v>
      </c>
      <c r="I361" s="18">
        <v>299900</v>
      </c>
      <c r="J361" s="17">
        <v>279900</v>
      </c>
      <c r="K361" s="17">
        <v>279908</v>
      </c>
      <c r="L361" s="6">
        <v>11</v>
      </c>
      <c r="M361" s="6">
        <v>3078988</v>
      </c>
      <c r="N361" s="17">
        <v>2799079.9999999995</v>
      </c>
      <c r="O361" s="17">
        <v>2799079.9999999995</v>
      </c>
      <c r="P361" t="s">
        <v>215</v>
      </c>
      <c r="Q361" t="s">
        <v>223</v>
      </c>
    </row>
    <row r="362" spans="1:17" x14ac:dyDescent="0.35">
      <c r="A362" t="str">
        <f>_xlfn.XLOOKUP(B362,Mapping!C:C,Mapping!D:D)</f>
        <v>other Online malls</v>
      </c>
      <c r="B362" s="2" t="s">
        <v>292</v>
      </c>
      <c r="C362" s="2" t="s">
        <v>169</v>
      </c>
      <c r="D362" s="3">
        <v>46174</v>
      </c>
      <c r="E362" s="4">
        <v>46178</v>
      </c>
      <c r="F362" s="5">
        <v>5</v>
      </c>
      <c r="G362" s="2" t="s">
        <v>107</v>
      </c>
      <c r="H362" s="17">
        <v>849000</v>
      </c>
      <c r="I362" s="18">
        <v>749000</v>
      </c>
      <c r="J362" s="17">
        <v>699000</v>
      </c>
      <c r="K362" s="17">
        <v>749003</v>
      </c>
      <c r="L362" s="6">
        <v>17</v>
      </c>
      <c r="M362" s="6">
        <v>12733051</v>
      </c>
      <c r="N362" s="17">
        <v>11575500.909090908</v>
      </c>
      <c r="O362" s="17">
        <v>11575500.909090908</v>
      </c>
      <c r="P362" t="s">
        <v>213</v>
      </c>
      <c r="Q362" t="s">
        <v>220</v>
      </c>
    </row>
    <row r="363" spans="1:17" x14ac:dyDescent="0.35">
      <c r="A363" t="str">
        <f>_xlfn.XLOOKUP(B363,Mapping!C:C,Mapping!D:D)</f>
        <v>other Online malls</v>
      </c>
      <c r="B363" s="2" t="s">
        <v>292</v>
      </c>
      <c r="C363" s="2" t="s">
        <v>169</v>
      </c>
      <c r="D363" s="3">
        <v>46174</v>
      </c>
      <c r="E363" s="4">
        <v>46178</v>
      </c>
      <c r="F363" s="5">
        <v>5</v>
      </c>
      <c r="G363" s="2" t="s">
        <v>86</v>
      </c>
      <c r="H363" s="17">
        <v>149900</v>
      </c>
      <c r="I363" s="18">
        <v>139900</v>
      </c>
      <c r="J363" s="17">
        <v>129900</v>
      </c>
      <c r="K363" s="17">
        <v>129908</v>
      </c>
      <c r="L363" s="6">
        <v>19.666666666666668</v>
      </c>
      <c r="M363" s="6">
        <v>2554857.3333333335</v>
      </c>
      <c r="N363" s="17">
        <v>2322597.5757575757</v>
      </c>
      <c r="O363" s="17">
        <v>2322597.5757575757</v>
      </c>
      <c r="P363" t="s">
        <v>211</v>
      </c>
      <c r="Q363" t="s">
        <v>231</v>
      </c>
    </row>
    <row r="364" spans="1:17" x14ac:dyDescent="0.35">
      <c r="A364" t="str">
        <f>_xlfn.XLOOKUP(B364,Mapping!C:C,Mapping!D:D)</f>
        <v>other Online malls</v>
      </c>
      <c r="B364" s="2" t="s">
        <v>292</v>
      </c>
      <c r="C364" s="2" t="s">
        <v>169</v>
      </c>
      <c r="D364" s="3">
        <v>46174</v>
      </c>
      <c r="E364" s="4">
        <v>46178</v>
      </c>
      <c r="F364" s="5">
        <v>5</v>
      </c>
      <c r="G364" s="2" t="s">
        <v>35</v>
      </c>
      <c r="H364" s="17">
        <v>749000</v>
      </c>
      <c r="I364" s="18">
        <v>549000</v>
      </c>
      <c r="J364" s="17">
        <v>549000</v>
      </c>
      <c r="K364" s="17">
        <v>549004</v>
      </c>
      <c r="L364" s="6">
        <v>17</v>
      </c>
      <c r="M364" s="6">
        <v>9333068</v>
      </c>
      <c r="N364" s="17">
        <v>8484607.2727272715</v>
      </c>
      <c r="O364" s="17">
        <v>8484607.2727272715</v>
      </c>
      <c r="P364" t="s">
        <v>213</v>
      </c>
      <c r="Q364" t="s">
        <v>221</v>
      </c>
    </row>
    <row r="365" spans="1:17" x14ac:dyDescent="0.35">
      <c r="A365" t="str">
        <f>_xlfn.XLOOKUP(B365,Mapping!C:C,Mapping!D:D)</f>
        <v>other Online malls</v>
      </c>
      <c r="B365" s="2" t="s">
        <v>292</v>
      </c>
      <c r="C365" s="2" t="s">
        <v>169</v>
      </c>
      <c r="D365" s="3">
        <v>46174</v>
      </c>
      <c r="E365" s="4">
        <v>46178</v>
      </c>
      <c r="F365" s="5">
        <v>5</v>
      </c>
      <c r="G365" s="2" t="s">
        <v>90</v>
      </c>
      <c r="H365" s="17">
        <v>149900</v>
      </c>
      <c r="I365" s="18">
        <v>139900</v>
      </c>
      <c r="J365" s="17">
        <v>129900</v>
      </c>
      <c r="K365" s="17">
        <v>129908</v>
      </c>
      <c r="L365" s="6">
        <v>17.333333333333332</v>
      </c>
      <c r="M365" s="6">
        <v>2251738.6666666665</v>
      </c>
      <c r="N365" s="17">
        <v>2047035.1515151511</v>
      </c>
      <c r="O365" s="17">
        <v>2047035.1515151511</v>
      </c>
      <c r="P365" t="s">
        <v>211</v>
      </c>
      <c r="Q365" t="s">
        <v>231</v>
      </c>
    </row>
    <row r="366" spans="1:17" x14ac:dyDescent="0.35">
      <c r="A366" t="str">
        <f>_xlfn.XLOOKUP(B366,Mapping!C:C,Mapping!D:D)</f>
        <v>other Online malls</v>
      </c>
      <c r="B366" s="2" t="s">
        <v>292</v>
      </c>
      <c r="C366" s="2" t="s">
        <v>169</v>
      </c>
      <c r="D366" s="3">
        <v>46174</v>
      </c>
      <c r="E366" s="4">
        <v>46178</v>
      </c>
      <c r="F366" s="5">
        <v>5</v>
      </c>
      <c r="G366" s="2" t="s">
        <v>37</v>
      </c>
      <c r="H366" s="17">
        <v>229900</v>
      </c>
      <c r="I366" s="18">
        <v>199900</v>
      </c>
      <c r="J366" s="17">
        <v>179900</v>
      </c>
      <c r="K366" s="17">
        <v>199904</v>
      </c>
      <c r="L366" s="6">
        <v>8</v>
      </c>
      <c r="M366" s="6">
        <v>1599232</v>
      </c>
      <c r="N366" s="17">
        <v>1453847.2727272727</v>
      </c>
      <c r="O366" s="17">
        <v>1453847.2727272727</v>
      </c>
      <c r="P366" t="s">
        <v>215</v>
      </c>
      <c r="Q366" t="s">
        <v>223</v>
      </c>
    </row>
    <row r="367" spans="1:17" x14ac:dyDescent="0.35">
      <c r="A367" t="str">
        <f>_xlfn.XLOOKUP(B367,Mapping!C:C,Mapping!D:D)</f>
        <v>other Online malls</v>
      </c>
      <c r="B367" s="2" t="s">
        <v>292</v>
      </c>
      <c r="C367" s="2" t="s">
        <v>169</v>
      </c>
      <c r="D367" s="3">
        <v>46174</v>
      </c>
      <c r="E367" s="4">
        <v>46178</v>
      </c>
      <c r="F367" s="5">
        <v>5</v>
      </c>
      <c r="G367" s="2" t="s">
        <v>38</v>
      </c>
      <c r="H367" s="17">
        <v>429900</v>
      </c>
      <c r="I367" s="18">
        <v>399900</v>
      </c>
      <c r="J367" s="17">
        <v>349900</v>
      </c>
      <c r="K367" s="17">
        <v>399904</v>
      </c>
      <c r="L367" s="6">
        <v>14</v>
      </c>
      <c r="M367" s="6">
        <v>5598656</v>
      </c>
      <c r="N367" s="17">
        <v>5089687.2727272725</v>
      </c>
      <c r="O367" s="17">
        <v>5089687.2727272725</v>
      </c>
      <c r="P367" t="s">
        <v>215</v>
      </c>
      <c r="Q367" t="s">
        <v>227</v>
      </c>
    </row>
    <row r="368" spans="1:17" x14ac:dyDescent="0.35">
      <c r="A368" t="str">
        <f>_xlfn.XLOOKUP(B368,Mapping!C:C,Mapping!D:D)</f>
        <v>other Online malls</v>
      </c>
      <c r="B368" s="2" t="s">
        <v>292</v>
      </c>
      <c r="C368" s="2" t="s">
        <v>169</v>
      </c>
      <c r="D368" s="3">
        <v>46174</v>
      </c>
      <c r="E368" s="4">
        <v>46178</v>
      </c>
      <c r="F368" s="5">
        <v>5</v>
      </c>
      <c r="G368" s="2" t="s">
        <v>39</v>
      </c>
      <c r="H368" s="17">
        <v>249900</v>
      </c>
      <c r="I368" s="18">
        <v>199900</v>
      </c>
      <c r="J368" s="17">
        <v>189900</v>
      </c>
      <c r="K368" s="17">
        <v>199904</v>
      </c>
      <c r="L368" s="6">
        <v>28</v>
      </c>
      <c r="M368" s="6">
        <v>5597312</v>
      </c>
      <c r="N368" s="17">
        <v>5088465.4545454541</v>
      </c>
      <c r="O368" s="17">
        <v>5088465.4545454541</v>
      </c>
      <c r="P368" t="s">
        <v>211</v>
      </c>
      <c r="Q368" t="s">
        <v>212</v>
      </c>
    </row>
    <row r="369" spans="1:17" x14ac:dyDescent="0.35">
      <c r="A369" t="str">
        <f>_xlfn.XLOOKUP(B369,Mapping!C:C,Mapping!D:D)</f>
        <v>other Online malls</v>
      </c>
      <c r="B369" s="2" t="s">
        <v>292</v>
      </c>
      <c r="C369" s="2" t="s">
        <v>169</v>
      </c>
      <c r="D369" s="3">
        <v>46174</v>
      </c>
      <c r="E369" s="4">
        <v>46178</v>
      </c>
      <c r="F369" s="5">
        <v>5</v>
      </c>
      <c r="G369" s="2" t="s">
        <v>101</v>
      </c>
      <c r="H369" s="17">
        <v>149900</v>
      </c>
      <c r="I369" s="18">
        <v>139900</v>
      </c>
      <c r="J369" s="17">
        <v>129900</v>
      </c>
      <c r="K369" s="17">
        <v>129908</v>
      </c>
      <c r="L369" s="6">
        <v>19.666666666666668</v>
      </c>
      <c r="M369" s="6">
        <v>2554857.3333333335</v>
      </c>
      <c r="N369" s="17">
        <v>2322597.5757575757</v>
      </c>
      <c r="O369" s="17">
        <v>2322597.5757575757</v>
      </c>
      <c r="P369" t="s">
        <v>211</v>
      </c>
      <c r="Q369" t="s">
        <v>231</v>
      </c>
    </row>
    <row r="370" spans="1:17" x14ac:dyDescent="0.35">
      <c r="A370" t="str">
        <f>_xlfn.XLOOKUP(B370,Mapping!C:C,Mapping!D:D)</f>
        <v>other Online malls</v>
      </c>
      <c r="B370" s="2" t="s">
        <v>292</v>
      </c>
      <c r="C370" s="2" t="s">
        <v>169</v>
      </c>
      <c r="D370" s="3">
        <v>46174</v>
      </c>
      <c r="E370" s="4">
        <v>46178</v>
      </c>
      <c r="F370" s="5">
        <v>5</v>
      </c>
      <c r="G370" s="2" t="s">
        <v>102</v>
      </c>
      <c r="H370" s="17">
        <v>149900</v>
      </c>
      <c r="I370" s="18">
        <v>139900</v>
      </c>
      <c r="J370" s="17">
        <v>129900</v>
      </c>
      <c r="K370" s="17">
        <v>129908</v>
      </c>
      <c r="L370" s="6">
        <v>16.333333333333332</v>
      </c>
      <c r="M370" s="6">
        <v>2121830.6666666665</v>
      </c>
      <c r="N370" s="17">
        <v>1928936.9696969695</v>
      </c>
      <c r="O370" s="17">
        <v>1928936.9696969695</v>
      </c>
      <c r="P370" t="s">
        <v>211</v>
      </c>
      <c r="Q370" t="s">
        <v>231</v>
      </c>
    </row>
    <row r="371" spans="1:17" x14ac:dyDescent="0.35">
      <c r="A371" t="str">
        <f>_xlfn.XLOOKUP(B371,Mapping!C:C,Mapping!D:D)</f>
        <v>other Online malls</v>
      </c>
      <c r="B371" s="2" t="s">
        <v>292</v>
      </c>
      <c r="C371" s="2" t="s">
        <v>169</v>
      </c>
      <c r="D371" s="3">
        <v>46174</v>
      </c>
      <c r="E371" s="4">
        <v>46178</v>
      </c>
      <c r="F371" s="5">
        <v>5</v>
      </c>
      <c r="G371" s="2" t="s">
        <v>103</v>
      </c>
      <c r="H371" s="17">
        <v>149900</v>
      </c>
      <c r="I371" s="18">
        <v>139900</v>
      </c>
      <c r="J371" s="17">
        <v>129900</v>
      </c>
      <c r="K371" s="17">
        <v>129908</v>
      </c>
      <c r="L371" s="6">
        <v>19.666666666666668</v>
      </c>
      <c r="M371" s="6">
        <v>2554857.3333333335</v>
      </c>
      <c r="N371" s="17">
        <v>2322597.5757575757</v>
      </c>
      <c r="O371" s="17">
        <v>2322597.5757575757</v>
      </c>
      <c r="P371" t="s">
        <v>211</v>
      </c>
      <c r="Q371" t="s">
        <v>231</v>
      </c>
    </row>
    <row r="372" spans="1:17" x14ac:dyDescent="0.35">
      <c r="A372" t="str">
        <f>_xlfn.XLOOKUP(B372,Mapping!C:C,Mapping!D:D)</f>
        <v>other Online malls</v>
      </c>
      <c r="B372" s="2" t="s">
        <v>292</v>
      </c>
      <c r="C372" s="2" t="s">
        <v>170</v>
      </c>
      <c r="D372" s="3">
        <v>46181</v>
      </c>
      <c r="E372" s="4">
        <v>46187</v>
      </c>
      <c r="F372" s="5">
        <v>7</v>
      </c>
      <c r="G372" s="2" t="s">
        <v>27</v>
      </c>
      <c r="H372" s="17">
        <v>329900</v>
      </c>
      <c r="I372" s="18">
        <v>299900</v>
      </c>
      <c r="J372" s="17">
        <v>279900</v>
      </c>
      <c r="K372" s="17">
        <v>299906</v>
      </c>
      <c r="L372" s="6">
        <v>4.333333333333333</v>
      </c>
      <c r="M372" s="6">
        <v>1299592.6666666665</v>
      </c>
      <c r="N372" s="17">
        <v>1181447.8787878787</v>
      </c>
      <c r="O372" s="17">
        <v>1181447.8787878787</v>
      </c>
      <c r="P372" t="s">
        <v>211</v>
      </c>
      <c r="Q372" t="s">
        <v>212</v>
      </c>
    </row>
    <row r="373" spans="1:17" x14ac:dyDescent="0.35">
      <c r="A373" t="str">
        <f>_xlfn.XLOOKUP(B373,Mapping!C:C,Mapping!D:D)</f>
        <v>other Online malls</v>
      </c>
      <c r="B373" s="2" t="s">
        <v>292</v>
      </c>
      <c r="C373" s="2" t="s">
        <v>170</v>
      </c>
      <c r="D373" s="3">
        <v>46181</v>
      </c>
      <c r="E373" s="4">
        <v>46187</v>
      </c>
      <c r="F373" s="5">
        <v>7</v>
      </c>
      <c r="G373" s="2" t="s">
        <v>106</v>
      </c>
      <c r="H373" s="17">
        <v>399900</v>
      </c>
      <c r="I373" s="18">
        <v>349900</v>
      </c>
      <c r="J373" s="17">
        <v>299900</v>
      </c>
      <c r="K373" s="17">
        <v>349904</v>
      </c>
      <c r="L373" s="6">
        <v>4</v>
      </c>
      <c r="M373" s="6">
        <v>1399616</v>
      </c>
      <c r="N373" s="17">
        <v>1272378.1818181816</v>
      </c>
      <c r="O373" s="17">
        <v>1272378.1818181816</v>
      </c>
      <c r="P373" t="s">
        <v>215</v>
      </c>
      <c r="Q373" t="s">
        <v>234</v>
      </c>
    </row>
    <row r="374" spans="1:17" x14ac:dyDescent="0.35">
      <c r="A374" t="str">
        <f>_xlfn.XLOOKUP(B374,Mapping!C:C,Mapping!D:D)</f>
        <v>other Online malls</v>
      </c>
      <c r="B374" s="2" t="s">
        <v>292</v>
      </c>
      <c r="C374" s="2" t="s">
        <v>170</v>
      </c>
      <c r="D374" s="3">
        <v>46181</v>
      </c>
      <c r="E374" s="4">
        <v>46187</v>
      </c>
      <c r="F374" s="5">
        <v>7</v>
      </c>
      <c r="G374" s="2" t="s">
        <v>85</v>
      </c>
      <c r="H374" s="17">
        <v>349900</v>
      </c>
      <c r="I374" s="18">
        <v>319900</v>
      </c>
      <c r="J374" s="17">
        <v>299900</v>
      </c>
      <c r="K374" s="17">
        <v>319903</v>
      </c>
      <c r="L374" s="6">
        <v>12.5</v>
      </c>
      <c r="M374" s="6">
        <v>3998787.5</v>
      </c>
      <c r="N374" s="17">
        <v>3635261.3636363633</v>
      </c>
      <c r="O374" s="17">
        <v>3635261.3636363633</v>
      </c>
      <c r="P374" t="s">
        <v>211</v>
      </c>
      <c r="Q374" t="s">
        <v>232</v>
      </c>
    </row>
    <row r="375" spans="1:17" x14ac:dyDescent="0.35">
      <c r="A375" t="str">
        <f>_xlfn.XLOOKUP(B375,Mapping!C:C,Mapping!D:D)</f>
        <v>other Online malls</v>
      </c>
      <c r="B375" s="2" t="s">
        <v>292</v>
      </c>
      <c r="C375" s="2" t="s">
        <v>170</v>
      </c>
      <c r="D375" s="3">
        <v>46181</v>
      </c>
      <c r="E375" s="4">
        <v>46187</v>
      </c>
      <c r="F375" s="5">
        <v>7</v>
      </c>
      <c r="G375" s="2" t="s">
        <v>31</v>
      </c>
      <c r="H375" s="17">
        <v>849000</v>
      </c>
      <c r="I375" s="18">
        <v>749000</v>
      </c>
      <c r="J375" s="17">
        <v>699000</v>
      </c>
      <c r="K375" s="17">
        <v>749009</v>
      </c>
      <c r="L375" s="6">
        <v>9.3333333333333339</v>
      </c>
      <c r="M375" s="6">
        <v>6990750.666666667</v>
      </c>
      <c r="N375" s="17">
        <v>6355227.8787878789</v>
      </c>
      <c r="O375" s="17">
        <v>6355227.8787878789</v>
      </c>
      <c r="P375" t="s">
        <v>213</v>
      </c>
      <c r="Q375" t="s">
        <v>221</v>
      </c>
    </row>
    <row r="376" spans="1:17" x14ac:dyDescent="0.35">
      <c r="A376" t="str">
        <f>_xlfn.XLOOKUP(B376,Mapping!C:C,Mapping!D:D)</f>
        <v>other Online malls</v>
      </c>
      <c r="B376" s="2" t="s">
        <v>292</v>
      </c>
      <c r="C376" s="2" t="s">
        <v>170</v>
      </c>
      <c r="D376" s="3">
        <v>46181</v>
      </c>
      <c r="E376" s="4">
        <v>46187</v>
      </c>
      <c r="F376" s="5">
        <v>7</v>
      </c>
      <c r="G376" s="2" t="s">
        <v>108</v>
      </c>
      <c r="H376" s="17">
        <v>199900</v>
      </c>
      <c r="I376" s="18">
        <v>179900</v>
      </c>
      <c r="J376" s="17">
        <v>169900</v>
      </c>
      <c r="K376" s="17">
        <v>179902</v>
      </c>
      <c r="L376" s="6">
        <v>2.6666666666666665</v>
      </c>
      <c r="M376" s="6">
        <v>479738.66666666663</v>
      </c>
      <c r="N376" s="17">
        <v>436126.06060606055</v>
      </c>
      <c r="O376" s="17">
        <v>436126.06060606055</v>
      </c>
      <c r="P376" t="s">
        <v>213</v>
      </c>
      <c r="Q376" t="s">
        <v>230</v>
      </c>
    </row>
    <row r="377" spans="1:17" x14ac:dyDescent="0.35">
      <c r="A377" t="str">
        <f>_xlfn.XLOOKUP(B377,Mapping!C:C,Mapping!D:D)</f>
        <v>other Online malls</v>
      </c>
      <c r="B377" s="2" t="s">
        <v>292</v>
      </c>
      <c r="C377" s="2" t="s">
        <v>170</v>
      </c>
      <c r="D377" s="3">
        <v>46181</v>
      </c>
      <c r="E377" s="4">
        <v>46187</v>
      </c>
      <c r="F377" s="5">
        <v>7</v>
      </c>
      <c r="G377" s="2" t="s">
        <v>109</v>
      </c>
      <c r="H377" s="17">
        <v>249900</v>
      </c>
      <c r="I377" s="18">
        <v>219900</v>
      </c>
      <c r="J377" s="17">
        <v>199900</v>
      </c>
      <c r="K377" s="17">
        <v>199909</v>
      </c>
      <c r="L377" s="6">
        <v>18.25</v>
      </c>
      <c r="M377" s="6">
        <v>3648339.25</v>
      </c>
      <c r="N377" s="17">
        <v>3316672.0454545449</v>
      </c>
      <c r="O377" s="17">
        <v>3316672.0454545449</v>
      </c>
      <c r="P377" t="s">
        <v>225</v>
      </c>
      <c r="Q377" t="s">
        <v>226</v>
      </c>
    </row>
    <row r="378" spans="1:17" x14ac:dyDescent="0.35">
      <c r="A378" t="str">
        <f>_xlfn.XLOOKUP(B378,Mapping!C:C,Mapping!D:D)</f>
        <v>other Online malls</v>
      </c>
      <c r="B378" s="2" t="s">
        <v>292</v>
      </c>
      <c r="C378" s="2" t="s">
        <v>170</v>
      </c>
      <c r="D378" s="3">
        <v>46181</v>
      </c>
      <c r="E378" s="4">
        <v>46187</v>
      </c>
      <c r="F378" s="5">
        <v>7</v>
      </c>
      <c r="G378" s="2" t="s">
        <v>87</v>
      </c>
      <c r="H378" s="17">
        <v>219900</v>
      </c>
      <c r="I378" s="18">
        <v>199900</v>
      </c>
      <c r="J378" s="17">
        <v>179900</v>
      </c>
      <c r="K378" s="17">
        <v>179902</v>
      </c>
      <c r="L378" s="6">
        <v>16</v>
      </c>
      <c r="M378" s="6">
        <v>2878432</v>
      </c>
      <c r="N378" s="17">
        <v>2616756.3636363633</v>
      </c>
      <c r="O378" s="17">
        <v>2616756.3636363633</v>
      </c>
      <c r="P378" t="s">
        <v>225</v>
      </c>
      <c r="Q378" t="s">
        <v>226</v>
      </c>
    </row>
    <row r="379" spans="1:17" x14ac:dyDescent="0.35">
      <c r="A379" t="str">
        <f>_xlfn.XLOOKUP(B379,Mapping!C:C,Mapping!D:D)</f>
        <v>other Online malls</v>
      </c>
      <c r="B379" s="2" t="s">
        <v>292</v>
      </c>
      <c r="C379" s="2" t="s">
        <v>170</v>
      </c>
      <c r="D379" s="3">
        <v>46181</v>
      </c>
      <c r="E379" s="4">
        <v>46187</v>
      </c>
      <c r="F379" s="5">
        <v>7</v>
      </c>
      <c r="G379" s="2" t="s">
        <v>36</v>
      </c>
      <c r="H379" s="17">
        <v>469900</v>
      </c>
      <c r="I379" s="18">
        <v>399900</v>
      </c>
      <c r="J379" s="17">
        <v>389900</v>
      </c>
      <c r="K379" s="17">
        <v>399903</v>
      </c>
      <c r="L379" s="6">
        <v>1.3333333333333333</v>
      </c>
      <c r="M379" s="6">
        <v>533204</v>
      </c>
      <c r="N379" s="17">
        <v>484730.909090909</v>
      </c>
      <c r="O379" s="17">
        <v>484730.909090909</v>
      </c>
      <c r="P379" t="s">
        <v>213</v>
      </c>
      <c r="Q379" t="s">
        <v>222</v>
      </c>
    </row>
    <row r="380" spans="1:17" x14ac:dyDescent="0.35">
      <c r="A380" t="str">
        <f>_xlfn.XLOOKUP(B380,Mapping!C:C,Mapping!D:D)</f>
        <v>other Online malls</v>
      </c>
      <c r="B380" s="2" t="s">
        <v>292</v>
      </c>
      <c r="C380" s="2" t="s">
        <v>170</v>
      </c>
      <c r="D380" s="3">
        <v>46181</v>
      </c>
      <c r="E380" s="4">
        <v>46187</v>
      </c>
      <c r="F380" s="5">
        <v>7</v>
      </c>
      <c r="G380" s="2" t="s">
        <v>91</v>
      </c>
      <c r="H380" s="17">
        <v>219900</v>
      </c>
      <c r="I380" s="18">
        <v>199900</v>
      </c>
      <c r="J380" s="17">
        <v>179900</v>
      </c>
      <c r="K380" s="17">
        <v>179902</v>
      </c>
      <c r="L380" s="6">
        <v>15.333333333333334</v>
      </c>
      <c r="M380" s="6">
        <v>2758497.3333333335</v>
      </c>
      <c r="N380" s="17">
        <v>2507724.8484848482</v>
      </c>
      <c r="O380" s="17">
        <v>2507724.8484848482</v>
      </c>
      <c r="P380" t="s">
        <v>225</v>
      </c>
      <c r="Q380" t="s">
        <v>226</v>
      </c>
    </row>
    <row r="381" spans="1:17" x14ac:dyDescent="0.35">
      <c r="A381" t="str">
        <f>_xlfn.XLOOKUP(B381,Mapping!C:C,Mapping!D:D)</f>
        <v>other Online malls</v>
      </c>
      <c r="B381" s="2" t="s">
        <v>292</v>
      </c>
      <c r="C381" s="2" t="s">
        <v>170</v>
      </c>
      <c r="D381" s="3">
        <v>46181</v>
      </c>
      <c r="E381" s="4">
        <v>46187</v>
      </c>
      <c r="F381" s="5">
        <v>7</v>
      </c>
      <c r="G381" s="2" t="s">
        <v>111</v>
      </c>
      <c r="H381" s="17">
        <v>249900</v>
      </c>
      <c r="I381" s="18">
        <v>219900</v>
      </c>
      <c r="J381" s="17">
        <v>199900</v>
      </c>
      <c r="K381" s="17">
        <v>199909</v>
      </c>
      <c r="L381" s="6">
        <v>13.25</v>
      </c>
      <c r="M381" s="6">
        <v>2648794.25</v>
      </c>
      <c r="N381" s="17">
        <v>2407994.7727272725</v>
      </c>
      <c r="O381" s="17">
        <v>2407994.7727272725</v>
      </c>
      <c r="P381" t="s">
        <v>225</v>
      </c>
      <c r="Q381" t="s">
        <v>226</v>
      </c>
    </row>
    <row r="382" spans="1:17" x14ac:dyDescent="0.35">
      <c r="A382" t="str">
        <f>_xlfn.XLOOKUP(B382,Mapping!C:C,Mapping!D:D)</f>
        <v>other Online malls</v>
      </c>
      <c r="B382" s="2" t="s">
        <v>292</v>
      </c>
      <c r="C382" s="2" t="s">
        <v>170</v>
      </c>
      <c r="D382" s="3">
        <v>46181</v>
      </c>
      <c r="E382" s="4">
        <v>46187</v>
      </c>
      <c r="F382" s="5">
        <v>7</v>
      </c>
      <c r="G382" s="2" t="s">
        <v>99</v>
      </c>
      <c r="H382" s="17">
        <v>219900</v>
      </c>
      <c r="I382" s="18">
        <v>199900</v>
      </c>
      <c r="J382" s="17">
        <v>179900</v>
      </c>
      <c r="K382" s="17">
        <v>179902</v>
      </c>
      <c r="L382" s="6">
        <v>17.166666666666668</v>
      </c>
      <c r="M382" s="6">
        <v>3088317.666666667</v>
      </c>
      <c r="N382" s="17">
        <v>2807561.5151515151</v>
      </c>
      <c r="O382" s="17">
        <v>2807561.5151515151</v>
      </c>
      <c r="P382" t="s">
        <v>225</v>
      </c>
      <c r="Q382" t="s">
        <v>226</v>
      </c>
    </row>
    <row r="383" spans="1:17" x14ac:dyDescent="0.35">
      <c r="A383" t="str">
        <f>_xlfn.XLOOKUP(B383,Mapping!C:C,Mapping!D:D)</f>
        <v>other Online malls</v>
      </c>
      <c r="B383" s="2" t="s">
        <v>292</v>
      </c>
      <c r="C383" s="2" t="s">
        <v>170</v>
      </c>
      <c r="D383" s="3">
        <v>46181</v>
      </c>
      <c r="E383" s="4">
        <v>46187</v>
      </c>
      <c r="F383" s="5">
        <v>7</v>
      </c>
      <c r="G383" s="2" t="s">
        <v>104</v>
      </c>
      <c r="H383" s="17">
        <v>799000</v>
      </c>
      <c r="I383" s="18">
        <v>0</v>
      </c>
      <c r="J383" s="17">
        <v>649000</v>
      </c>
      <c r="K383" s="17">
        <v>649002</v>
      </c>
      <c r="L383" s="6">
        <v>0</v>
      </c>
      <c r="M383" s="6">
        <v>0</v>
      </c>
      <c r="N383" s="17">
        <v>0</v>
      </c>
      <c r="O383" s="17">
        <v>0</v>
      </c>
      <c r="P383" t="s">
        <v>213</v>
      </c>
      <c r="Q383" t="s">
        <v>221</v>
      </c>
    </row>
    <row r="384" spans="1:17" x14ac:dyDescent="0.35">
      <c r="A384" t="str">
        <f>_xlfn.XLOOKUP(B384,Mapping!C:C,Mapping!D:D)</f>
        <v>other Online malls</v>
      </c>
      <c r="B384" s="2" t="s">
        <v>294</v>
      </c>
      <c r="C384" s="2" t="s">
        <v>171</v>
      </c>
      <c r="D384" s="3">
        <v>46181</v>
      </c>
      <c r="E384" s="4">
        <v>46187</v>
      </c>
      <c r="F384" s="5">
        <v>7</v>
      </c>
      <c r="G384" s="2" t="s">
        <v>27</v>
      </c>
      <c r="H384" s="17">
        <v>329900</v>
      </c>
      <c r="I384" s="18">
        <v>299900</v>
      </c>
      <c r="J384" s="17">
        <v>279900</v>
      </c>
      <c r="K384" s="17">
        <v>299900</v>
      </c>
      <c r="L384" s="6">
        <v>4.333333333333333</v>
      </c>
      <c r="M384" s="6">
        <v>1299566.6666666665</v>
      </c>
      <c r="N384" s="17">
        <v>1181424.2424242422</v>
      </c>
      <c r="O384" s="17">
        <v>1181424.2424242422</v>
      </c>
      <c r="P384" t="s">
        <v>211</v>
      </c>
      <c r="Q384" t="s">
        <v>212</v>
      </c>
    </row>
    <row r="385" spans="1:17" x14ac:dyDescent="0.35">
      <c r="A385" t="str">
        <f>_xlfn.XLOOKUP(B385,Mapping!C:C,Mapping!D:D)</f>
        <v>other Online malls</v>
      </c>
      <c r="B385" s="2" t="s">
        <v>294</v>
      </c>
      <c r="C385" s="2" t="s">
        <v>171</v>
      </c>
      <c r="D385" s="3">
        <v>46181</v>
      </c>
      <c r="E385" s="4">
        <v>46187</v>
      </c>
      <c r="F385" s="5">
        <v>7</v>
      </c>
      <c r="G385" s="2" t="s">
        <v>106</v>
      </c>
      <c r="H385" s="17">
        <v>399900</v>
      </c>
      <c r="I385" s="18">
        <v>349900</v>
      </c>
      <c r="J385" s="17">
        <v>299900</v>
      </c>
      <c r="K385" s="17">
        <v>349900</v>
      </c>
      <c r="L385" s="6">
        <v>4</v>
      </c>
      <c r="M385" s="6">
        <v>1399600</v>
      </c>
      <c r="N385" s="17">
        <v>1272363.6363636362</v>
      </c>
      <c r="O385" s="17">
        <v>1272363.6363636362</v>
      </c>
      <c r="P385" t="s">
        <v>215</v>
      </c>
      <c r="Q385" t="s">
        <v>234</v>
      </c>
    </row>
    <row r="386" spans="1:17" x14ac:dyDescent="0.35">
      <c r="A386" t="str">
        <f>_xlfn.XLOOKUP(B386,Mapping!C:C,Mapping!D:D)</f>
        <v>other Online malls</v>
      </c>
      <c r="B386" s="2" t="s">
        <v>294</v>
      </c>
      <c r="C386" s="2" t="s">
        <v>171</v>
      </c>
      <c r="D386" s="3">
        <v>46181</v>
      </c>
      <c r="E386" s="4">
        <v>46187</v>
      </c>
      <c r="F386" s="5">
        <v>7</v>
      </c>
      <c r="G386" s="2" t="s">
        <v>85</v>
      </c>
      <c r="H386" s="17">
        <v>349900</v>
      </c>
      <c r="I386" s="18">
        <v>319900</v>
      </c>
      <c r="J386" s="17">
        <v>299900</v>
      </c>
      <c r="K386" s="17">
        <v>319900</v>
      </c>
      <c r="L386" s="6">
        <v>12.5</v>
      </c>
      <c r="M386" s="6">
        <v>3998750</v>
      </c>
      <c r="N386" s="17">
        <v>3635227.2727272729</v>
      </c>
      <c r="O386" s="17">
        <v>3635227.2727272729</v>
      </c>
      <c r="P386" t="s">
        <v>211</v>
      </c>
      <c r="Q386" t="s">
        <v>232</v>
      </c>
    </row>
    <row r="387" spans="1:17" x14ac:dyDescent="0.35">
      <c r="A387" t="str">
        <f>_xlfn.XLOOKUP(B387,Mapping!C:C,Mapping!D:D)</f>
        <v>other Online malls</v>
      </c>
      <c r="B387" s="2" t="s">
        <v>294</v>
      </c>
      <c r="C387" s="2" t="s">
        <v>171</v>
      </c>
      <c r="D387" s="3">
        <v>46181</v>
      </c>
      <c r="E387" s="4">
        <v>46187</v>
      </c>
      <c r="F387" s="5">
        <v>7</v>
      </c>
      <c r="G387" s="2" t="s">
        <v>31</v>
      </c>
      <c r="H387" s="17">
        <v>849000</v>
      </c>
      <c r="I387" s="18">
        <v>749000</v>
      </c>
      <c r="J387" s="17">
        <v>699000</v>
      </c>
      <c r="K387" s="17">
        <v>749000</v>
      </c>
      <c r="L387" s="6">
        <v>9.3333333333333339</v>
      </c>
      <c r="M387" s="6">
        <v>6990666.666666667</v>
      </c>
      <c r="N387" s="17">
        <v>6355151.5151515147</v>
      </c>
      <c r="O387" s="17">
        <v>6355151.5151515147</v>
      </c>
      <c r="P387" t="s">
        <v>213</v>
      </c>
      <c r="Q387" t="s">
        <v>221</v>
      </c>
    </row>
    <row r="388" spans="1:17" x14ac:dyDescent="0.35">
      <c r="A388" t="str">
        <f>_xlfn.XLOOKUP(B388,Mapping!C:C,Mapping!D:D)</f>
        <v>other Online malls</v>
      </c>
      <c r="B388" s="2" t="s">
        <v>294</v>
      </c>
      <c r="C388" s="2" t="s">
        <v>171</v>
      </c>
      <c r="D388" s="3">
        <v>46181</v>
      </c>
      <c r="E388" s="4">
        <v>46187</v>
      </c>
      <c r="F388" s="5">
        <v>7</v>
      </c>
      <c r="G388" s="2" t="s">
        <v>108</v>
      </c>
      <c r="H388" s="17">
        <v>199900</v>
      </c>
      <c r="I388" s="18">
        <v>179900</v>
      </c>
      <c r="J388" s="17">
        <v>169900</v>
      </c>
      <c r="K388" s="17">
        <v>179900</v>
      </c>
      <c r="L388" s="6">
        <v>2.6666666666666665</v>
      </c>
      <c r="M388" s="6">
        <v>479733.33333333331</v>
      </c>
      <c r="N388" s="17">
        <v>436121.21212121204</v>
      </c>
      <c r="O388" s="17">
        <v>436121.21212121204</v>
      </c>
      <c r="P388" t="s">
        <v>213</v>
      </c>
      <c r="Q388" t="s">
        <v>230</v>
      </c>
    </row>
    <row r="389" spans="1:17" x14ac:dyDescent="0.35">
      <c r="A389" t="str">
        <f>_xlfn.XLOOKUP(B389,Mapping!C:C,Mapping!D:D)</f>
        <v>other Online malls</v>
      </c>
      <c r="B389" s="2" t="s">
        <v>294</v>
      </c>
      <c r="C389" s="2" t="s">
        <v>171</v>
      </c>
      <c r="D389" s="3">
        <v>46181</v>
      </c>
      <c r="E389" s="4">
        <v>46187</v>
      </c>
      <c r="F389" s="5">
        <v>7</v>
      </c>
      <c r="G389" s="2" t="s">
        <v>109</v>
      </c>
      <c r="H389" s="17">
        <v>249900</v>
      </c>
      <c r="I389" s="18">
        <v>219900</v>
      </c>
      <c r="J389" s="17">
        <v>199900</v>
      </c>
      <c r="K389" s="17">
        <v>199900</v>
      </c>
      <c r="L389" s="6">
        <v>18.25</v>
      </c>
      <c r="M389" s="6">
        <v>3648175</v>
      </c>
      <c r="N389" s="17">
        <v>3316522.7272727271</v>
      </c>
      <c r="O389" s="17">
        <v>3316522.7272727271</v>
      </c>
      <c r="P389" t="s">
        <v>225</v>
      </c>
      <c r="Q389" t="s">
        <v>226</v>
      </c>
    </row>
    <row r="390" spans="1:17" x14ac:dyDescent="0.35">
      <c r="A390" t="str">
        <f>_xlfn.XLOOKUP(B390,Mapping!C:C,Mapping!D:D)</f>
        <v>other Online malls</v>
      </c>
      <c r="B390" s="2" t="s">
        <v>294</v>
      </c>
      <c r="C390" s="2" t="s">
        <v>171</v>
      </c>
      <c r="D390" s="3">
        <v>46181</v>
      </c>
      <c r="E390" s="4">
        <v>46187</v>
      </c>
      <c r="F390" s="5">
        <v>7</v>
      </c>
      <c r="G390" s="2" t="s">
        <v>36</v>
      </c>
      <c r="H390" s="17">
        <v>469900</v>
      </c>
      <c r="I390" s="18">
        <v>399900</v>
      </c>
      <c r="J390" s="17">
        <v>389900</v>
      </c>
      <c r="K390" s="17">
        <v>399900</v>
      </c>
      <c r="L390" s="6">
        <v>1.3333333333333333</v>
      </c>
      <c r="M390" s="6">
        <v>533200</v>
      </c>
      <c r="N390" s="17">
        <v>484727.27272727271</v>
      </c>
      <c r="O390" s="17">
        <v>484727.27272727271</v>
      </c>
      <c r="P390" t="s">
        <v>213</v>
      </c>
      <c r="Q390" t="s">
        <v>222</v>
      </c>
    </row>
    <row r="391" spans="1:17" x14ac:dyDescent="0.35">
      <c r="A391" t="str">
        <f>_xlfn.XLOOKUP(B391,Mapping!C:C,Mapping!D:D)</f>
        <v>other Online malls</v>
      </c>
      <c r="B391" s="2" t="s">
        <v>294</v>
      </c>
      <c r="C391" s="2" t="s">
        <v>171</v>
      </c>
      <c r="D391" s="3">
        <v>46181</v>
      </c>
      <c r="E391" s="4">
        <v>46187</v>
      </c>
      <c r="F391" s="5">
        <v>7</v>
      </c>
      <c r="G391" s="2" t="s">
        <v>111</v>
      </c>
      <c r="H391" s="17">
        <v>249900</v>
      </c>
      <c r="I391" s="18">
        <v>219900</v>
      </c>
      <c r="J391" s="17">
        <v>199900</v>
      </c>
      <c r="K391" s="17">
        <v>199900</v>
      </c>
      <c r="L391" s="6">
        <v>13.25</v>
      </c>
      <c r="M391" s="6">
        <v>2648675</v>
      </c>
      <c r="N391" s="17">
        <v>2407886.3636363633</v>
      </c>
      <c r="O391" s="17">
        <v>2407886.3636363633</v>
      </c>
      <c r="P391" t="s">
        <v>225</v>
      </c>
      <c r="Q391" t="s">
        <v>226</v>
      </c>
    </row>
    <row r="392" spans="1:17" x14ac:dyDescent="0.35">
      <c r="A392" t="str">
        <f>_xlfn.XLOOKUP(B392,Mapping!C:C,Mapping!D:D)</f>
        <v>other Online malls</v>
      </c>
      <c r="B392" s="2" t="s">
        <v>294</v>
      </c>
      <c r="C392" s="2" t="s">
        <v>171</v>
      </c>
      <c r="D392" s="3">
        <v>46181</v>
      </c>
      <c r="E392" s="4">
        <v>46187</v>
      </c>
      <c r="F392" s="5">
        <v>7</v>
      </c>
      <c r="G392" s="2" t="s">
        <v>40</v>
      </c>
      <c r="H392" s="17">
        <v>349900</v>
      </c>
      <c r="I392" s="18">
        <v>319900</v>
      </c>
      <c r="J392" s="17">
        <v>299900</v>
      </c>
      <c r="K392" s="17">
        <v>299900</v>
      </c>
      <c r="L392" s="6">
        <v>7</v>
      </c>
      <c r="M392" s="6">
        <v>2099300</v>
      </c>
      <c r="N392" s="17">
        <v>1908454.5454545452</v>
      </c>
      <c r="O392" s="17">
        <v>1908454.5454545452</v>
      </c>
      <c r="P392" t="s">
        <v>211</v>
      </c>
      <c r="Q392" t="s">
        <v>228</v>
      </c>
    </row>
    <row r="393" spans="1:17" x14ac:dyDescent="0.35">
      <c r="A393" t="str">
        <f>_xlfn.XLOOKUP(B393,Mapping!C:C,Mapping!D:D)</f>
        <v>other Online malls</v>
      </c>
      <c r="B393" s="2" t="s">
        <v>294</v>
      </c>
      <c r="C393" s="2" t="s">
        <v>171</v>
      </c>
      <c r="D393" s="3">
        <v>46181</v>
      </c>
      <c r="E393" s="4">
        <v>46183</v>
      </c>
      <c r="F393" s="5">
        <v>3</v>
      </c>
      <c r="G393" s="2" t="s">
        <v>87</v>
      </c>
      <c r="H393" s="17">
        <v>219900</v>
      </c>
      <c r="I393" s="18">
        <v>199900</v>
      </c>
      <c r="J393" s="17">
        <v>179900</v>
      </c>
      <c r="K393" s="17">
        <v>179900</v>
      </c>
      <c r="L393" s="6">
        <v>16</v>
      </c>
      <c r="M393" s="6">
        <v>2878400</v>
      </c>
      <c r="N393" s="17">
        <v>2616727.2727272725</v>
      </c>
      <c r="O393" s="17">
        <v>2616727.2727272725</v>
      </c>
      <c r="P393" t="s">
        <v>225</v>
      </c>
      <c r="Q393" t="s">
        <v>226</v>
      </c>
    </row>
    <row r="394" spans="1:17" x14ac:dyDescent="0.35">
      <c r="A394" t="str">
        <f>_xlfn.XLOOKUP(B394,Mapping!C:C,Mapping!D:D)</f>
        <v>other Online malls</v>
      </c>
      <c r="B394" s="2" t="s">
        <v>294</v>
      </c>
      <c r="C394" s="2" t="s">
        <v>171</v>
      </c>
      <c r="D394" s="3">
        <v>46181</v>
      </c>
      <c r="E394" s="4">
        <v>46183</v>
      </c>
      <c r="F394" s="5">
        <v>3</v>
      </c>
      <c r="G394" s="2" t="s">
        <v>91</v>
      </c>
      <c r="H394" s="17">
        <v>219900</v>
      </c>
      <c r="I394" s="18">
        <v>199900</v>
      </c>
      <c r="J394" s="17">
        <v>179900</v>
      </c>
      <c r="K394" s="17">
        <v>179900</v>
      </c>
      <c r="L394" s="6">
        <v>15.333333333333334</v>
      </c>
      <c r="M394" s="6">
        <v>2758466.666666667</v>
      </c>
      <c r="N394" s="17">
        <v>2507696.9696969697</v>
      </c>
      <c r="O394" s="17">
        <v>2507696.9696969697</v>
      </c>
      <c r="P394" t="s">
        <v>225</v>
      </c>
      <c r="Q394" t="s">
        <v>226</v>
      </c>
    </row>
    <row r="395" spans="1:17" x14ac:dyDescent="0.35">
      <c r="A395" t="str">
        <f>_xlfn.XLOOKUP(B395,Mapping!C:C,Mapping!D:D)</f>
        <v>other Online malls</v>
      </c>
      <c r="B395" s="2" t="s">
        <v>294</v>
      </c>
      <c r="C395" s="2" t="s">
        <v>171</v>
      </c>
      <c r="D395" s="3">
        <v>46181</v>
      </c>
      <c r="E395" s="4">
        <v>46183</v>
      </c>
      <c r="F395" s="5">
        <v>3</v>
      </c>
      <c r="G395" s="2" t="s">
        <v>99</v>
      </c>
      <c r="H395" s="17">
        <v>219900</v>
      </c>
      <c r="I395" s="18">
        <v>199900</v>
      </c>
      <c r="J395" s="17">
        <v>179900</v>
      </c>
      <c r="K395" s="17">
        <v>179900</v>
      </c>
      <c r="L395" s="6">
        <v>17.166666666666668</v>
      </c>
      <c r="M395" s="6">
        <v>3088283.3333333335</v>
      </c>
      <c r="N395" s="17">
        <v>2807530.3030303027</v>
      </c>
      <c r="O395" s="17">
        <v>2807530.3030303027</v>
      </c>
      <c r="P395" t="s">
        <v>225</v>
      </c>
      <c r="Q395" t="s">
        <v>226</v>
      </c>
    </row>
    <row r="396" spans="1:17" x14ac:dyDescent="0.35">
      <c r="A396" t="str">
        <f>_xlfn.XLOOKUP(B396,Mapping!C:C,Mapping!D:D)</f>
        <v>other Online malls</v>
      </c>
      <c r="B396" s="2" t="s">
        <v>294</v>
      </c>
      <c r="C396" s="2" t="s">
        <v>171</v>
      </c>
      <c r="D396" s="3">
        <v>46181</v>
      </c>
      <c r="E396" s="4">
        <v>46183</v>
      </c>
      <c r="F396" s="5">
        <v>3</v>
      </c>
      <c r="G396" s="2" t="s">
        <v>104</v>
      </c>
      <c r="H396" s="17">
        <v>799000</v>
      </c>
      <c r="I396" s="18">
        <v>0</v>
      </c>
      <c r="J396" s="17">
        <v>649000</v>
      </c>
      <c r="K396" s="17">
        <v>649000</v>
      </c>
      <c r="L396" s="6">
        <v>0</v>
      </c>
      <c r="M396" s="6">
        <v>0</v>
      </c>
      <c r="N396" s="17">
        <v>0</v>
      </c>
      <c r="O396" s="17">
        <v>0</v>
      </c>
      <c r="P396" t="s">
        <v>213</v>
      </c>
      <c r="Q396" t="s">
        <v>221</v>
      </c>
    </row>
    <row r="397" spans="1:17" x14ac:dyDescent="0.35">
      <c r="A397" t="str">
        <f>_xlfn.XLOOKUP(B397,Mapping!C:C,Mapping!D:D)</f>
        <v>other Online malls</v>
      </c>
      <c r="B397" s="2" t="s">
        <v>298</v>
      </c>
      <c r="C397" s="2" t="s">
        <v>172</v>
      </c>
      <c r="D397" s="3">
        <v>46181</v>
      </c>
      <c r="E397" s="4">
        <v>46194</v>
      </c>
      <c r="F397" s="5">
        <v>14</v>
      </c>
      <c r="G397" s="2" t="s">
        <v>105</v>
      </c>
      <c r="H397" s="17">
        <v>299900</v>
      </c>
      <c r="I397" s="18">
        <v>269900</v>
      </c>
      <c r="J397" s="17">
        <v>249900</v>
      </c>
      <c r="K397" s="17">
        <v>269900</v>
      </c>
      <c r="L397" s="6">
        <v>18</v>
      </c>
      <c r="M397" s="6">
        <v>4858200</v>
      </c>
      <c r="N397" s="17">
        <v>4416545.4545454541</v>
      </c>
      <c r="O397" s="17">
        <v>4416545.4545454541</v>
      </c>
      <c r="P397" t="s">
        <v>211</v>
      </c>
      <c r="Q397" t="s">
        <v>232</v>
      </c>
    </row>
    <row r="398" spans="1:17" x14ac:dyDescent="0.35">
      <c r="A398" t="str">
        <f>_xlfn.XLOOKUP(B398,Mapping!C:C,Mapping!D:D)</f>
        <v>other Online malls</v>
      </c>
      <c r="B398" s="2" t="s">
        <v>298</v>
      </c>
      <c r="C398" s="2" t="s">
        <v>172</v>
      </c>
      <c r="D398" s="3">
        <v>46181</v>
      </c>
      <c r="E398" s="4">
        <v>46194</v>
      </c>
      <c r="F398" s="5">
        <v>14</v>
      </c>
      <c r="G398" s="2" t="s">
        <v>27</v>
      </c>
      <c r="H398" s="17">
        <v>329900</v>
      </c>
      <c r="I398" s="18">
        <v>299900</v>
      </c>
      <c r="J398" s="17">
        <v>279900</v>
      </c>
      <c r="K398" s="17">
        <v>299900</v>
      </c>
      <c r="L398" s="6">
        <v>4.333333333333333</v>
      </c>
      <c r="M398" s="6">
        <v>1299566.6666666665</v>
      </c>
      <c r="N398" s="17">
        <v>1181424.2424242422</v>
      </c>
      <c r="O398" s="17">
        <v>1181424.2424242422</v>
      </c>
      <c r="P398" t="s">
        <v>211</v>
      </c>
      <c r="Q398" t="s">
        <v>212</v>
      </c>
    </row>
    <row r="399" spans="1:17" x14ac:dyDescent="0.35">
      <c r="A399" t="str">
        <f>_xlfn.XLOOKUP(B399,Mapping!C:C,Mapping!D:D)</f>
        <v>other Online malls</v>
      </c>
      <c r="B399" s="2" t="s">
        <v>298</v>
      </c>
      <c r="C399" s="2" t="s">
        <v>172</v>
      </c>
      <c r="D399" s="3">
        <v>46181</v>
      </c>
      <c r="E399" s="4">
        <v>46194</v>
      </c>
      <c r="F399" s="5">
        <v>14</v>
      </c>
      <c r="G399" s="2" t="s">
        <v>106</v>
      </c>
      <c r="H399" s="17">
        <v>399900</v>
      </c>
      <c r="I399" s="18">
        <v>349900</v>
      </c>
      <c r="J399" s="17">
        <v>299900</v>
      </c>
      <c r="K399" s="17">
        <v>349900</v>
      </c>
      <c r="L399" s="6">
        <v>4</v>
      </c>
      <c r="M399" s="6">
        <v>1399600</v>
      </c>
      <c r="N399" s="17">
        <v>1272363.6363636362</v>
      </c>
      <c r="O399" s="17">
        <v>1272363.6363636362</v>
      </c>
      <c r="P399" t="s">
        <v>215</v>
      </c>
      <c r="Q399" t="s">
        <v>234</v>
      </c>
    </row>
    <row r="400" spans="1:17" x14ac:dyDescent="0.35">
      <c r="A400" t="str">
        <f>_xlfn.XLOOKUP(B400,Mapping!C:C,Mapping!D:D)</f>
        <v>other Online malls</v>
      </c>
      <c r="B400" s="2" t="s">
        <v>298</v>
      </c>
      <c r="C400" s="2" t="s">
        <v>172</v>
      </c>
      <c r="D400" s="3">
        <v>46181</v>
      </c>
      <c r="E400" s="4">
        <v>46194</v>
      </c>
      <c r="F400" s="5">
        <v>14</v>
      </c>
      <c r="G400" s="2" t="s">
        <v>85</v>
      </c>
      <c r="H400" s="17">
        <v>349900</v>
      </c>
      <c r="I400" s="18">
        <v>319900</v>
      </c>
      <c r="J400" s="17">
        <v>299900</v>
      </c>
      <c r="K400" s="17">
        <v>319900</v>
      </c>
      <c r="L400" s="6">
        <v>12.5</v>
      </c>
      <c r="M400" s="6">
        <v>3998750</v>
      </c>
      <c r="N400" s="17">
        <v>3635227.2727272729</v>
      </c>
      <c r="O400" s="17">
        <v>3635227.2727272729</v>
      </c>
      <c r="P400" t="s">
        <v>211</v>
      </c>
      <c r="Q400" t="s">
        <v>232</v>
      </c>
    </row>
    <row r="401" spans="1:17" x14ac:dyDescent="0.35">
      <c r="A401" t="str">
        <f>_xlfn.XLOOKUP(B401,Mapping!C:C,Mapping!D:D)</f>
        <v>other Online malls</v>
      </c>
      <c r="B401" s="2" t="s">
        <v>298</v>
      </c>
      <c r="C401" s="2" t="s">
        <v>172</v>
      </c>
      <c r="D401" s="3">
        <v>46181</v>
      </c>
      <c r="E401" s="4">
        <v>46194</v>
      </c>
      <c r="F401" s="5">
        <v>14</v>
      </c>
      <c r="G401" s="2" t="s">
        <v>31</v>
      </c>
      <c r="H401" s="17">
        <v>849000</v>
      </c>
      <c r="I401" s="18">
        <v>749000</v>
      </c>
      <c r="J401" s="17">
        <v>699000</v>
      </c>
      <c r="K401" s="17">
        <v>749000</v>
      </c>
      <c r="L401" s="6">
        <v>9.3333333333333339</v>
      </c>
      <c r="M401" s="6">
        <v>6990666.666666667</v>
      </c>
      <c r="N401" s="17">
        <v>6355151.5151515147</v>
      </c>
      <c r="O401" s="17">
        <v>6355151.5151515147</v>
      </c>
      <c r="P401" t="s">
        <v>213</v>
      </c>
      <c r="Q401" t="s">
        <v>221</v>
      </c>
    </row>
    <row r="402" spans="1:17" x14ac:dyDescent="0.35">
      <c r="A402" t="str">
        <f>_xlfn.XLOOKUP(B402,Mapping!C:C,Mapping!D:D)</f>
        <v>other Online malls</v>
      </c>
      <c r="B402" s="2" t="s">
        <v>298</v>
      </c>
      <c r="C402" s="2" t="s">
        <v>172</v>
      </c>
      <c r="D402" s="3">
        <v>46181</v>
      </c>
      <c r="E402" s="4">
        <v>46194</v>
      </c>
      <c r="F402" s="5">
        <v>14</v>
      </c>
      <c r="G402" s="2" t="s">
        <v>108</v>
      </c>
      <c r="H402" s="17">
        <v>199900</v>
      </c>
      <c r="I402" s="18">
        <v>179900</v>
      </c>
      <c r="J402" s="17">
        <v>169900</v>
      </c>
      <c r="K402" s="17">
        <v>179900</v>
      </c>
      <c r="L402" s="6">
        <v>2.6666666666666665</v>
      </c>
      <c r="M402" s="6">
        <v>479733.33333333331</v>
      </c>
      <c r="N402" s="17">
        <v>436121.21212121204</v>
      </c>
      <c r="O402" s="17">
        <v>436121.21212121204</v>
      </c>
      <c r="P402" t="s">
        <v>213</v>
      </c>
      <c r="Q402" t="s">
        <v>230</v>
      </c>
    </row>
    <row r="403" spans="1:17" x14ac:dyDescent="0.35">
      <c r="A403" t="str">
        <f>_xlfn.XLOOKUP(B403,Mapping!C:C,Mapping!D:D)</f>
        <v>other Online malls</v>
      </c>
      <c r="B403" s="2" t="s">
        <v>298</v>
      </c>
      <c r="C403" s="2" t="s">
        <v>172</v>
      </c>
      <c r="D403" s="3">
        <v>46181</v>
      </c>
      <c r="E403" s="4">
        <v>46194</v>
      </c>
      <c r="F403" s="5">
        <v>14</v>
      </c>
      <c r="G403" s="2" t="s">
        <v>109</v>
      </c>
      <c r="H403" s="17">
        <v>249900</v>
      </c>
      <c r="I403" s="18">
        <v>219900</v>
      </c>
      <c r="J403" s="17">
        <v>199900</v>
      </c>
      <c r="K403" s="17">
        <v>199900</v>
      </c>
      <c r="L403" s="6">
        <v>18.25</v>
      </c>
      <c r="M403" s="6">
        <v>3648175</v>
      </c>
      <c r="N403" s="17">
        <v>3316522.7272727271</v>
      </c>
      <c r="O403" s="17">
        <v>3316522.7272727271</v>
      </c>
      <c r="P403" t="s">
        <v>225</v>
      </c>
      <c r="Q403" t="s">
        <v>226</v>
      </c>
    </row>
    <row r="404" spans="1:17" x14ac:dyDescent="0.35">
      <c r="A404" t="str">
        <f>_xlfn.XLOOKUP(B404,Mapping!C:C,Mapping!D:D)</f>
        <v>other Online malls</v>
      </c>
      <c r="B404" s="2" t="s">
        <v>298</v>
      </c>
      <c r="C404" s="2" t="s">
        <v>172</v>
      </c>
      <c r="D404" s="3">
        <v>46181</v>
      </c>
      <c r="E404" s="4">
        <v>46194</v>
      </c>
      <c r="F404" s="5">
        <v>14</v>
      </c>
      <c r="G404" s="2" t="s">
        <v>87</v>
      </c>
      <c r="H404" s="17">
        <v>219900</v>
      </c>
      <c r="I404" s="18">
        <v>199900</v>
      </c>
      <c r="J404" s="17">
        <v>179900</v>
      </c>
      <c r="K404" s="17">
        <v>199900</v>
      </c>
      <c r="L404" s="6">
        <v>16</v>
      </c>
      <c r="M404" s="6">
        <v>3198400</v>
      </c>
      <c r="N404" s="17">
        <v>2907636.3636363633</v>
      </c>
      <c r="O404" s="17">
        <v>2907636.3636363633</v>
      </c>
      <c r="P404" t="s">
        <v>225</v>
      </c>
      <c r="Q404" t="s">
        <v>226</v>
      </c>
    </row>
    <row r="405" spans="1:17" x14ac:dyDescent="0.35">
      <c r="A405" t="str">
        <f>_xlfn.XLOOKUP(B405,Mapping!C:C,Mapping!D:D)</f>
        <v>other Online malls</v>
      </c>
      <c r="B405" s="2" t="s">
        <v>298</v>
      </c>
      <c r="C405" s="2" t="s">
        <v>172</v>
      </c>
      <c r="D405" s="3">
        <v>46181</v>
      </c>
      <c r="E405" s="4">
        <v>46194</v>
      </c>
      <c r="F405" s="5">
        <v>14</v>
      </c>
      <c r="G405" s="2" t="s">
        <v>33</v>
      </c>
      <c r="H405" s="17">
        <v>399900</v>
      </c>
      <c r="I405" s="18">
        <v>349900</v>
      </c>
      <c r="J405" s="17">
        <v>299900</v>
      </c>
      <c r="K405" s="17">
        <v>399900</v>
      </c>
      <c r="L405" s="6">
        <v>161</v>
      </c>
      <c r="M405" s="6">
        <v>64383900</v>
      </c>
      <c r="N405" s="17">
        <v>58530818.18181818</v>
      </c>
      <c r="O405" s="17">
        <v>58530818.18181818</v>
      </c>
      <c r="P405" t="s">
        <v>225</v>
      </c>
      <c r="Q405" t="s">
        <v>226</v>
      </c>
    </row>
    <row r="406" spans="1:17" x14ac:dyDescent="0.35">
      <c r="A406" t="str">
        <f>_xlfn.XLOOKUP(B406,Mapping!C:C,Mapping!D:D)</f>
        <v>other Online malls</v>
      </c>
      <c r="B406" s="2" t="s">
        <v>298</v>
      </c>
      <c r="C406" s="2" t="s">
        <v>172</v>
      </c>
      <c r="D406" s="3">
        <v>46181</v>
      </c>
      <c r="E406" s="4">
        <v>46194</v>
      </c>
      <c r="F406" s="5">
        <v>14</v>
      </c>
      <c r="G406" s="2" t="s">
        <v>36</v>
      </c>
      <c r="H406" s="17">
        <v>469900</v>
      </c>
      <c r="I406" s="18">
        <v>399900</v>
      </c>
      <c r="J406" s="17">
        <v>389900</v>
      </c>
      <c r="K406" s="17">
        <v>399900</v>
      </c>
      <c r="L406" s="6">
        <v>1.3333333333333333</v>
      </c>
      <c r="M406" s="6">
        <v>533200</v>
      </c>
      <c r="N406" s="17">
        <v>484727.27272727271</v>
      </c>
      <c r="O406" s="17">
        <v>484727.27272727271</v>
      </c>
      <c r="P406" t="s">
        <v>213</v>
      </c>
      <c r="Q406" t="s">
        <v>222</v>
      </c>
    </row>
    <row r="407" spans="1:17" x14ac:dyDescent="0.35">
      <c r="A407" t="str">
        <f>_xlfn.XLOOKUP(B407,Mapping!C:C,Mapping!D:D)</f>
        <v>other Online malls</v>
      </c>
      <c r="B407" s="2" t="s">
        <v>298</v>
      </c>
      <c r="C407" s="2" t="s">
        <v>172</v>
      </c>
      <c r="D407" s="3">
        <v>46181</v>
      </c>
      <c r="E407" s="4">
        <v>46194</v>
      </c>
      <c r="F407" s="5">
        <v>14</v>
      </c>
      <c r="G407" s="2" t="s">
        <v>91</v>
      </c>
      <c r="H407" s="17">
        <v>219900</v>
      </c>
      <c r="I407" s="18">
        <v>199900</v>
      </c>
      <c r="J407" s="17">
        <v>179900</v>
      </c>
      <c r="K407" s="17">
        <v>199900</v>
      </c>
      <c r="L407" s="6">
        <v>15.333333333333334</v>
      </c>
      <c r="M407" s="6">
        <v>3065133.3333333335</v>
      </c>
      <c r="N407" s="17">
        <v>2786484.8484848482</v>
      </c>
      <c r="O407" s="17">
        <v>2786484.8484848482</v>
      </c>
      <c r="P407" t="s">
        <v>225</v>
      </c>
      <c r="Q407" t="s">
        <v>226</v>
      </c>
    </row>
    <row r="408" spans="1:17" x14ac:dyDescent="0.35">
      <c r="A408" t="str">
        <f>_xlfn.XLOOKUP(B408,Mapping!C:C,Mapping!D:D)</f>
        <v>other Online malls</v>
      </c>
      <c r="B408" s="2" t="s">
        <v>298</v>
      </c>
      <c r="C408" s="2" t="s">
        <v>172</v>
      </c>
      <c r="D408" s="3">
        <v>46181</v>
      </c>
      <c r="E408" s="4">
        <v>46194</v>
      </c>
      <c r="F408" s="5">
        <v>14</v>
      </c>
      <c r="G408" s="2" t="s">
        <v>111</v>
      </c>
      <c r="H408" s="17">
        <v>249900</v>
      </c>
      <c r="I408" s="18">
        <v>219900</v>
      </c>
      <c r="J408" s="17">
        <v>199900</v>
      </c>
      <c r="K408" s="17">
        <v>199900</v>
      </c>
      <c r="L408" s="6">
        <v>13.25</v>
      </c>
      <c r="M408" s="6">
        <v>2648675</v>
      </c>
      <c r="N408" s="17">
        <v>2407886.3636363633</v>
      </c>
      <c r="O408" s="17">
        <v>2407886.3636363633</v>
      </c>
      <c r="P408" t="s">
        <v>225</v>
      </c>
      <c r="Q408" t="s">
        <v>226</v>
      </c>
    </row>
    <row r="409" spans="1:17" x14ac:dyDescent="0.35">
      <c r="A409" t="str">
        <f>_xlfn.XLOOKUP(B409,Mapping!C:C,Mapping!D:D)</f>
        <v>other Online malls</v>
      </c>
      <c r="B409" s="2" t="s">
        <v>298</v>
      </c>
      <c r="C409" s="2" t="s">
        <v>172</v>
      </c>
      <c r="D409" s="3">
        <v>46181</v>
      </c>
      <c r="E409" s="4">
        <v>46194</v>
      </c>
      <c r="F409" s="5">
        <v>14</v>
      </c>
      <c r="G409" s="2" t="s">
        <v>92</v>
      </c>
      <c r="H409" s="17">
        <v>119900</v>
      </c>
      <c r="I409" s="18">
        <v>99900</v>
      </c>
      <c r="J409" s="17">
        <v>84900</v>
      </c>
      <c r="K409" s="17">
        <v>84905</v>
      </c>
      <c r="L409" s="6">
        <v>42</v>
      </c>
      <c r="M409" s="6">
        <v>3566010</v>
      </c>
      <c r="N409" s="17">
        <v>3241827.2727272725</v>
      </c>
      <c r="O409" s="17">
        <v>3241827.2727272725</v>
      </c>
      <c r="P409" t="s">
        <v>211</v>
      </c>
      <c r="Q409" t="s">
        <v>231</v>
      </c>
    </row>
    <row r="410" spans="1:17" x14ac:dyDescent="0.35">
      <c r="A410" t="str">
        <f>_xlfn.XLOOKUP(B410,Mapping!C:C,Mapping!D:D)</f>
        <v>other Online malls</v>
      </c>
      <c r="B410" s="2" t="s">
        <v>298</v>
      </c>
      <c r="C410" s="2" t="s">
        <v>172</v>
      </c>
      <c r="D410" s="3">
        <v>46181</v>
      </c>
      <c r="E410" s="4">
        <v>46194</v>
      </c>
      <c r="F410" s="5">
        <v>14</v>
      </c>
      <c r="G410" s="2" t="s">
        <v>93</v>
      </c>
      <c r="H410" s="17">
        <v>119900</v>
      </c>
      <c r="I410" s="18">
        <v>99900</v>
      </c>
      <c r="J410" s="17">
        <v>84900</v>
      </c>
      <c r="K410" s="17">
        <v>84905</v>
      </c>
      <c r="L410" s="6">
        <v>25</v>
      </c>
      <c r="M410" s="6">
        <v>2122625</v>
      </c>
      <c r="N410" s="17">
        <v>1929659.0909090908</v>
      </c>
      <c r="O410" s="17">
        <v>1929659.0909090908</v>
      </c>
      <c r="P410" t="s">
        <v>211</v>
      </c>
      <c r="Q410" t="s">
        <v>231</v>
      </c>
    </row>
    <row r="411" spans="1:17" x14ac:dyDescent="0.35">
      <c r="A411" t="str">
        <f>_xlfn.XLOOKUP(B411,Mapping!C:C,Mapping!D:D)</f>
        <v>other Online malls</v>
      </c>
      <c r="B411" s="2" t="s">
        <v>298</v>
      </c>
      <c r="C411" s="2" t="s">
        <v>172</v>
      </c>
      <c r="D411" s="3">
        <v>46181</v>
      </c>
      <c r="E411" s="4">
        <v>46194</v>
      </c>
      <c r="F411" s="5">
        <v>14</v>
      </c>
      <c r="G411" s="2" t="s">
        <v>94</v>
      </c>
      <c r="H411" s="17">
        <v>119900</v>
      </c>
      <c r="I411" s="18">
        <v>99900</v>
      </c>
      <c r="J411" s="17">
        <v>84900</v>
      </c>
      <c r="K411" s="17">
        <v>84905</v>
      </c>
      <c r="L411" s="6">
        <v>29</v>
      </c>
      <c r="M411" s="6">
        <v>2462245</v>
      </c>
      <c r="N411" s="17">
        <v>2238404.5454545454</v>
      </c>
      <c r="O411" s="17">
        <v>2238404.5454545454</v>
      </c>
      <c r="P411" t="s">
        <v>211</v>
      </c>
      <c r="Q411" t="s">
        <v>231</v>
      </c>
    </row>
    <row r="412" spans="1:17" x14ac:dyDescent="0.35">
      <c r="A412" t="str">
        <f>_xlfn.XLOOKUP(B412,Mapping!C:C,Mapping!D:D)</f>
        <v>other Online malls</v>
      </c>
      <c r="B412" s="2" t="s">
        <v>298</v>
      </c>
      <c r="C412" s="2" t="s">
        <v>172</v>
      </c>
      <c r="D412" s="3">
        <v>46181</v>
      </c>
      <c r="E412" s="4">
        <v>46194</v>
      </c>
      <c r="F412" s="5">
        <v>14</v>
      </c>
      <c r="G412" s="2" t="s">
        <v>95</v>
      </c>
      <c r="H412" s="17">
        <v>79900</v>
      </c>
      <c r="I412" s="18">
        <v>54900</v>
      </c>
      <c r="J412" s="17">
        <v>54900</v>
      </c>
      <c r="K412" s="17">
        <v>54900</v>
      </c>
      <c r="L412" s="6">
        <v>2</v>
      </c>
      <c r="M412" s="6">
        <v>109800</v>
      </c>
      <c r="N412" s="17">
        <v>99818.181818181809</v>
      </c>
      <c r="O412" s="17">
        <v>99818.181818181809</v>
      </c>
      <c r="P412" t="s">
        <v>211</v>
      </c>
      <c r="Q412" t="s">
        <v>233</v>
      </c>
    </row>
    <row r="413" spans="1:17" x14ac:dyDescent="0.35">
      <c r="A413" t="str">
        <f>_xlfn.XLOOKUP(B413,Mapping!C:C,Mapping!D:D)</f>
        <v>other Online malls</v>
      </c>
      <c r="B413" s="2" t="s">
        <v>298</v>
      </c>
      <c r="C413" s="2" t="s">
        <v>172</v>
      </c>
      <c r="D413" s="3">
        <v>46181</v>
      </c>
      <c r="E413" s="4">
        <v>46194</v>
      </c>
      <c r="F413" s="5">
        <v>14</v>
      </c>
      <c r="G413" s="2" t="s">
        <v>40</v>
      </c>
      <c r="H413" s="17">
        <v>349900</v>
      </c>
      <c r="I413" s="18">
        <v>319900</v>
      </c>
      <c r="J413" s="17">
        <v>299900</v>
      </c>
      <c r="K413" s="17">
        <v>299900</v>
      </c>
      <c r="L413" s="6">
        <v>7</v>
      </c>
      <c r="M413" s="6">
        <v>2099300</v>
      </c>
      <c r="N413" s="17">
        <v>1908454.5454545452</v>
      </c>
      <c r="O413" s="17">
        <v>1908454.5454545452</v>
      </c>
      <c r="P413" t="s">
        <v>211</v>
      </c>
      <c r="Q413" t="s">
        <v>228</v>
      </c>
    </row>
    <row r="414" spans="1:17" x14ac:dyDescent="0.35">
      <c r="A414" t="str">
        <f>_xlfn.XLOOKUP(B414,Mapping!C:C,Mapping!D:D)</f>
        <v>other Online malls</v>
      </c>
      <c r="B414" s="2" t="s">
        <v>298</v>
      </c>
      <c r="C414" s="2" t="s">
        <v>172</v>
      </c>
      <c r="D414" s="3">
        <v>46181</v>
      </c>
      <c r="E414" s="4">
        <v>46194</v>
      </c>
      <c r="F414" s="5">
        <v>14</v>
      </c>
      <c r="G414" s="2" t="s">
        <v>96</v>
      </c>
      <c r="H414" s="17">
        <v>139900</v>
      </c>
      <c r="I414" s="18">
        <v>119900</v>
      </c>
      <c r="J414" s="17">
        <v>99900</v>
      </c>
      <c r="K414" s="17">
        <v>119900</v>
      </c>
      <c r="L414" s="6">
        <v>5.5</v>
      </c>
      <c r="M414" s="6">
        <v>659450</v>
      </c>
      <c r="N414" s="17">
        <v>599499.99999999988</v>
      </c>
      <c r="O414" s="17">
        <v>599499.99999999988</v>
      </c>
      <c r="P414" t="s">
        <v>213</v>
      </c>
      <c r="Q414" t="s">
        <v>230</v>
      </c>
    </row>
    <row r="415" spans="1:17" x14ac:dyDescent="0.35">
      <c r="A415" t="str">
        <f>_xlfn.XLOOKUP(B415,Mapping!C:C,Mapping!D:D)</f>
        <v>other Online malls</v>
      </c>
      <c r="B415" s="2" t="s">
        <v>298</v>
      </c>
      <c r="C415" s="2" t="s">
        <v>172</v>
      </c>
      <c r="D415" s="3">
        <v>46181</v>
      </c>
      <c r="E415" s="4">
        <v>46194</v>
      </c>
      <c r="F415" s="5">
        <v>14</v>
      </c>
      <c r="G415" s="2" t="s">
        <v>99</v>
      </c>
      <c r="H415" s="17">
        <v>219900</v>
      </c>
      <c r="I415" s="18">
        <v>199900</v>
      </c>
      <c r="J415" s="17">
        <v>179900</v>
      </c>
      <c r="K415" s="17">
        <v>199900</v>
      </c>
      <c r="L415" s="6">
        <v>17.166666666666668</v>
      </c>
      <c r="M415" s="6">
        <v>3431616.666666667</v>
      </c>
      <c r="N415" s="17">
        <v>3119651.5151515151</v>
      </c>
      <c r="O415" s="17">
        <v>3119651.5151515151</v>
      </c>
      <c r="P415" t="s">
        <v>225</v>
      </c>
      <c r="Q415" t="s">
        <v>226</v>
      </c>
    </row>
    <row r="416" spans="1:17" x14ac:dyDescent="0.35">
      <c r="A416" t="str">
        <f>_xlfn.XLOOKUP(B416,Mapping!C:C,Mapping!D:D)</f>
        <v>other Online malls</v>
      </c>
      <c r="B416" s="2" t="s">
        <v>298</v>
      </c>
      <c r="C416" s="2" t="s">
        <v>172</v>
      </c>
      <c r="D416" s="3">
        <v>46188</v>
      </c>
      <c r="E416" s="4">
        <v>46190</v>
      </c>
      <c r="F416" s="5">
        <v>3</v>
      </c>
      <c r="G416" s="2" t="s">
        <v>85</v>
      </c>
      <c r="H416" s="17">
        <v>349900</v>
      </c>
      <c r="I416" s="18">
        <v>319900</v>
      </c>
      <c r="J416" s="17">
        <v>299900</v>
      </c>
      <c r="K416" s="17">
        <v>299000</v>
      </c>
      <c r="L416" s="6">
        <v>12.5</v>
      </c>
      <c r="M416" s="6">
        <v>3737500</v>
      </c>
      <c r="N416" s="17">
        <v>3397727.2727272729</v>
      </c>
      <c r="O416" s="17">
        <v>3397727.2727272729</v>
      </c>
      <c r="P416" t="s">
        <v>211</v>
      </c>
      <c r="Q416" t="s">
        <v>232</v>
      </c>
    </row>
    <row r="417" spans="1:17" x14ac:dyDescent="0.35">
      <c r="A417" t="str">
        <f>_xlfn.XLOOKUP(B417,Mapping!C:C,Mapping!D:D)</f>
        <v>other Online malls</v>
      </c>
      <c r="B417" s="2" t="s">
        <v>298</v>
      </c>
      <c r="C417" s="2" t="s">
        <v>172</v>
      </c>
      <c r="D417" s="3">
        <v>46188</v>
      </c>
      <c r="E417" s="4">
        <v>46190</v>
      </c>
      <c r="F417" s="5">
        <v>3</v>
      </c>
      <c r="G417" s="2" t="s">
        <v>86</v>
      </c>
      <c r="H417" s="17">
        <v>149900</v>
      </c>
      <c r="I417" s="18">
        <v>139900</v>
      </c>
      <c r="J417" s="17">
        <v>129900</v>
      </c>
      <c r="K417" s="17">
        <v>129000</v>
      </c>
      <c r="L417" s="6">
        <v>19.666666666666668</v>
      </c>
      <c r="M417" s="6">
        <v>2537000</v>
      </c>
      <c r="N417" s="17">
        <v>2306363.6363636362</v>
      </c>
      <c r="O417" s="17">
        <v>2306363.6363636362</v>
      </c>
      <c r="P417" t="s">
        <v>211</v>
      </c>
      <c r="Q417" t="s">
        <v>231</v>
      </c>
    </row>
    <row r="418" spans="1:17" x14ac:dyDescent="0.35">
      <c r="A418" t="str">
        <f>_xlfn.XLOOKUP(B418,Mapping!C:C,Mapping!D:D)</f>
        <v>other Online malls</v>
      </c>
      <c r="B418" s="2" t="s">
        <v>298</v>
      </c>
      <c r="C418" s="2" t="s">
        <v>172</v>
      </c>
      <c r="D418" s="3">
        <v>46188</v>
      </c>
      <c r="E418" s="4">
        <v>46190</v>
      </c>
      <c r="F418" s="5">
        <v>3</v>
      </c>
      <c r="G418" s="2" t="s">
        <v>32</v>
      </c>
      <c r="H418" s="17">
        <v>349900</v>
      </c>
      <c r="I418" s="18">
        <v>299900</v>
      </c>
      <c r="J418" s="17">
        <v>269900</v>
      </c>
      <c r="K418" s="17">
        <v>269900</v>
      </c>
      <c r="L418" s="6">
        <v>39.5</v>
      </c>
      <c r="M418" s="6">
        <v>10661050</v>
      </c>
      <c r="N418" s="17">
        <v>9691863.6363636367</v>
      </c>
      <c r="O418" s="17">
        <v>9691863.6363636367</v>
      </c>
      <c r="P418" t="s">
        <v>211</v>
      </c>
      <c r="Q418" t="s">
        <v>224</v>
      </c>
    </row>
    <row r="419" spans="1:17" x14ac:dyDescent="0.35">
      <c r="A419" t="str">
        <f>_xlfn.XLOOKUP(B419,Mapping!C:C,Mapping!D:D)</f>
        <v>other Online malls</v>
      </c>
      <c r="B419" s="2" t="s">
        <v>298</v>
      </c>
      <c r="C419" s="2" t="s">
        <v>172</v>
      </c>
      <c r="D419" s="3">
        <v>46188</v>
      </c>
      <c r="E419" s="4">
        <v>46190</v>
      </c>
      <c r="F419" s="5">
        <v>3</v>
      </c>
      <c r="G419" s="2" t="s">
        <v>87</v>
      </c>
      <c r="H419" s="17">
        <v>219900</v>
      </c>
      <c r="I419" s="18">
        <v>199900</v>
      </c>
      <c r="J419" s="17">
        <v>179900</v>
      </c>
      <c r="K419" s="17">
        <v>199000</v>
      </c>
      <c r="L419" s="6">
        <v>16</v>
      </c>
      <c r="M419" s="6">
        <v>3184000</v>
      </c>
      <c r="N419" s="17">
        <v>2894545.4545454541</v>
      </c>
      <c r="O419" s="17">
        <v>2894545.4545454541</v>
      </c>
      <c r="P419" t="s">
        <v>225</v>
      </c>
      <c r="Q419" t="s">
        <v>226</v>
      </c>
    </row>
    <row r="420" spans="1:17" x14ac:dyDescent="0.35">
      <c r="A420" t="str">
        <f>_xlfn.XLOOKUP(B420,Mapping!C:C,Mapping!D:D)</f>
        <v>other Online malls</v>
      </c>
      <c r="B420" s="2" t="s">
        <v>298</v>
      </c>
      <c r="C420" s="2" t="s">
        <v>172</v>
      </c>
      <c r="D420" s="3">
        <v>46188</v>
      </c>
      <c r="E420" s="4">
        <v>46190</v>
      </c>
      <c r="F420" s="5">
        <v>3</v>
      </c>
      <c r="G420" s="2" t="s">
        <v>90</v>
      </c>
      <c r="H420" s="17">
        <v>149900</v>
      </c>
      <c r="I420" s="18">
        <v>139900</v>
      </c>
      <c r="J420" s="17">
        <v>129900</v>
      </c>
      <c r="K420" s="17">
        <v>129000</v>
      </c>
      <c r="L420" s="6">
        <v>17.333333333333332</v>
      </c>
      <c r="M420" s="6">
        <v>2236000</v>
      </c>
      <c r="N420" s="17">
        <v>2032727.2727272725</v>
      </c>
      <c r="O420" s="17">
        <v>2032727.2727272725</v>
      </c>
      <c r="P420" t="s">
        <v>211</v>
      </c>
      <c r="Q420" t="s">
        <v>231</v>
      </c>
    </row>
    <row r="421" spans="1:17" x14ac:dyDescent="0.35">
      <c r="A421" t="str">
        <f>_xlfn.XLOOKUP(B421,Mapping!C:C,Mapping!D:D)</f>
        <v>other Online malls</v>
      </c>
      <c r="B421" s="2" t="s">
        <v>298</v>
      </c>
      <c r="C421" s="2" t="s">
        <v>172</v>
      </c>
      <c r="D421" s="3">
        <v>46188</v>
      </c>
      <c r="E421" s="4">
        <v>46190</v>
      </c>
      <c r="F421" s="5">
        <v>3</v>
      </c>
      <c r="G421" s="2" t="s">
        <v>91</v>
      </c>
      <c r="H421" s="17">
        <v>219900</v>
      </c>
      <c r="I421" s="18">
        <v>199900</v>
      </c>
      <c r="J421" s="17">
        <v>179900</v>
      </c>
      <c r="K421" s="17">
        <v>199000</v>
      </c>
      <c r="L421" s="6">
        <v>15.333333333333334</v>
      </c>
      <c r="M421" s="6">
        <v>3051333.3333333335</v>
      </c>
      <c r="N421" s="17">
        <v>2773939.3939393936</v>
      </c>
      <c r="O421" s="17">
        <v>2773939.3939393936</v>
      </c>
      <c r="P421" t="s">
        <v>225</v>
      </c>
      <c r="Q421" t="s">
        <v>226</v>
      </c>
    </row>
    <row r="422" spans="1:17" x14ac:dyDescent="0.35">
      <c r="A422" t="str">
        <f>_xlfn.XLOOKUP(B422,Mapping!C:C,Mapping!D:D)</f>
        <v>other Online malls</v>
      </c>
      <c r="B422" s="2" t="s">
        <v>298</v>
      </c>
      <c r="C422" s="2" t="s">
        <v>172</v>
      </c>
      <c r="D422" s="3">
        <v>46188</v>
      </c>
      <c r="E422" s="4">
        <v>46190</v>
      </c>
      <c r="F422" s="5">
        <v>3</v>
      </c>
      <c r="G422" s="2" t="s">
        <v>92</v>
      </c>
      <c r="H422" s="17">
        <v>119900</v>
      </c>
      <c r="I422" s="18">
        <v>99900</v>
      </c>
      <c r="J422" s="17">
        <v>84900</v>
      </c>
      <c r="K422" s="17">
        <v>84900</v>
      </c>
      <c r="L422" s="6">
        <v>42</v>
      </c>
      <c r="M422" s="6">
        <v>3565800</v>
      </c>
      <c r="N422" s="17">
        <v>3241636.3636363633</v>
      </c>
      <c r="O422" s="17">
        <v>3241636.3636363633</v>
      </c>
      <c r="P422" t="s">
        <v>211</v>
      </c>
      <c r="Q422" t="s">
        <v>231</v>
      </c>
    </row>
    <row r="423" spans="1:17" x14ac:dyDescent="0.35">
      <c r="A423" t="str">
        <f>_xlfn.XLOOKUP(B423,Mapping!C:C,Mapping!D:D)</f>
        <v>other Online malls</v>
      </c>
      <c r="B423" s="2" t="s">
        <v>298</v>
      </c>
      <c r="C423" s="2" t="s">
        <v>172</v>
      </c>
      <c r="D423" s="3">
        <v>46188</v>
      </c>
      <c r="E423" s="4">
        <v>46190</v>
      </c>
      <c r="F423" s="5">
        <v>3</v>
      </c>
      <c r="G423" s="2" t="s">
        <v>93</v>
      </c>
      <c r="H423" s="17">
        <v>119900</v>
      </c>
      <c r="I423" s="18">
        <v>99900</v>
      </c>
      <c r="J423" s="17">
        <v>84900</v>
      </c>
      <c r="K423" s="17">
        <v>84900</v>
      </c>
      <c r="L423" s="6">
        <v>25</v>
      </c>
      <c r="M423" s="6">
        <v>2122500</v>
      </c>
      <c r="N423" s="17">
        <v>1929545.4545454544</v>
      </c>
      <c r="O423" s="17">
        <v>1929545.4545454544</v>
      </c>
      <c r="P423" t="s">
        <v>211</v>
      </c>
      <c r="Q423" t="s">
        <v>231</v>
      </c>
    </row>
    <row r="424" spans="1:17" x14ac:dyDescent="0.35">
      <c r="A424" t="str">
        <f>_xlfn.XLOOKUP(B424,Mapping!C:C,Mapping!D:D)</f>
        <v>other Online malls</v>
      </c>
      <c r="B424" s="2" t="s">
        <v>298</v>
      </c>
      <c r="C424" s="2" t="s">
        <v>172</v>
      </c>
      <c r="D424" s="3">
        <v>46188</v>
      </c>
      <c r="E424" s="4">
        <v>46190</v>
      </c>
      <c r="F424" s="5">
        <v>3</v>
      </c>
      <c r="G424" s="2" t="s">
        <v>94</v>
      </c>
      <c r="H424" s="17">
        <v>119900</v>
      </c>
      <c r="I424" s="18">
        <v>99900</v>
      </c>
      <c r="J424" s="17">
        <v>84900</v>
      </c>
      <c r="K424" s="17">
        <v>84900</v>
      </c>
      <c r="L424" s="6">
        <v>29</v>
      </c>
      <c r="M424" s="6">
        <v>2462100</v>
      </c>
      <c r="N424" s="17">
        <v>2238272.7272727271</v>
      </c>
      <c r="O424" s="17">
        <v>2238272.7272727271</v>
      </c>
      <c r="P424" t="s">
        <v>211</v>
      </c>
      <c r="Q424" t="s">
        <v>231</v>
      </c>
    </row>
    <row r="425" spans="1:17" x14ac:dyDescent="0.35">
      <c r="A425" t="str">
        <f>_xlfn.XLOOKUP(B425,Mapping!C:C,Mapping!D:D)</f>
        <v>other Online malls</v>
      </c>
      <c r="B425" s="2" t="s">
        <v>298</v>
      </c>
      <c r="C425" s="2" t="s">
        <v>172</v>
      </c>
      <c r="D425" s="3">
        <v>46188</v>
      </c>
      <c r="E425" s="4">
        <v>46190</v>
      </c>
      <c r="F425" s="5">
        <v>3</v>
      </c>
      <c r="G425" s="2" t="s">
        <v>99</v>
      </c>
      <c r="H425" s="17">
        <v>219900</v>
      </c>
      <c r="I425" s="18">
        <v>199900</v>
      </c>
      <c r="J425" s="17">
        <v>179900</v>
      </c>
      <c r="K425" s="17">
        <v>199000</v>
      </c>
      <c r="L425" s="6">
        <v>17.166666666666668</v>
      </c>
      <c r="M425" s="6">
        <v>3416166.666666667</v>
      </c>
      <c r="N425" s="17">
        <v>3105606.0606060605</v>
      </c>
      <c r="O425" s="17">
        <v>3105606.0606060605</v>
      </c>
      <c r="P425" t="s">
        <v>225</v>
      </c>
      <c r="Q425" t="s">
        <v>226</v>
      </c>
    </row>
    <row r="426" spans="1:17" x14ac:dyDescent="0.35">
      <c r="A426" t="str">
        <f>_xlfn.XLOOKUP(B426,Mapping!C:C,Mapping!D:D)</f>
        <v>other Online malls</v>
      </c>
      <c r="B426" s="2" t="s">
        <v>298</v>
      </c>
      <c r="C426" s="2" t="s">
        <v>172</v>
      </c>
      <c r="D426" s="3">
        <v>46188</v>
      </c>
      <c r="E426" s="4">
        <v>46190</v>
      </c>
      <c r="F426" s="5">
        <v>3</v>
      </c>
      <c r="G426" s="2" t="s">
        <v>101</v>
      </c>
      <c r="H426" s="17">
        <v>149900</v>
      </c>
      <c r="I426" s="18">
        <v>139900</v>
      </c>
      <c r="J426" s="17">
        <v>129900</v>
      </c>
      <c r="K426" s="17">
        <v>129000</v>
      </c>
      <c r="L426" s="6">
        <v>19.666666666666668</v>
      </c>
      <c r="M426" s="6">
        <v>2537000</v>
      </c>
      <c r="N426" s="17">
        <v>2306363.6363636362</v>
      </c>
      <c r="O426" s="17">
        <v>2306363.6363636362</v>
      </c>
      <c r="P426" t="s">
        <v>211</v>
      </c>
      <c r="Q426" t="s">
        <v>231</v>
      </c>
    </row>
    <row r="427" spans="1:17" x14ac:dyDescent="0.35">
      <c r="A427" t="str">
        <f>_xlfn.XLOOKUP(B427,Mapping!C:C,Mapping!D:D)</f>
        <v>other Online malls</v>
      </c>
      <c r="B427" s="2" t="s">
        <v>298</v>
      </c>
      <c r="C427" s="2" t="s">
        <v>172</v>
      </c>
      <c r="D427" s="3">
        <v>46188</v>
      </c>
      <c r="E427" s="4">
        <v>46190</v>
      </c>
      <c r="F427" s="5">
        <v>3</v>
      </c>
      <c r="G427" s="2" t="s">
        <v>102</v>
      </c>
      <c r="H427" s="17">
        <v>149900</v>
      </c>
      <c r="I427" s="18">
        <v>139900</v>
      </c>
      <c r="J427" s="17">
        <v>129900</v>
      </c>
      <c r="K427" s="17">
        <v>129000</v>
      </c>
      <c r="L427" s="6">
        <v>16.333333333333332</v>
      </c>
      <c r="M427" s="6">
        <v>2107000</v>
      </c>
      <c r="N427" s="17">
        <v>1915454.5454545452</v>
      </c>
      <c r="O427" s="17">
        <v>1915454.5454545452</v>
      </c>
      <c r="P427" t="s">
        <v>211</v>
      </c>
      <c r="Q427" t="s">
        <v>231</v>
      </c>
    </row>
    <row r="428" spans="1:17" x14ac:dyDescent="0.35">
      <c r="A428" t="str">
        <f>_xlfn.XLOOKUP(B428,Mapping!C:C,Mapping!D:D)</f>
        <v>other Online malls</v>
      </c>
      <c r="B428" s="2" t="s">
        <v>298</v>
      </c>
      <c r="C428" s="2" t="s">
        <v>172</v>
      </c>
      <c r="D428" s="3">
        <v>46188</v>
      </c>
      <c r="E428" s="4">
        <v>46190</v>
      </c>
      <c r="F428" s="5">
        <v>3</v>
      </c>
      <c r="G428" s="2" t="s">
        <v>103</v>
      </c>
      <c r="H428" s="17">
        <v>149900</v>
      </c>
      <c r="I428" s="18">
        <v>139900</v>
      </c>
      <c r="J428" s="17">
        <v>129900</v>
      </c>
      <c r="K428" s="17">
        <v>129000</v>
      </c>
      <c r="L428" s="6">
        <v>19.666666666666668</v>
      </c>
      <c r="M428" s="6">
        <v>2537000</v>
      </c>
      <c r="N428" s="17">
        <v>2306363.6363636362</v>
      </c>
      <c r="O428" s="17">
        <v>2306363.6363636362</v>
      </c>
      <c r="P428" t="s">
        <v>211</v>
      </c>
      <c r="Q428" t="s">
        <v>231</v>
      </c>
    </row>
    <row r="429" spans="1:17" x14ac:dyDescent="0.35">
      <c r="A429" t="str">
        <f>_xlfn.XLOOKUP(B429,Mapping!C:C,Mapping!D:D)</f>
        <v>other Online malls</v>
      </c>
      <c r="B429" s="2" t="s">
        <v>299</v>
      </c>
      <c r="C429" s="2" t="s">
        <v>173</v>
      </c>
      <c r="D429" s="3">
        <v>46183</v>
      </c>
      <c r="E429" s="4">
        <v>46183</v>
      </c>
      <c r="F429" s="5">
        <v>1</v>
      </c>
      <c r="G429" s="2" t="s">
        <v>86</v>
      </c>
      <c r="H429" s="17">
        <v>149900</v>
      </c>
      <c r="I429" s="18">
        <v>139900</v>
      </c>
      <c r="J429" s="17">
        <v>129900</v>
      </c>
      <c r="K429" s="17">
        <v>129900</v>
      </c>
      <c r="L429" s="6">
        <v>19.666666666666668</v>
      </c>
      <c r="M429" s="6">
        <v>2554700</v>
      </c>
      <c r="N429" s="17">
        <v>2322454.5454545454</v>
      </c>
      <c r="O429" s="17">
        <v>2322454.5454545454</v>
      </c>
      <c r="P429" t="s">
        <v>211</v>
      </c>
      <c r="Q429" t="s">
        <v>231</v>
      </c>
    </row>
    <row r="430" spans="1:17" x14ac:dyDescent="0.35">
      <c r="A430" t="str">
        <f>_xlfn.XLOOKUP(B430,Mapping!C:C,Mapping!D:D)</f>
        <v>other Online malls</v>
      </c>
      <c r="B430" s="2" t="s">
        <v>299</v>
      </c>
      <c r="C430" s="2" t="s">
        <v>173</v>
      </c>
      <c r="D430" s="3">
        <v>46183</v>
      </c>
      <c r="E430" s="4">
        <v>46183</v>
      </c>
      <c r="F430" s="5">
        <v>1</v>
      </c>
      <c r="G430" s="2" t="s">
        <v>90</v>
      </c>
      <c r="H430" s="17">
        <v>149900</v>
      </c>
      <c r="I430" s="18">
        <v>139900</v>
      </c>
      <c r="J430" s="17">
        <v>129900</v>
      </c>
      <c r="K430" s="17">
        <v>129900</v>
      </c>
      <c r="L430" s="6">
        <v>17.333333333333332</v>
      </c>
      <c r="M430" s="6">
        <v>2251600</v>
      </c>
      <c r="N430" s="17">
        <v>2046909.0909090908</v>
      </c>
      <c r="O430" s="17">
        <v>2046909.0909090908</v>
      </c>
      <c r="P430" t="s">
        <v>211</v>
      </c>
      <c r="Q430" t="s">
        <v>231</v>
      </c>
    </row>
    <row r="431" spans="1:17" x14ac:dyDescent="0.35">
      <c r="A431" t="str">
        <f>_xlfn.XLOOKUP(B431,Mapping!C:C,Mapping!D:D)</f>
        <v>other Online malls</v>
      </c>
      <c r="B431" s="2" t="s">
        <v>299</v>
      </c>
      <c r="C431" s="2" t="s">
        <v>173</v>
      </c>
      <c r="D431" s="3">
        <v>46183</v>
      </c>
      <c r="E431" s="4">
        <v>46183</v>
      </c>
      <c r="F431" s="5">
        <v>1</v>
      </c>
      <c r="G431" s="2" t="s">
        <v>101</v>
      </c>
      <c r="H431" s="17">
        <v>149900</v>
      </c>
      <c r="I431" s="18">
        <v>139900</v>
      </c>
      <c r="J431" s="17">
        <v>129900</v>
      </c>
      <c r="K431" s="17">
        <v>129900</v>
      </c>
      <c r="L431" s="6">
        <v>19.666666666666668</v>
      </c>
      <c r="M431" s="6">
        <v>2554700</v>
      </c>
      <c r="N431" s="17">
        <v>2322454.5454545454</v>
      </c>
      <c r="O431" s="17">
        <v>2322454.5454545454</v>
      </c>
      <c r="P431" t="s">
        <v>211</v>
      </c>
      <c r="Q431" t="s">
        <v>231</v>
      </c>
    </row>
    <row r="432" spans="1:17" x14ac:dyDescent="0.35">
      <c r="A432" t="str">
        <f>_xlfn.XLOOKUP(B432,Mapping!C:C,Mapping!D:D)</f>
        <v>other Online malls</v>
      </c>
      <c r="B432" s="2" t="s">
        <v>299</v>
      </c>
      <c r="C432" s="2" t="s">
        <v>173</v>
      </c>
      <c r="D432" s="3">
        <v>46183</v>
      </c>
      <c r="E432" s="4">
        <v>46183</v>
      </c>
      <c r="F432" s="5">
        <v>1</v>
      </c>
      <c r="G432" s="2" t="s">
        <v>102</v>
      </c>
      <c r="H432" s="17">
        <v>149900</v>
      </c>
      <c r="I432" s="18">
        <v>139900</v>
      </c>
      <c r="J432" s="17">
        <v>129900</v>
      </c>
      <c r="K432" s="17">
        <v>129900</v>
      </c>
      <c r="L432" s="6">
        <v>16.333333333333332</v>
      </c>
      <c r="M432" s="6">
        <v>2121700</v>
      </c>
      <c r="N432" s="17">
        <v>1928818.1818181816</v>
      </c>
      <c r="O432" s="17">
        <v>1928818.1818181816</v>
      </c>
      <c r="P432" t="s">
        <v>211</v>
      </c>
      <c r="Q432" t="s">
        <v>231</v>
      </c>
    </row>
    <row r="433" spans="1:18" x14ac:dyDescent="0.35">
      <c r="A433" t="str">
        <f>_xlfn.XLOOKUP(B433,Mapping!C:C,Mapping!D:D)</f>
        <v>other Online malls</v>
      </c>
      <c r="B433" s="2" t="s">
        <v>299</v>
      </c>
      <c r="C433" s="2" t="s">
        <v>173</v>
      </c>
      <c r="D433" s="3">
        <v>46183</v>
      </c>
      <c r="E433" s="4">
        <v>46183</v>
      </c>
      <c r="F433" s="5">
        <v>1</v>
      </c>
      <c r="G433" s="2" t="s">
        <v>103</v>
      </c>
      <c r="H433" s="17">
        <v>149900</v>
      </c>
      <c r="I433" s="18">
        <v>139900</v>
      </c>
      <c r="J433" s="17">
        <v>129900</v>
      </c>
      <c r="K433" s="17">
        <v>129900</v>
      </c>
      <c r="L433" s="6">
        <v>19.666666666666668</v>
      </c>
      <c r="M433" s="6">
        <v>2554700</v>
      </c>
      <c r="N433" s="17">
        <v>2322454.5454545454</v>
      </c>
      <c r="O433" s="17">
        <v>2322454.5454545454</v>
      </c>
      <c r="P433" t="s">
        <v>211</v>
      </c>
      <c r="Q433" t="s">
        <v>231</v>
      </c>
    </row>
    <row r="434" spans="1:18" x14ac:dyDescent="0.35">
      <c r="A434" t="str">
        <f>_xlfn.XLOOKUP(B434,Mapping!C:C,Mapping!D:D)</f>
        <v>other Online malls</v>
      </c>
      <c r="B434" s="2" t="s">
        <v>301</v>
      </c>
      <c r="C434" s="2" t="s">
        <v>174</v>
      </c>
      <c r="D434" s="3">
        <v>46188</v>
      </c>
      <c r="E434" s="4">
        <v>46194</v>
      </c>
      <c r="F434" s="5">
        <v>7</v>
      </c>
      <c r="G434" s="2" t="s">
        <v>105</v>
      </c>
      <c r="H434" s="17">
        <v>299900</v>
      </c>
      <c r="I434" s="18">
        <v>269900</v>
      </c>
      <c r="J434" s="17">
        <v>249900</v>
      </c>
      <c r="K434" s="17">
        <v>269900</v>
      </c>
      <c r="L434" s="6">
        <v>18</v>
      </c>
      <c r="M434" s="6">
        <v>4858200</v>
      </c>
      <c r="N434" s="17">
        <v>4416545.4545454541</v>
      </c>
      <c r="O434" s="17">
        <v>4416545.4545454541</v>
      </c>
      <c r="P434" t="s">
        <v>211</v>
      </c>
      <c r="Q434" t="s">
        <v>232</v>
      </c>
    </row>
    <row r="435" spans="1:18" x14ac:dyDescent="0.35">
      <c r="A435" t="str">
        <f>_xlfn.XLOOKUP(B435,Mapping!C:C,Mapping!D:D)</f>
        <v>other Online malls</v>
      </c>
      <c r="B435" s="2" t="s">
        <v>301</v>
      </c>
      <c r="C435" s="2" t="s">
        <v>174</v>
      </c>
      <c r="D435" s="3">
        <v>46188</v>
      </c>
      <c r="E435" s="4">
        <v>46194</v>
      </c>
      <c r="F435" s="5">
        <v>7</v>
      </c>
      <c r="G435" s="2" t="s">
        <v>19</v>
      </c>
      <c r="H435" s="17">
        <v>249900</v>
      </c>
      <c r="I435" s="18">
        <v>219900</v>
      </c>
      <c r="J435" s="17">
        <v>199900</v>
      </c>
      <c r="K435" s="17">
        <v>219900</v>
      </c>
      <c r="L435" s="6">
        <v>15</v>
      </c>
      <c r="M435" s="6">
        <v>3298500</v>
      </c>
      <c r="N435" s="17">
        <v>2998636.3636363633</v>
      </c>
      <c r="O435" s="17">
        <v>2998636.3636363633</v>
      </c>
      <c r="P435" t="s">
        <v>215</v>
      </c>
      <c r="Q435" t="s">
        <v>216</v>
      </c>
    </row>
    <row r="436" spans="1:18" x14ac:dyDescent="0.35">
      <c r="A436" t="str">
        <f>_xlfn.XLOOKUP(B436,Mapping!C:C,Mapping!D:D)</f>
        <v>other Online malls</v>
      </c>
      <c r="B436" s="2" t="s">
        <v>301</v>
      </c>
      <c r="C436" s="2" t="s">
        <v>174</v>
      </c>
      <c r="D436" s="3">
        <v>46188</v>
      </c>
      <c r="E436" s="4">
        <v>46194</v>
      </c>
      <c r="F436" s="5">
        <v>7</v>
      </c>
      <c r="G436" s="2" t="s">
        <v>109</v>
      </c>
      <c r="H436" s="17">
        <v>249900</v>
      </c>
      <c r="I436" s="18">
        <v>219900</v>
      </c>
      <c r="J436" s="17">
        <v>199900</v>
      </c>
      <c r="K436" s="17">
        <v>219900</v>
      </c>
      <c r="L436" s="6">
        <v>18.25</v>
      </c>
      <c r="M436" s="6">
        <v>4013175</v>
      </c>
      <c r="N436" s="17">
        <v>3648340.9090909087</v>
      </c>
      <c r="O436" s="17">
        <v>3648340.9090909087</v>
      </c>
      <c r="P436" t="s">
        <v>225</v>
      </c>
      <c r="Q436" t="s">
        <v>226</v>
      </c>
    </row>
    <row r="437" spans="1:18" x14ac:dyDescent="0.35">
      <c r="A437" t="str">
        <f>_xlfn.XLOOKUP(B437,Mapping!C:C,Mapping!D:D)</f>
        <v>other Online malls</v>
      </c>
      <c r="B437" s="2" t="s">
        <v>301</v>
      </c>
      <c r="C437" s="2" t="s">
        <v>174</v>
      </c>
      <c r="D437" s="3">
        <v>46188</v>
      </c>
      <c r="E437" s="4">
        <v>46194</v>
      </c>
      <c r="F437" s="5">
        <v>7</v>
      </c>
      <c r="G437" s="2" t="s">
        <v>87</v>
      </c>
      <c r="H437" s="17">
        <v>219900</v>
      </c>
      <c r="I437" s="18">
        <v>199900</v>
      </c>
      <c r="J437" s="17">
        <v>179900</v>
      </c>
      <c r="K437" s="17">
        <v>199900</v>
      </c>
      <c r="L437" s="6">
        <v>16</v>
      </c>
      <c r="M437" s="6">
        <v>3198400</v>
      </c>
      <c r="N437" s="17">
        <v>2907636.3636363633</v>
      </c>
      <c r="O437" s="17">
        <v>2907636.3636363633</v>
      </c>
      <c r="P437" t="s">
        <v>225</v>
      </c>
      <c r="Q437" t="s">
        <v>226</v>
      </c>
    </row>
    <row r="438" spans="1:18" x14ac:dyDescent="0.35">
      <c r="A438" t="str">
        <f>_xlfn.XLOOKUP(B438,Mapping!C:C,Mapping!D:D)</f>
        <v>other Online malls</v>
      </c>
      <c r="B438" s="2" t="s">
        <v>301</v>
      </c>
      <c r="C438" s="2" t="s">
        <v>174</v>
      </c>
      <c r="D438" s="3">
        <v>46188</v>
      </c>
      <c r="E438" s="4">
        <v>46194</v>
      </c>
      <c r="F438" s="5">
        <v>7</v>
      </c>
      <c r="G438" s="2" t="s">
        <v>91</v>
      </c>
      <c r="H438" s="17">
        <v>219900</v>
      </c>
      <c r="I438" s="18">
        <v>199900</v>
      </c>
      <c r="J438" s="17">
        <v>179900</v>
      </c>
      <c r="K438" s="17">
        <v>199900</v>
      </c>
      <c r="L438" s="6">
        <v>15.333333333333334</v>
      </c>
      <c r="M438" s="6">
        <v>3065133.3333333335</v>
      </c>
      <c r="N438" s="17">
        <v>2786484.8484848482</v>
      </c>
      <c r="O438" s="17">
        <v>2786484.8484848482</v>
      </c>
      <c r="P438" t="s">
        <v>225</v>
      </c>
      <c r="Q438" t="s">
        <v>226</v>
      </c>
    </row>
    <row r="439" spans="1:18" x14ac:dyDescent="0.35">
      <c r="A439" t="str">
        <f>_xlfn.XLOOKUP(B439,Mapping!C:C,Mapping!D:D)</f>
        <v>other Online malls</v>
      </c>
      <c r="B439" s="2" t="s">
        <v>301</v>
      </c>
      <c r="C439" s="2" t="s">
        <v>174</v>
      </c>
      <c r="D439" s="3">
        <v>46188</v>
      </c>
      <c r="E439" s="4">
        <v>46194</v>
      </c>
      <c r="F439" s="5">
        <v>7</v>
      </c>
      <c r="G439" s="2" t="s">
        <v>111</v>
      </c>
      <c r="H439" s="17">
        <v>249900</v>
      </c>
      <c r="I439" s="18">
        <v>219900</v>
      </c>
      <c r="J439" s="17">
        <v>199900</v>
      </c>
      <c r="K439" s="17">
        <v>219900</v>
      </c>
      <c r="L439" s="6">
        <v>13.25</v>
      </c>
      <c r="M439" s="6">
        <v>2913675</v>
      </c>
      <c r="N439" s="17">
        <v>2648795.4545454541</v>
      </c>
      <c r="O439" s="17">
        <v>2648795.4545454541</v>
      </c>
      <c r="P439" t="s">
        <v>225</v>
      </c>
      <c r="Q439" t="s">
        <v>226</v>
      </c>
    </row>
    <row r="440" spans="1:18" x14ac:dyDescent="0.35">
      <c r="A440" t="str">
        <f>_xlfn.XLOOKUP(B440,Mapping!C:C,Mapping!D:D)</f>
        <v>other Online malls</v>
      </c>
      <c r="B440" s="2" t="s">
        <v>301</v>
      </c>
      <c r="C440" s="2" t="s">
        <v>174</v>
      </c>
      <c r="D440" s="3">
        <v>46188</v>
      </c>
      <c r="E440" s="4">
        <v>46194</v>
      </c>
      <c r="F440" s="5">
        <v>7</v>
      </c>
      <c r="G440" s="2" t="s">
        <v>96</v>
      </c>
      <c r="H440" s="17">
        <v>139900</v>
      </c>
      <c r="I440" s="18">
        <v>119900</v>
      </c>
      <c r="J440" s="17">
        <v>99900</v>
      </c>
      <c r="K440" s="17">
        <v>119900</v>
      </c>
      <c r="L440" s="6">
        <v>5.5</v>
      </c>
      <c r="M440" s="6">
        <v>659450</v>
      </c>
      <c r="N440" s="17">
        <v>599499.99999999988</v>
      </c>
      <c r="O440" s="17">
        <v>599499.99999999988</v>
      </c>
      <c r="P440" t="s">
        <v>213</v>
      </c>
      <c r="Q440" t="s">
        <v>230</v>
      </c>
    </row>
    <row r="441" spans="1:18" x14ac:dyDescent="0.35">
      <c r="A441" t="str">
        <f>_xlfn.XLOOKUP(B441,Mapping!C:C,Mapping!D:D)</f>
        <v>other Online malls</v>
      </c>
      <c r="B441" s="2" t="s">
        <v>301</v>
      </c>
      <c r="C441" s="2" t="s">
        <v>174</v>
      </c>
      <c r="D441" s="3">
        <v>46188</v>
      </c>
      <c r="E441" s="4">
        <v>46194</v>
      </c>
      <c r="F441" s="5">
        <v>7</v>
      </c>
      <c r="G441" s="2" t="s">
        <v>99</v>
      </c>
      <c r="H441" s="17">
        <v>219900</v>
      </c>
      <c r="I441" s="18">
        <v>199900</v>
      </c>
      <c r="J441" s="17">
        <v>179900</v>
      </c>
      <c r="K441" s="17">
        <v>199900</v>
      </c>
      <c r="L441" s="6">
        <v>17.166666666666668</v>
      </c>
      <c r="M441" s="6">
        <v>3431616.666666667</v>
      </c>
      <c r="N441" s="17">
        <v>3119651.5151515151</v>
      </c>
      <c r="O441" s="17">
        <v>3119651.5151515151</v>
      </c>
      <c r="P441" t="s">
        <v>225</v>
      </c>
      <c r="Q441" t="s">
        <v>226</v>
      </c>
    </row>
    <row r="442" spans="1:18" x14ac:dyDescent="0.35">
      <c r="A442" t="str">
        <f>_xlfn.XLOOKUP(B442,Mapping!C:C,Mapping!D:D)</f>
        <v>Group Buying</v>
      </c>
      <c r="B442" s="2" t="s">
        <v>114</v>
      </c>
      <c r="C442" s="2" t="s">
        <v>116</v>
      </c>
      <c r="D442" s="3">
        <v>46174</v>
      </c>
      <c r="E442" s="3">
        <v>46177</v>
      </c>
      <c r="F442">
        <v>4</v>
      </c>
      <c r="G442" t="s">
        <v>25</v>
      </c>
      <c r="H442" s="19">
        <v>899000</v>
      </c>
      <c r="I442" s="19">
        <v>779000</v>
      </c>
      <c r="J442" s="19">
        <v>749000</v>
      </c>
      <c r="K442" s="19">
        <v>749000</v>
      </c>
      <c r="L442">
        <v>25</v>
      </c>
      <c r="M442" s="13">
        <v>18725000</v>
      </c>
      <c r="N442" s="19">
        <v>10894545.454545453</v>
      </c>
      <c r="O442" s="19">
        <v>10676654.545454545</v>
      </c>
      <c r="P442" t="e">
        <f>_xlfn.XLOOKUP(G442,#REF!,#REF!)</f>
        <v>#REF!</v>
      </c>
      <c r="Q442" t="e">
        <f>_xlfn.XLOOKUP(G442,#REF!,#REF!)</f>
        <v>#REF!</v>
      </c>
      <c r="R442" s="13"/>
    </row>
    <row r="443" spans="1:18" x14ac:dyDescent="0.35">
      <c r="A443" t="str">
        <f>_xlfn.XLOOKUP(B443,Mapping!C:C,Mapping!D:D)</f>
        <v>Group Buying</v>
      </c>
      <c r="B443" s="2" t="s">
        <v>114</v>
      </c>
      <c r="C443" s="2" t="s">
        <v>117</v>
      </c>
      <c r="D443" s="3">
        <v>46174</v>
      </c>
      <c r="E443" s="3">
        <v>46177</v>
      </c>
      <c r="F443">
        <v>4</v>
      </c>
      <c r="G443" t="s">
        <v>21</v>
      </c>
      <c r="H443" s="19">
        <v>449900</v>
      </c>
      <c r="I443" s="19">
        <v>379900</v>
      </c>
      <c r="J443" s="19">
        <v>349900</v>
      </c>
      <c r="K443" s="19">
        <v>349900</v>
      </c>
      <c r="L443">
        <v>150</v>
      </c>
      <c r="M443" s="13">
        <v>52485000</v>
      </c>
      <c r="N443" s="19">
        <v>30536727.27272727</v>
      </c>
      <c r="O443" s="19">
        <v>29925992.727272723</v>
      </c>
      <c r="P443" t="s">
        <v>211</v>
      </c>
      <c r="Q443" t="s">
        <v>217</v>
      </c>
      <c r="R443" s="13"/>
    </row>
    <row r="444" spans="1:18" x14ac:dyDescent="0.35">
      <c r="A444" t="str">
        <f>_xlfn.XLOOKUP(B444,Mapping!C:C,Mapping!D:D)</f>
        <v>Group Buying</v>
      </c>
      <c r="B444" s="2" t="s">
        <v>114</v>
      </c>
      <c r="C444" s="2" t="s">
        <v>118</v>
      </c>
      <c r="D444" s="3">
        <v>46174</v>
      </c>
      <c r="E444" s="3">
        <v>46180</v>
      </c>
      <c r="F444">
        <v>7</v>
      </c>
      <c r="G444" t="s">
        <v>38</v>
      </c>
      <c r="H444" s="19">
        <v>429900</v>
      </c>
      <c r="I444" s="19">
        <v>399900</v>
      </c>
      <c r="J444" s="19">
        <v>349900</v>
      </c>
      <c r="K444" s="19">
        <v>399900</v>
      </c>
      <c r="L444">
        <v>200</v>
      </c>
      <c r="M444" s="13">
        <v>79980000</v>
      </c>
      <c r="N444" s="19">
        <v>46533818.18181818</v>
      </c>
      <c r="O444" s="19">
        <v>45603141.818181813</v>
      </c>
      <c r="P444" t="s">
        <v>215</v>
      </c>
      <c r="Q444" t="s">
        <v>227</v>
      </c>
      <c r="R444" s="13"/>
    </row>
    <row r="445" spans="1:18" x14ac:dyDescent="0.35">
      <c r="A445" t="str">
        <f>_xlfn.XLOOKUP(B445,Mapping!C:C,Mapping!D:D)</f>
        <v>Group Buying</v>
      </c>
      <c r="B445" s="2" t="s">
        <v>114</v>
      </c>
      <c r="C445" s="2" t="s">
        <v>247</v>
      </c>
      <c r="D445" s="3">
        <v>46174</v>
      </c>
      <c r="E445" s="3">
        <v>46180</v>
      </c>
      <c r="F445">
        <v>7</v>
      </c>
      <c r="G445" t="s">
        <v>32</v>
      </c>
      <c r="H445" s="19">
        <v>349900</v>
      </c>
      <c r="I445" s="19">
        <v>299900</v>
      </c>
      <c r="J445" s="19">
        <v>269900</v>
      </c>
      <c r="K445" s="19">
        <v>269900</v>
      </c>
      <c r="L445">
        <v>100</v>
      </c>
      <c r="M445" s="13">
        <v>26990000</v>
      </c>
      <c r="N445" s="19">
        <v>15703272.727272727</v>
      </c>
      <c r="O445" s="19">
        <v>15389207.272727272</v>
      </c>
      <c r="P445" t="s">
        <v>211</v>
      </c>
      <c r="Q445" t="s">
        <v>224</v>
      </c>
      <c r="R445" s="13"/>
    </row>
    <row r="446" spans="1:18" x14ac:dyDescent="0.35">
      <c r="A446" t="str">
        <f>_xlfn.XLOOKUP(B446,Mapping!C:C,Mapping!D:D)</f>
        <v>Group Buying</v>
      </c>
      <c r="B446" s="2" t="s">
        <v>114</v>
      </c>
      <c r="C446" s="2" t="s">
        <v>119</v>
      </c>
      <c r="D446" s="3">
        <v>46174</v>
      </c>
      <c r="E446" s="3">
        <v>46176</v>
      </c>
      <c r="F446">
        <v>3</v>
      </c>
      <c r="G446" t="s">
        <v>18</v>
      </c>
      <c r="H446" s="19">
        <v>249900</v>
      </c>
      <c r="I446" s="19">
        <v>219900</v>
      </c>
      <c r="J446" s="19">
        <v>199900</v>
      </c>
      <c r="K446" s="19">
        <v>219900</v>
      </c>
      <c r="L446">
        <v>500</v>
      </c>
      <c r="M446" s="13">
        <v>109950000</v>
      </c>
      <c r="N446" s="19">
        <v>63970909.090909086</v>
      </c>
      <c r="O446" s="19">
        <v>62691490.909090906</v>
      </c>
      <c r="P446" t="s">
        <v>215</v>
      </c>
      <c r="Q446" t="s">
        <v>216</v>
      </c>
      <c r="R446" s="13"/>
    </row>
    <row r="447" spans="1:18" x14ac:dyDescent="0.35">
      <c r="A447" t="str">
        <f>_xlfn.XLOOKUP(B447,Mapping!C:C,Mapping!D:D)</f>
        <v>Group Buying</v>
      </c>
      <c r="B447" s="2" t="s">
        <v>114</v>
      </c>
      <c r="C447" s="2" t="s">
        <v>119</v>
      </c>
      <c r="D447" s="3">
        <v>46174</v>
      </c>
      <c r="E447" s="3">
        <v>46176</v>
      </c>
      <c r="F447">
        <v>3</v>
      </c>
      <c r="G447" t="s">
        <v>19</v>
      </c>
      <c r="H447" s="19">
        <v>249900</v>
      </c>
      <c r="I447" s="19">
        <v>219900</v>
      </c>
      <c r="J447" s="19">
        <v>199900</v>
      </c>
      <c r="K447" s="19">
        <v>219900</v>
      </c>
      <c r="L447">
        <v>0</v>
      </c>
      <c r="M447" s="13">
        <v>0</v>
      </c>
      <c r="N447" s="19">
        <v>0</v>
      </c>
      <c r="O447" s="19">
        <v>0</v>
      </c>
      <c r="P447" t="s">
        <v>215</v>
      </c>
      <c r="Q447" t="s">
        <v>216</v>
      </c>
      <c r="R447" s="13"/>
    </row>
    <row r="448" spans="1:18" x14ac:dyDescent="0.35">
      <c r="A448" t="str">
        <f>_xlfn.XLOOKUP(B448,Mapping!C:C,Mapping!D:D)</f>
        <v>Group Buying</v>
      </c>
      <c r="B448" s="2" t="s">
        <v>114</v>
      </c>
      <c r="C448" s="2" t="s">
        <v>253</v>
      </c>
      <c r="D448" s="3">
        <v>46175</v>
      </c>
      <c r="E448" s="3">
        <v>46180</v>
      </c>
      <c r="F448">
        <v>6</v>
      </c>
      <c r="G448" t="s">
        <v>32</v>
      </c>
      <c r="H448" s="19">
        <v>349900</v>
      </c>
      <c r="I448" s="19">
        <v>299900</v>
      </c>
      <c r="J448" s="19">
        <v>269900</v>
      </c>
      <c r="K448" s="19">
        <v>269900</v>
      </c>
      <c r="L448">
        <v>100</v>
      </c>
      <c r="M448" s="13">
        <v>26990000</v>
      </c>
      <c r="N448" s="19">
        <v>15703272.727272727</v>
      </c>
      <c r="O448" s="19">
        <v>15389207.272727272</v>
      </c>
      <c r="P448" t="s">
        <v>211</v>
      </c>
      <c r="Q448" t="s">
        <v>224</v>
      </c>
      <c r="R448" s="13"/>
    </row>
    <row r="449" spans="1:18" x14ac:dyDescent="0.35">
      <c r="A449" t="str">
        <f>_xlfn.XLOOKUP(B449,Mapping!C:C,Mapping!D:D)</f>
        <v>Group Buying</v>
      </c>
      <c r="B449" s="2" t="s">
        <v>114</v>
      </c>
      <c r="C449" s="2" t="s">
        <v>120</v>
      </c>
      <c r="D449" s="3">
        <v>46176</v>
      </c>
      <c r="E449" s="3">
        <v>46180</v>
      </c>
      <c r="F449">
        <v>5</v>
      </c>
      <c r="G449" t="s">
        <v>32</v>
      </c>
      <c r="H449" s="19">
        <v>349900</v>
      </c>
      <c r="I449" s="19">
        <v>299900</v>
      </c>
      <c r="J449" s="19">
        <v>269900</v>
      </c>
      <c r="K449" s="19">
        <v>269900</v>
      </c>
      <c r="L449">
        <v>100</v>
      </c>
      <c r="M449" s="13">
        <v>26990000</v>
      </c>
      <c r="N449" s="19">
        <v>15703272.727272727</v>
      </c>
      <c r="O449" s="19">
        <v>15389207.272727272</v>
      </c>
      <c r="P449" t="s">
        <v>211</v>
      </c>
      <c r="Q449" t="s">
        <v>224</v>
      </c>
      <c r="R449" s="13"/>
    </row>
    <row r="450" spans="1:18" x14ac:dyDescent="0.35">
      <c r="A450" t="str">
        <f>_xlfn.XLOOKUP(B450,Mapping!C:C,Mapping!D:D)</f>
        <v>Group Buying</v>
      </c>
      <c r="B450" s="2" t="s">
        <v>114</v>
      </c>
      <c r="C450" s="2" t="s">
        <v>121</v>
      </c>
      <c r="D450" s="3">
        <v>46177</v>
      </c>
      <c r="E450" s="3">
        <v>46203</v>
      </c>
      <c r="F450">
        <v>27</v>
      </c>
      <c r="G450" t="s">
        <v>21</v>
      </c>
      <c r="H450" s="19">
        <v>449900</v>
      </c>
      <c r="I450" s="19">
        <v>379900</v>
      </c>
      <c r="J450" s="19">
        <v>349900</v>
      </c>
      <c r="K450" s="19">
        <v>349900</v>
      </c>
      <c r="L450">
        <v>150</v>
      </c>
      <c r="M450" s="13">
        <v>52485000</v>
      </c>
      <c r="N450" s="19">
        <v>30536727.27272727</v>
      </c>
      <c r="O450" s="19">
        <v>29925992.727272723</v>
      </c>
      <c r="P450" t="s">
        <v>211</v>
      </c>
      <c r="Q450" t="s">
        <v>217</v>
      </c>
      <c r="R450" s="13"/>
    </row>
    <row r="451" spans="1:18" x14ac:dyDescent="0.35">
      <c r="A451" t="str">
        <f>_xlfn.XLOOKUP(B451,Mapping!C:C,Mapping!D:D)</f>
        <v>Group Buying</v>
      </c>
      <c r="B451" s="2" t="s">
        <v>114</v>
      </c>
      <c r="C451" s="2" t="s">
        <v>122</v>
      </c>
      <c r="D451" s="3">
        <v>46177</v>
      </c>
      <c r="E451" s="3">
        <v>46184</v>
      </c>
      <c r="F451">
        <v>8</v>
      </c>
      <c r="G451" t="s">
        <v>32</v>
      </c>
      <c r="H451" s="19">
        <v>349900</v>
      </c>
      <c r="I451" s="19">
        <v>299900</v>
      </c>
      <c r="J451" s="19">
        <v>269900</v>
      </c>
      <c r="K451" s="19">
        <v>269900</v>
      </c>
      <c r="L451">
        <v>100</v>
      </c>
      <c r="M451" s="13">
        <v>26990000</v>
      </c>
      <c r="N451" s="19">
        <v>15703272.727272727</v>
      </c>
      <c r="O451" s="19">
        <v>15389207.272727272</v>
      </c>
      <c r="P451" t="s">
        <v>211</v>
      </c>
      <c r="Q451" t="s">
        <v>224</v>
      </c>
      <c r="R451" s="13"/>
    </row>
    <row r="452" spans="1:18" x14ac:dyDescent="0.35">
      <c r="A452" t="str">
        <f>_xlfn.XLOOKUP(B452,Mapping!C:C,Mapping!D:D)</f>
        <v>Group Buying</v>
      </c>
      <c r="B452" s="2" t="s">
        <v>114</v>
      </c>
      <c r="C452" s="2" t="s">
        <v>255</v>
      </c>
      <c r="D452" s="3">
        <v>46177</v>
      </c>
      <c r="E452" s="3">
        <v>46180</v>
      </c>
      <c r="F452">
        <v>4</v>
      </c>
      <c r="G452" t="s">
        <v>87</v>
      </c>
      <c r="H452" s="19">
        <v>219900</v>
      </c>
      <c r="I452" s="19">
        <v>199900</v>
      </c>
      <c r="J452" s="19">
        <v>179900</v>
      </c>
      <c r="K452" s="19">
        <v>179900</v>
      </c>
      <c r="L452">
        <v>0</v>
      </c>
      <c r="M452" s="13">
        <v>0</v>
      </c>
      <c r="N452" s="19">
        <v>0</v>
      </c>
      <c r="O452" s="19">
        <v>0</v>
      </c>
      <c r="P452" t="s">
        <v>225</v>
      </c>
      <c r="Q452" t="s">
        <v>226</v>
      </c>
      <c r="R452" s="13"/>
    </row>
    <row r="453" spans="1:18" x14ac:dyDescent="0.35">
      <c r="A453" t="str">
        <f>_xlfn.XLOOKUP(B453,Mapping!C:C,Mapping!D:D)</f>
        <v>Group Buying</v>
      </c>
      <c r="B453" s="2" t="s">
        <v>114</v>
      </c>
      <c r="C453" s="2" t="s">
        <v>255</v>
      </c>
      <c r="D453" s="3">
        <v>46177</v>
      </c>
      <c r="E453" s="3">
        <v>46180</v>
      </c>
      <c r="F453">
        <v>4</v>
      </c>
      <c r="G453" t="s">
        <v>98</v>
      </c>
      <c r="H453" s="19">
        <v>219900</v>
      </c>
      <c r="I453" s="19">
        <v>199900</v>
      </c>
      <c r="J453" s="19">
        <v>179900</v>
      </c>
      <c r="K453" s="19">
        <v>179900</v>
      </c>
      <c r="L453">
        <v>150</v>
      </c>
      <c r="M453" s="13">
        <v>26985000</v>
      </c>
      <c r="N453" s="19">
        <v>15700363.636363635</v>
      </c>
      <c r="O453" s="19">
        <v>15386356.363636361</v>
      </c>
      <c r="P453" t="s">
        <v>225</v>
      </c>
      <c r="Q453" t="s">
        <v>226</v>
      </c>
      <c r="R453" s="13"/>
    </row>
    <row r="454" spans="1:18" x14ac:dyDescent="0.35">
      <c r="A454" t="str">
        <f>_xlfn.XLOOKUP(B454,Mapping!C:C,Mapping!D:D)</f>
        <v>Group Buying</v>
      </c>
      <c r="B454" s="2" t="s">
        <v>114</v>
      </c>
      <c r="C454" s="2" t="s">
        <v>255</v>
      </c>
      <c r="D454" s="3">
        <v>46177</v>
      </c>
      <c r="E454" s="3">
        <v>46180</v>
      </c>
      <c r="F454">
        <v>4</v>
      </c>
      <c r="G454" t="s">
        <v>99</v>
      </c>
      <c r="H454" s="19">
        <v>219900</v>
      </c>
      <c r="I454" s="19">
        <v>199900</v>
      </c>
      <c r="J454" s="19">
        <v>179900</v>
      </c>
      <c r="K454" s="19">
        <v>179900</v>
      </c>
      <c r="L454">
        <v>0</v>
      </c>
      <c r="M454" s="13">
        <v>0</v>
      </c>
      <c r="N454" s="19">
        <v>0</v>
      </c>
      <c r="O454" s="19">
        <v>0</v>
      </c>
      <c r="P454" t="s">
        <v>225</v>
      </c>
      <c r="Q454" t="s">
        <v>226</v>
      </c>
      <c r="R454" s="13"/>
    </row>
    <row r="455" spans="1:18" x14ac:dyDescent="0.35">
      <c r="A455" t="str">
        <f>_xlfn.XLOOKUP(B455,Mapping!C:C,Mapping!D:D)</f>
        <v>Group Buying</v>
      </c>
      <c r="B455" s="2" t="s">
        <v>114</v>
      </c>
      <c r="C455" s="2" t="s">
        <v>255</v>
      </c>
      <c r="D455" s="3">
        <v>46177</v>
      </c>
      <c r="E455" s="3">
        <v>46180</v>
      </c>
      <c r="F455">
        <v>4</v>
      </c>
      <c r="G455" t="s">
        <v>264</v>
      </c>
      <c r="H455" s="19">
        <v>899000</v>
      </c>
      <c r="I455" s="19">
        <v>779000</v>
      </c>
      <c r="J455" s="19">
        <v>749000</v>
      </c>
      <c r="K455" s="19">
        <v>749000</v>
      </c>
      <c r="L455">
        <v>25</v>
      </c>
      <c r="M455" s="13">
        <v>18725000</v>
      </c>
      <c r="N455" s="19">
        <v>10894545.454545453</v>
      </c>
      <c r="O455" s="19">
        <v>10676654.545454545</v>
      </c>
      <c r="P455" t="s">
        <v>213</v>
      </c>
      <c r="Q455" t="s">
        <v>221</v>
      </c>
      <c r="R455" s="13"/>
    </row>
    <row r="456" spans="1:18" x14ac:dyDescent="0.35">
      <c r="A456" t="str">
        <f>_xlfn.XLOOKUP(B456,Mapping!C:C,Mapping!D:D)</f>
        <v>Group Buying</v>
      </c>
      <c r="B456" s="2" t="s">
        <v>114</v>
      </c>
      <c r="C456" s="2" t="s">
        <v>255</v>
      </c>
      <c r="D456" s="3">
        <v>46177</v>
      </c>
      <c r="E456" s="3">
        <v>46180</v>
      </c>
      <c r="F456">
        <v>4</v>
      </c>
      <c r="G456" t="s">
        <v>21</v>
      </c>
      <c r="H456" s="19">
        <v>449900</v>
      </c>
      <c r="I456" s="19">
        <v>379900</v>
      </c>
      <c r="J456" s="19">
        <v>349900</v>
      </c>
      <c r="K456" s="19">
        <v>349900</v>
      </c>
      <c r="L456">
        <v>150</v>
      </c>
      <c r="M456" s="13">
        <v>52485000</v>
      </c>
      <c r="N456" s="19">
        <v>30536727.27272727</v>
      </c>
      <c r="O456" s="19">
        <v>29925992.727272723</v>
      </c>
      <c r="P456" t="s">
        <v>211</v>
      </c>
      <c r="Q456" t="s">
        <v>217</v>
      </c>
      <c r="R456" s="13"/>
    </row>
    <row r="457" spans="1:18" x14ac:dyDescent="0.35">
      <c r="A457" t="str">
        <f>_xlfn.XLOOKUP(B457,Mapping!C:C,Mapping!D:D)</f>
        <v>Group Buying</v>
      </c>
      <c r="B457" s="2" t="s">
        <v>114</v>
      </c>
      <c r="C457" s="2" t="s">
        <v>255</v>
      </c>
      <c r="D457" s="3">
        <v>46177</v>
      </c>
      <c r="E457" s="3">
        <v>46180</v>
      </c>
      <c r="F457">
        <v>4</v>
      </c>
      <c r="G457" t="s">
        <v>32</v>
      </c>
      <c r="H457" s="19">
        <v>349900</v>
      </c>
      <c r="I457" s="19">
        <v>299900</v>
      </c>
      <c r="J457" s="19">
        <v>269900</v>
      </c>
      <c r="K457" s="19">
        <v>269900</v>
      </c>
      <c r="L457">
        <v>100</v>
      </c>
      <c r="M457" s="13">
        <v>26990000</v>
      </c>
      <c r="N457" s="19">
        <v>15703272.727272727</v>
      </c>
      <c r="O457" s="19">
        <v>15389207.272727272</v>
      </c>
      <c r="P457" t="s">
        <v>211</v>
      </c>
      <c r="Q457" t="s">
        <v>224</v>
      </c>
      <c r="R457" s="13"/>
    </row>
    <row r="458" spans="1:18" x14ac:dyDescent="0.35">
      <c r="A458" t="str">
        <f>_xlfn.XLOOKUP(B458,Mapping!C:C,Mapping!D:D)</f>
        <v>Group Buying</v>
      </c>
      <c r="B458" s="2" t="s">
        <v>114</v>
      </c>
      <c r="C458" s="2" t="s">
        <v>123</v>
      </c>
      <c r="D458" s="3">
        <v>46177</v>
      </c>
      <c r="E458" s="3">
        <v>46179</v>
      </c>
      <c r="F458">
        <v>3</v>
      </c>
      <c r="G458" t="s">
        <v>18</v>
      </c>
      <c r="H458" s="19">
        <v>249900</v>
      </c>
      <c r="I458" s="19">
        <v>219900</v>
      </c>
      <c r="J458" s="19">
        <v>199900</v>
      </c>
      <c r="K458" s="19">
        <v>219900</v>
      </c>
      <c r="L458">
        <v>500</v>
      </c>
      <c r="M458" s="13">
        <v>109950000</v>
      </c>
      <c r="N458" s="19">
        <v>63970909.090909086</v>
      </c>
      <c r="O458" s="19">
        <v>62691490.909090906</v>
      </c>
      <c r="P458" t="s">
        <v>215</v>
      </c>
      <c r="Q458" t="s">
        <v>216</v>
      </c>
      <c r="R458" s="13"/>
    </row>
    <row r="459" spans="1:18" x14ac:dyDescent="0.35">
      <c r="A459" t="str">
        <f>_xlfn.XLOOKUP(B459,Mapping!C:C,Mapping!D:D)</f>
        <v>Group Buying</v>
      </c>
      <c r="B459" s="2" t="s">
        <v>114</v>
      </c>
      <c r="C459" s="2" t="s">
        <v>123</v>
      </c>
      <c r="D459" s="3">
        <v>46177</v>
      </c>
      <c r="E459" s="3">
        <v>46179</v>
      </c>
      <c r="F459">
        <v>3</v>
      </c>
      <c r="G459" t="s">
        <v>19</v>
      </c>
      <c r="H459" s="19">
        <v>249900</v>
      </c>
      <c r="I459" s="19">
        <v>219900</v>
      </c>
      <c r="J459" s="19">
        <v>199900</v>
      </c>
      <c r="K459" s="19">
        <v>219900</v>
      </c>
      <c r="L459">
        <v>0</v>
      </c>
      <c r="M459" s="13">
        <v>0</v>
      </c>
      <c r="N459" s="19">
        <v>0</v>
      </c>
      <c r="O459" s="19">
        <v>0</v>
      </c>
      <c r="P459" t="s">
        <v>215</v>
      </c>
      <c r="Q459" t="s">
        <v>216</v>
      </c>
      <c r="R459" s="13"/>
    </row>
    <row r="460" spans="1:18" x14ac:dyDescent="0.35">
      <c r="A460" t="str">
        <f>_xlfn.XLOOKUP(B460,Mapping!C:C,Mapping!D:D)</f>
        <v>Group Buying</v>
      </c>
      <c r="B460" s="2" t="s">
        <v>114</v>
      </c>
      <c r="C460" s="2" t="s">
        <v>124</v>
      </c>
      <c r="D460" s="3">
        <v>46178</v>
      </c>
      <c r="E460" s="3">
        <v>46183</v>
      </c>
      <c r="F460">
        <v>6</v>
      </c>
      <c r="G460" t="s">
        <v>32</v>
      </c>
      <c r="H460" s="19">
        <v>349900</v>
      </c>
      <c r="I460" s="19">
        <v>299900</v>
      </c>
      <c r="J460" s="19">
        <v>269900</v>
      </c>
      <c r="K460" s="19">
        <v>269900</v>
      </c>
      <c r="L460">
        <v>100</v>
      </c>
      <c r="M460" s="13">
        <v>26990000</v>
      </c>
      <c r="N460" s="19">
        <v>15703272.727272727</v>
      </c>
      <c r="O460" s="19">
        <v>15389207.272727272</v>
      </c>
      <c r="P460" t="s">
        <v>211</v>
      </c>
      <c r="Q460" t="s">
        <v>224</v>
      </c>
      <c r="R460" s="13"/>
    </row>
    <row r="461" spans="1:18" x14ac:dyDescent="0.35">
      <c r="A461" t="str">
        <f>_xlfn.XLOOKUP(B461,Mapping!C:C,Mapping!D:D)</f>
        <v>Group Buying</v>
      </c>
      <c r="B461" s="2" t="s">
        <v>114</v>
      </c>
      <c r="C461" s="2" t="s">
        <v>125</v>
      </c>
      <c r="D461" s="3">
        <v>46178</v>
      </c>
      <c r="E461" s="3">
        <v>46181</v>
      </c>
      <c r="F461">
        <v>4</v>
      </c>
      <c r="G461" t="s">
        <v>32</v>
      </c>
      <c r="H461" s="19">
        <v>349900</v>
      </c>
      <c r="I461" s="19">
        <v>299900</v>
      </c>
      <c r="J461" s="19">
        <v>269900</v>
      </c>
      <c r="K461" s="19">
        <v>269900</v>
      </c>
      <c r="L461">
        <v>100</v>
      </c>
      <c r="M461" s="13">
        <v>26990000</v>
      </c>
      <c r="N461" s="19">
        <v>15703272.727272727</v>
      </c>
      <c r="O461" s="19">
        <v>15389207.272727272</v>
      </c>
      <c r="P461" t="s">
        <v>211</v>
      </c>
      <c r="Q461" t="s">
        <v>224</v>
      </c>
      <c r="R461" s="13"/>
    </row>
    <row r="462" spans="1:18" x14ac:dyDescent="0.35">
      <c r="A462" t="str">
        <f>_xlfn.XLOOKUP(B462,Mapping!C:C,Mapping!D:D)</f>
        <v>Group Buying</v>
      </c>
      <c r="B462" s="2" t="s">
        <v>114</v>
      </c>
      <c r="C462" s="2" t="s">
        <v>126</v>
      </c>
      <c r="D462" s="3">
        <v>46181</v>
      </c>
      <c r="E462" s="3">
        <v>46187</v>
      </c>
      <c r="F462">
        <v>7</v>
      </c>
      <c r="G462" t="s">
        <v>87</v>
      </c>
      <c r="H462" s="19">
        <v>219900</v>
      </c>
      <c r="I462" s="19">
        <v>199900</v>
      </c>
      <c r="J462" s="19">
        <v>179900</v>
      </c>
      <c r="K462" s="19">
        <v>179900</v>
      </c>
      <c r="L462">
        <v>0</v>
      </c>
      <c r="M462" s="13">
        <v>0</v>
      </c>
      <c r="N462" s="19">
        <v>0</v>
      </c>
      <c r="O462" s="19">
        <v>0</v>
      </c>
      <c r="P462" t="s">
        <v>225</v>
      </c>
      <c r="Q462" t="s">
        <v>226</v>
      </c>
      <c r="R462" s="13"/>
    </row>
    <row r="463" spans="1:18" x14ac:dyDescent="0.35">
      <c r="A463" t="str">
        <f>_xlfn.XLOOKUP(B463,Mapping!C:C,Mapping!D:D)</f>
        <v>Group Buying</v>
      </c>
      <c r="B463" s="2" t="s">
        <v>114</v>
      </c>
      <c r="C463" s="2" t="s">
        <v>126</v>
      </c>
      <c r="D463" s="3">
        <v>46181</v>
      </c>
      <c r="E463" s="3">
        <v>46187</v>
      </c>
      <c r="F463">
        <v>7</v>
      </c>
      <c r="G463" t="s">
        <v>98</v>
      </c>
      <c r="H463" s="19">
        <v>219900</v>
      </c>
      <c r="I463" s="19">
        <v>199900</v>
      </c>
      <c r="J463" s="19">
        <v>179900</v>
      </c>
      <c r="K463" s="19">
        <v>179900</v>
      </c>
      <c r="L463">
        <v>150</v>
      </c>
      <c r="M463" s="13">
        <v>26985000</v>
      </c>
      <c r="N463" s="19">
        <v>15700363.636363635</v>
      </c>
      <c r="O463" s="19">
        <v>15386356.363636361</v>
      </c>
      <c r="P463" t="s">
        <v>225</v>
      </c>
      <c r="Q463" t="s">
        <v>226</v>
      </c>
      <c r="R463" s="13"/>
    </row>
    <row r="464" spans="1:18" x14ac:dyDescent="0.35">
      <c r="A464" t="str">
        <f>_xlfn.XLOOKUP(B464,Mapping!C:C,Mapping!D:D)</f>
        <v>Group Buying</v>
      </c>
      <c r="B464" s="2" t="s">
        <v>114</v>
      </c>
      <c r="C464" s="2" t="s">
        <v>126</v>
      </c>
      <c r="D464" s="3">
        <v>46181</v>
      </c>
      <c r="E464" s="3">
        <v>46187</v>
      </c>
      <c r="F464">
        <v>7</v>
      </c>
      <c r="G464" t="s">
        <v>99</v>
      </c>
      <c r="H464" s="19">
        <v>219900</v>
      </c>
      <c r="I464" s="19">
        <v>199900</v>
      </c>
      <c r="J464" s="19">
        <v>179900</v>
      </c>
      <c r="K464" s="19">
        <v>179900</v>
      </c>
      <c r="L464">
        <v>0</v>
      </c>
      <c r="M464" s="13">
        <v>0</v>
      </c>
      <c r="N464" s="19">
        <v>0</v>
      </c>
      <c r="O464" s="19">
        <v>0</v>
      </c>
      <c r="P464" t="s">
        <v>225</v>
      </c>
      <c r="Q464" t="s">
        <v>226</v>
      </c>
      <c r="R464" s="13"/>
    </row>
    <row r="465" spans="1:18" x14ac:dyDescent="0.35">
      <c r="A465" t="str">
        <f>_xlfn.XLOOKUP(B465,Mapping!C:C,Mapping!D:D)</f>
        <v>Group Buying</v>
      </c>
      <c r="B465" s="2" t="s">
        <v>114</v>
      </c>
      <c r="C465" s="2" t="s">
        <v>127</v>
      </c>
      <c r="D465" s="3">
        <v>46181</v>
      </c>
      <c r="E465" s="3">
        <v>46187</v>
      </c>
      <c r="F465">
        <v>7</v>
      </c>
      <c r="G465" t="s">
        <v>87</v>
      </c>
      <c r="H465" s="19">
        <v>219900</v>
      </c>
      <c r="I465" s="19">
        <v>199900</v>
      </c>
      <c r="J465" s="19">
        <v>179900</v>
      </c>
      <c r="K465" s="19">
        <v>199900</v>
      </c>
      <c r="L465">
        <v>0</v>
      </c>
      <c r="M465" s="13">
        <v>0</v>
      </c>
      <c r="N465" s="19">
        <v>0</v>
      </c>
      <c r="O465" s="19">
        <v>0</v>
      </c>
      <c r="P465" t="s">
        <v>225</v>
      </c>
      <c r="Q465" t="s">
        <v>226</v>
      </c>
      <c r="R465" s="13"/>
    </row>
    <row r="466" spans="1:18" x14ac:dyDescent="0.35">
      <c r="A466" t="str">
        <f>_xlfn.XLOOKUP(B466,Mapping!C:C,Mapping!D:D)</f>
        <v>Group Buying</v>
      </c>
      <c r="B466" s="2" t="s">
        <v>114</v>
      </c>
      <c r="C466" s="2" t="s">
        <v>127</v>
      </c>
      <c r="D466" s="3">
        <v>46181</v>
      </c>
      <c r="E466" s="3">
        <v>46187</v>
      </c>
      <c r="F466">
        <v>7</v>
      </c>
      <c r="G466" t="s">
        <v>98</v>
      </c>
      <c r="H466" s="19">
        <v>219900</v>
      </c>
      <c r="I466" s="19">
        <v>199900</v>
      </c>
      <c r="J466" s="19">
        <v>179900</v>
      </c>
      <c r="K466" s="19">
        <v>199900</v>
      </c>
      <c r="L466">
        <v>150</v>
      </c>
      <c r="M466" s="13">
        <v>29985000</v>
      </c>
      <c r="N466" s="19">
        <v>17445818.18181818</v>
      </c>
      <c r="O466" s="19">
        <v>17096901.818181816</v>
      </c>
      <c r="P466" t="s">
        <v>225</v>
      </c>
      <c r="Q466" t="s">
        <v>226</v>
      </c>
      <c r="R466" s="13"/>
    </row>
    <row r="467" spans="1:18" x14ac:dyDescent="0.35">
      <c r="A467" t="str">
        <f>_xlfn.XLOOKUP(B467,Mapping!C:C,Mapping!D:D)</f>
        <v>Group Buying</v>
      </c>
      <c r="B467" s="2" t="s">
        <v>114</v>
      </c>
      <c r="C467" s="2" t="s">
        <v>127</v>
      </c>
      <c r="D467" s="3">
        <v>46181</v>
      </c>
      <c r="E467" s="3">
        <v>46187</v>
      </c>
      <c r="F467">
        <v>7</v>
      </c>
      <c r="G467" t="s">
        <v>99</v>
      </c>
      <c r="H467" s="19">
        <v>219900</v>
      </c>
      <c r="I467" s="19">
        <v>199900</v>
      </c>
      <c r="J467" s="19">
        <v>179900</v>
      </c>
      <c r="K467" s="19">
        <v>199900</v>
      </c>
      <c r="L467">
        <v>0</v>
      </c>
      <c r="M467" s="13">
        <v>0</v>
      </c>
      <c r="N467" s="19">
        <v>0</v>
      </c>
      <c r="O467" s="19">
        <v>0</v>
      </c>
      <c r="P467" t="s">
        <v>225</v>
      </c>
      <c r="Q467" t="s">
        <v>226</v>
      </c>
      <c r="R467" s="13"/>
    </row>
    <row r="468" spans="1:18" x14ac:dyDescent="0.35">
      <c r="A468" t="str">
        <f>_xlfn.XLOOKUP(B468,Mapping!C:C,Mapping!D:D)</f>
        <v>Group Buying</v>
      </c>
      <c r="B468" s="2" t="s">
        <v>114</v>
      </c>
      <c r="C468" s="2" t="s">
        <v>128</v>
      </c>
      <c r="D468" s="3">
        <v>46181</v>
      </c>
      <c r="E468" s="3">
        <v>46183</v>
      </c>
      <c r="F468">
        <v>3</v>
      </c>
      <c r="G468" t="s">
        <v>109</v>
      </c>
      <c r="H468" s="19">
        <v>249900</v>
      </c>
      <c r="I468" s="19">
        <v>219900</v>
      </c>
      <c r="J468" s="19">
        <v>199900</v>
      </c>
      <c r="K468" s="19">
        <v>199900</v>
      </c>
      <c r="L468">
        <v>0</v>
      </c>
      <c r="M468" s="13">
        <v>0</v>
      </c>
      <c r="N468" s="19">
        <v>0</v>
      </c>
      <c r="O468" s="19">
        <v>0</v>
      </c>
      <c r="P468" t="s">
        <v>225</v>
      </c>
      <c r="Q468" t="s">
        <v>226</v>
      </c>
      <c r="R468" s="13"/>
    </row>
    <row r="469" spans="1:18" x14ac:dyDescent="0.35">
      <c r="A469" t="str">
        <f>_xlfn.XLOOKUP(B469,Mapping!C:C,Mapping!D:D)</f>
        <v>Group Buying</v>
      </c>
      <c r="B469" s="2" t="s">
        <v>114</v>
      </c>
      <c r="C469" s="2" t="s">
        <v>128</v>
      </c>
      <c r="D469" s="3">
        <v>46181</v>
      </c>
      <c r="E469" s="3">
        <v>46183</v>
      </c>
      <c r="F469">
        <v>3</v>
      </c>
      <c r="G469" t="s">
        <v>111</v>
      </c>
      <c r="H469" s="19">
        <v>249900</v>
      </c>
      <c r="I469" s="19">
        <v>219900</v>
      </c>
      <c r="J469" s="19">
        <v>199900</v>
      </c>
      <c r="K469" s="19">
        <v>199900</v>
      </c>
      <c r="L469">
        <v>150</v>
      </c>
      <c r="M469" s="13">
        <v>29985000</v>
      </c>
      <c r="N469" s="19">
        <v>17445818.18181818</v>
      </c>
      <c r="O469" s="19">
        <v>17096901.818181816</v>
      </c>
      <c r="P469" t="s">
        <v>225</v>
      </c>
      <c r="Q469" t="s">
        <v>226</v>
      </c>
      <c r="R469" s="13"/>
    </row>
    <row r="470" spans="1:18" x14ac:dyDescent="0.35">
      <c r="A470" t="str">
        <f>_xlfn.XLOOKUP(B470,Mapping!C:C,Mapping!D:D)</f>
        <v>Group Buying</v>
      </c>
      <c r="B470" s="2" t="s">
        <v>114</v>
      </c>
      <c r="C470" s="2" t="s">
        <v>129</v>
      </c>
      <c r="D470" s="3">
        <v>46181</v>
      </c>
      <c r="E470" s="3">
        <v>46187</v>
      </c>
      <c r="F470">
        <v>7</v>
      </c>
      <c r="G470" t="s">
        <v>95</v>
      </c>
      <c r="H470" s="19">
        <v>79900</v>
      </c>
      <c r="I470" s="19">
        <v>54900</v>
      </c>
      <c r="J470" s="19">
        <v>54900</v>
      </c>
      <c r="K470" s="19">
        <v>49900</v>
      </c>
      <c r="L470">
        <v>500</v>
      </c>
      <c r="M470" s="13">
        <v>24950000</v>
      </c>
      <c r="N470" s="19">
        <v>14516363.636363637</v>
      </c>
      <c r="O470" s="19">
        <v>14226036.363636363</v>
      </c>
      <c r="P470" t="s">
        <v>211</v>
      </c>
      <c r="Q470" t="s">
        <v>233</v>
      </c>
      <c r="R470" s="13"/>
    </row>
    <row r="471" spans="1:18" x14ac:dyDescent="0.35">
      <c r="A471" t="str">
        <f>_xlfn.XLOOKUP(B471,Mapping!C:C,Mapping!D:D)</f>
        <v>Group Buying</v>
      </c>
      <c r="B471" s="2" t="s">
        <v>114</v>
      </c>
      <c r="C471" s="2" t="s">
        <v>128</v>
      </c>
      <c r="D471" s="3">
        <v>46181</v>
      </c>
      <c r="E471" s="3">
        <v>46183</v>
      </c>
      <c r="F471">
        <v>3</v>
      </c>
      <c r="G471" t="s">
        <v>41</v>
      </c>
      <c r="H471" s="19">
        <v>299900</v>
      </c>
      <c r="I471" s="19">
        <v>269900</v>
      </c>
      <c r="J471" s="19">
        <v>269900</v>
      </c>
      <c r="K471" s="19">
        <v>249900</v>
      </c>
      <c r="L471">
        <v>200</v>
      </c>
      <c r="M471" s="13">
        <v>49980000</v>
      </c>
      <c r="N471" s="19">
        <v>29079272.727272723</v>
      </c>
      <c r="O471" s="19">
        <v>28497687.27272727</v>
      </c>
      <c r="P471" t="s">
        <v>225</v>
      </c>
      <c r="Q471" t="s">
        <v>226</v>
      </c>
      <c r="R471" s="13"/>
    </row>
    <row r="472" spans="1:18" x14ac:dyDescent="0.35">
      <c r="A472" t="str">
        <f>_xlfn.XLOOKUP(B472,Mapping!C:C,Mapping!D:D)</f>
        <v>Group Buying</v>
      </c>
      <c r="B472" s="2" t="s">
        <v>114</v>
      </c>
      <c r="C472" s="2" t="s">
        <v>131</v>
      </c>
      <c r="D472" s="3">
        <v>46181</v>
      </c>
      <c r="E472" s="3">
        <v>46184</v>
      </c>
      <c r="F472">
        <v>4</v>
      </c>
      <c r="G472" t="s">
        <v>108</v>
      </c>
      <c r="H472" s="19">
        <v>199900</v>
      </c>
      <c r="I472" s="19">
        <v>179900</v>
      </c>
      <c r="J472" s="19">
        <v>169900</v>
      </c>
      <c r="K472" s="19">
        <v>179900</v>
      </c>
      <c r="L472">
        <v>200</v>
      </c>
      <c r="M472" s="13">
        <v>35980000</v>
      </c>
      <c r="N472" s="19">
        <v>20933818.18181818</v>
      </c>
      <c r="O472" s="19">
        <v>20515141.818181816</v>
      </c>
      <c r="P472" t="s">
        <v>213</v>
      </c>
      <c r="Q472" t="s">
        <v>230</v>
      </c>
      <c r="R472" s="13"/>
    </row>
    <row r="473" spans="1:18" x14ac:dyDescent="0.35">
      <c r="A473" t="str">
        <f>_xlfn.XLOOKUP(B473,Mapping!C:C,Mapping!D:D)</f>
        <v>Group Buying</v>
      </c>
      <c r="B473" s="2" t="s">
        <v>114</v>
      </c>
      <c r="C473" s="2" t="s">
        <v>132</v>
      </c>
      <c r="D473" s="3">
        <v>46181</v>
      </c>
      <c r="E473" s="3">
        <v>46185</v>
      </c>
      <c r="F473">
        <v>5</v>
      </c>
      <c r="G473" t="s">
        <v>85</v>
      </c>
      <c r="H473" s="19">
        <v>349900</v>
      </c>
      <c r="I473" s="19">
        <v>319900</v>
      </c>
      <c r="J473" s="19">
        <v>299900</v>
      </c>
      <c r="K473" s="19">
        <v>319900</v>
      </c>
      <c r="L473">
        <v>100</v>
      </c>
      <c r="M473" s="13">
        <v>31990000</v>
      </c>
      <c r="N473" s="19">
        <v>18612363.636363637</v>
      </c>
      <c r="O473" s="19">
        <v>18240116.363636363</v>
      </c>
      <c r="P473" t="s">
        <v>211</v>
      </c>
      <c r="Q473" t="s">
        <v>232</v>
      </c>
      <c r="R473" s="13"/>
    </row>
    <row r="474" spans="1:18" x14ac:dyDescent="0.35">
      <c r="A474" t="str">
        <f>_xlfn.XLOOKUP(B474,Mapping!C:C,Mapping!D:D)</f>
        <v>Group Buying</v>
      </c>
      <c r="B474" s="2" t="s">
        <v>114</v>
      </c>
      <c r="C474" s="2" t="s">
        <v>133</v>
      </c>
      <c r="D474" s="3">
        <v>46182</v>
      </c>
      <c r="E474" s="3">
        <v>46184</v>
      </c>
      <c r="F474">
        <v>3</v>
      </c>
      <c r="G474" t="s">
        <v>33</v>
      </c>
      <c r="H474" s="19">
        <v>399900</v>
      </c>
      <c r="I474" s="19">
        <v>349900</v>
      </c>
      <c r="J474" s="19">
        <v>299900</v>
      </c>
      <c r="K474" s="19">
        <v>399900</v>
      </c>
      <c r="L474">
        <v>200</v>
      </c>
      <c r="M474" s="13">
        <v>79980000</v>
      </c>
      <c r="N474" s="19">
        <v>46533818.18181818</v>
      </c>
      <c r="O474" s="19">
        <v>45603141.818181813</v>
      </c>
      <c r="P474" t="s">
        <v>225</v>
      </c>
      <c r="Q474" t="s">
        <v>226</v>
      </c>
      <c r="R474" s="13"/>
    </row>
    <row r="475" spans="1:18" x14ac:dyDescent="0.35">
      <c r="A475" t="str">
        <f>_xlfn.XLOOKUP(B475,Mapping!C:C,Mapping!D:D)</f>
        <v>Group Buying</v>
      </c>
      <c r="B475" s="2" t="s">
        <v>114</v>
      </c>
      <c r="C475" s="2" t="s">
        <v>133</v>
      </c>
      <c r="D475" s="3">
        <v>46182</v>
      </c>
      <c r="E475" s="3">
        <v>46184</v>
      </c>
      <c r="F475">
        <v>3</v>
      </c>
      <c r="G475" t="s">
        <v>42</v>
      </c>
      <c r="H475" s="19">
        <v>399900</v>
      </c>
      <c r="I475" s="19">
        <v>349900</v>
      </c>
      <c r="J475" s="19">
        <v>299900</v>
      </c>
      <c r="K475" s="19">
        <v>399900</v>
      </c>
      <c r="L475">
        <v>0</v>
      </c>
      <c r="M475" s="13">
        <v>0</v>
      </c>
      <c r="N475" s="19">
        <v>0</v>
      </c>
      <c r="O475" s="19">
        <v>0</v>
      </c>
      <c r="P475" t="s">
        <v>225</v>
      </c>
      <c r="Q475" t="s">
        <v>226</v>
      </c>
      <c r="R475" s="13"/>
    </row>
    <row r="476" spans="1:18" x14ac:dyDescent="0.35">
      <c r="A476" t="str">
        <f>_xlfn.XLOOKUP(B476,Mapping!C:C,Mapping!D:D)</f>
        <v>Group Buying</v>
      </c>
      <c r="B476" s="2" t="s">
        <v>114</v>
      </c>
      <c r="C476" s="2" t="s">
        <v>134</v>
      </c>
      <c r="D476" s="3">
        <v>46183</v>
      </c>
      <c r="E476" s="3">
        <v>46187</v>
      </c>
      <c r="F476">
        <v>5</v>
      </c>
      <c r="G476" t="s">
        <v>32</v>
      </c>
      <c r="H476" s="19">
        <v>349900</v>
      </c>
      <c r="I476" s="19">
        <v>299900</v>
      </c>
      <c r="J476" s="19">
        <v>269900</v>
      </c>
      <c r="K476" s="19">
        <v>269900</v>
      </c>
      <c r="L476">
        <v>100</v>
      </c>
      <c r="M476" s="13">
        <v>26990000</v>
      </c>
      <c r="N476" s="19">
        <v>15703272.727272727</v>
      </c>
      <c r="O476" s="19">
        <v>15389207.272727272</v>
      </c>
      <c r="P476" t="s">
        <v>211</v>
      </c>
      <c r="Q476" t="s">
        <v>224</v>
      </c>
      <c r="R476" s="13"/>
    </row>
    <row r="477" spans="1:18" x14ac:dyDescent="0.35">
      <c r="A477" t="str">
        <f>_xlfn.XLOOKUP(B477,Mapping!C:C,Mapping!D:D)</f>
        <v>Group Buying</v>
      </c>
      <c r="B477" s="2" t="s">
        <v>114</v>
      </c>
      <c r="C477" s="2" t="s">
        <v>121</v>
      </c>
      <c r="D477" s="3">
        <v>46183</v>
      </c>
      <c r="E477" s="3">
        <v>46185</v>
      </c>
      <c r="F477">
        <v>3</v>
      </c>
      <c r="G477" t="s">
        <v>18</v>
      </c>
      <c r="H477" s="19">
        <v>249900</v>
      </c>
      <c r="I477" s="19">
        <v>219900</v>
      </c>
      <c r="J477" s="19">
        <v>199900</v>
      </c>
      <c r="K477" s="19">
        <v>219900</v>
      </c>
      <c r="L477">
        <v>500</v>
      </c>
      <c r="M477" s="13">
        <v>109950000</v>
      </c>
      <c r="N477" s="19">
        <v>63970909.090909086</v>
      </c>
      <c r="O477" s="19">
        <v>62691490.909090906</v>
      </c>
      <c r="P477" t="s">
        <v>215</v>
      </c>
      <c r="Q477" t="s">
        <v>216</v>
      </c>
      <c r="R477" s="13"/>
    </row>
    <row r="478" spans="1:18" x14ac:dyDescent="0.35">
      <c r="A478" t="str">
        <f>_xlfn.XLOOKUP(B478,Mapping!C:C,Mapping!D:D)</f>
        <v>Group Buying</v>
      </c>
      <c r="B478" s="2" t="s">
        <v>114</v>
      </c>
      <c r="C478" s="2" t="s">
        <v>121</v>
      </c>
      <c r="D478" s="3">
        <v>46183</v>
      </c>
      <c r="E478" s="3">
        <v>46185</v>
      </c>
      <c r="F478">
        <v>3</v>
      </c>
      <c r="G478" t="s">
        <v>19</v>
      </c>
      <c r="H478" s="19">
        <v>249900</v>
      </c>
      <c r="I478" s="19">
        <v>219900</v>
      </c>
      <c r="J478" s="19">
        <v>199900</v>
      </c>
      <c r="K478" s="19">
        <v>219900</v>
      </c>
      <c r="L478">
        <v>0</v>
      </c>
      <c r="M478" s="13">
        <v>0</v>
      </c>
      <c r="N478" s="19">
        <v>0</v>
      </c>
      <c r="O478" s="19">
        <v>0</v>
      </c>
      <c r="P478" t="s">
        <v>215</v>
      </c>
      <c r="Q478" t="s">
        <v>216</v>
      </c>
      <c r="R478" s="13"/>
    </row>
    <row r="479" spans="1:18" x14ac:dyDescent="0.35">
      <c r="A479" t="str">
        <f>_xlfn.XLOOKUP(B479,Mapping!C:C,Mapping!D:D)</f>
        <v>Group Buying</v>
      </c>
      <c r="B479" s="2" t="s">
        <v>114</v>
      </c>
      <c r="C479" s="2" t="s">
        <v>135</v>
      </c>
      <c r="D479" s="3">
        <v>46186</v>
      </c>
      <c r="E479" s="3">
        <v>46188</v>
      </c>
      <c r="F479">
        <v>3</v>
      </c>
      <c r="G479" t="s">
        <v>18</v>
      </c>
      <c r="H479" s="19">
        <v>249900</v>
      </c>
      <c r="I479" s="19">
        <v>219900</v>
      </c>
      <c r="J479" s="19">
        <v>199900</v>
      </c>
      <c r="K479" s="19">
        <v>219900</v>
      </c>
      <c r="L479">
        <v>500</v>
      </c>
      <c r="M479" s="13">
        <v>109950000</v>
      </c>
      <c r="N479" s="19">
        <v>63970909.090909086</v>
      </c>
      <c r="O479" s="19">
        <v>62691490.909090906</v>
      </c>
      <c r="P479" t="s">
        <v>215</v>
      </c>
      <c r="Q479" t="s">
        <v>216</v>
      </c>
      <c r="R479" s="13"/>
    </row>
    <row r="480" spans="1:18" x14ac:dyDescent="0.35">
      <c r="A480" t="str">
        <f>_xlfn.XLOOKUP(B480,Mapping!C:C,Mapping!D:D)</f>
        <v>Group Buying</v>
      </c>
      <c r="B480" s="2" t="s">
        <v>114</v>
      </c>
      <c r="C480" s="2" t="s">
        <v>135</v>
      </c>
      <c r="D480" s="3">
        <v>46186</v>
      </c>
      <c r="E480" s="3">
        <v>46188</v>
      </c>
      <c r="F480">
        <v>3</v>
      </c>
      <c r="G480" t="s">
        <v>19</v>
      </c>
      <c r="H480" s="19">
        <v>249900</v>
      </c>
      <c r="I480" s="19">
        <v>219900</v>
      </c>
      <c r="J480" s="19">
        <v>199900</v>
      </c>
      <c r="K480" s="19">
        <v>219900</v>
      </c>
      <c r="L480">
        <v>0</v>
      </c>
      <c r="M480" s="13">
        <v>0</v>
      </c>
      <c r="N480" s="19">
        <v>0</v>
      </c>
      <c r="O480" s="19">
        <v>0</v>
      </c>
      <c r="P480" t="s">
        <v>215</v>
      </c>
      <c r="Q480" t="s">
        <v>216</v>
      </c>
      <c r="R480" s="13"/>
    </row>
    <row r="481" spans="1:18" x14ac:dyDescent="0.35">
      <c r="A481" t="str">
        <f>_xlfn.XLOOKUP(B481,Mapping!C:C,Mapping!D:D)</f>
        <v>Group Buying</v>
      </c>
      <c r="B481" s="2" t="s">
        <v>114</v>
      </c>
      <c r="C481" s="2" t="s">
        <v>135</v>
      </c>
      <c r="D481" s="3">
        <v>46186</v>
      </c>
      <c r="E481" s="3">
        <v>46188</v>
      </c>
      <c r="F481">
        <v>3</v>
      </c>
      <c r="G481" t="s">
        <v>20</v>
      </c>
      <c r="H481" s="19">
        <v>249900</v>
      </c>
      <c r="I481" s="19">
        <v>219900</v>
      </c>
      <c r="J481" s="19">
        <v>199900</v>
      </c>
      <c r="K481" s="19">
        <v>219900</v>
      </c>
      <c r="L481">
        <v>0</v>
      </c>
      <c r="M481" s="13">
        <v>0</v>
      </c>
      <c r="N481" s="19">
        <v>0</v>
      </c>
      <c r="O481" s="19">
        <v>0</v>
      </c>
      <c r="P481" t="s">
        <v>215</v>
      </c>
      <c r="Q481" t="s">
        <v>216</v>
      </c>
      <c r="R481" s="13"/>
    </row>
    <row r="482" spans="1:18" x14ac:dyDescent="0.35">
      <c r="A482" t="str">
        <f>_xlfn.XLOOKUP(B482,Mapping!C:C,Mapping!D:D)</f>
        <v>Group Buying</v>
      </c>
      <c r="B482" s="2" t="s">
        <v>114</v>
      </c>
      <c r="C482" s="2" t="s">
        <v>133</v>
      </c>
      <c r="D482" s="3">
        <v>46192</v>
      </c>
      <c r="E482" s="3">
        <v>46194</v>
      </c>
      <c r="F482">
        <v>3</v>
      </c>
      <c r="G482" t="s">
        <v>18</v>
      </c>
      <c r="H482" s="19">
        <v>249900</v>
      </c>
      <c r="I482" s="19">
        <v>219900</v>
      </c>
      <c r="J482" s="19">
        <v>199900</v>
      </c>
      <c r="K482" s="19">
        <v>219900</v>
      </c>
      <c r="L482">
        <v>500</v>
      </c>
      <c r="M482" s="13">
        <v>109950000</v>
      </c>
      <c r="N482" s="19">
        <v>63970909.090909086</v>
      </c>
      <c r="O482" s="19">
        <v>62691490.909090906</v>
      </c>
      <c r="P482" t="s">
        <v>215</v>
      </c>
      <c r="Q482" t="s">
        <v>216</v>
      </c>
      <c r="R482" s="13"/>
    </row>
    <row r="483" spans="1:18" x14ac:dyDescent="0.35">
      <c r="A483" t="str">
        <f>_xlfn.XLOOKUP(B483,Mapping!C:C,Mapping!D:D)</f>
        <v>Group Buying</v>
      </c>
      <c r="B483" s="2" t="s">
        <v>114</v>
      </c>
      <c r="C483" s="2" t="s">
        <v>133</v>
      </c>
      <c r="D483" s="3">
        <v>46192</v>
      </c>
      <c r="E483" s="3">
        <v>46194</v>
      </c>
      <c r="F483">
        <v>3</v>
      </c>
      <c r="G483" t="s">
        <v>19</v>
      </c>
      <c r="H483" s="19">
        <v>249900</v>
      </c>
      <c r="I483" s="19">
        <v>219900</v>
      </c>
      <c r="J483" s="19">
        <v>199900</v>
      </c>
      <c r="K483" s="19">
        <v>219900</v>
      </c>
      <c r="L483">
        <v>0</v>
      </c>
      <c r="M483" s="13">
        <v>0</v>
      </c>
      <c r="N483" s="19">
        <v>0</v>
      </c>
      <c r="O483" s="19">
        <v>0</v>
      </c>
      <c r="P483" t="s">
        <v>215</v>
      </c>
      <c r="Q483" t="s">
        <v>216</v>
      </c>
      <c r="R483" s="13"/>
    </row>
    <row r="484" spans="1:18" x14ac:dyDescent="0.35">
      <c r="A484" t="str">
        <f>_xlfn.XLOOKUP(B484,Mapping!C:C,Mapping!D:D)</f>
        <v>Group Buying</v>
      </c>
      <c r="B484" s="2" t="s">
        <v>114</v>
      </c>
      <c r="C484" s="2" t="s">
        <v>133</v>
      </c>
      <c r="D484" s="3">
        <v>46192</v>
      </c>
      <c r="E484" s="3">
        <v>46194</v>
      </c>
      <c r="F484">
        <v>3</v>
      </c>
      <c r="G484" t="s">
        <v>20</v>
      </c>
      <c r="H484" s="19">
        <v>249900</v>
      </c>
      <c r="I484" s="19">
        <v>219900</v>
      </c>
      <c r="J484" s="19">
        <v>199900</v>
      </c>
      <c r="K484" s="19">
        <v>219900</v>
      </c>
      <c r="L484">
        <v>0</v>
      </c>
      <c r="M484" s="13">
        <v>0</v>
      </c>
      <c r="N484" s="19">
        <v>0</v>
      </c>
      <c r="O484" s="19">
        <v>0</v>
      </c>
      <c r="P484" t="s">
        <v>215</v>
      </c>
      <c r="Q484" t="s">
        <v>216</v>
      </c>
      <c r="R484" s="13"/>
    </row>
    <row r="485" spans="1:18" x14ac:dyDescent="0.35">
      <c r="A485" t="str">
        <f>_xlfn.XLOOKUP(B485,Mapping!C:C,Mapping!D:D)</f>
        <v>Group Buying</v>
      </c>
      <c r="B485" s="2" t="s">
        <v>114</v>
      </c>
      <c r="C485" s="2" t="s">
        <v>119</v>
      </c>
      <c r="D485" s="3">
        <v>46195</v>
      </c>
      <c r="E485" s="3">
        <v>46208</v>
      </c>
      <c r="F485">
        <v>14</v>
      </c>
      <c r="G485" t="s">
        <v>26</v>
      </c>
      <c r="H485" s="19">
        <v>899000</v>
      </c>
      <c r="I485" s="19">
        <v>849000</v>
      </c>
      <c r="J485" s="19">
        <v>799000</v>
      </c>
      <c r="K485" s="19">
        <v>799000</v>
      </c>
      <c r="L485">
        <v>70</v>
      </c>
      <c r="M485" s="13">
        <v>55930000</v>
      </c>
      <c r="N485" s="19">
        <v>32541090.909090906</v>
      </c>
      <c r="O485" s="19">
        <v>31890269.09090909</v>
      </c>
      <c r="P485" t="s">
        <v>213</v>
      </c>
      <c r="Q485" t="s">
        <v>221</v>
      </c>
      <c r="R485" s="13"/>
    </row>
    <row r="486" spans="1:18" x14ac:dyDescent="0.35">
      <c r="A486" t="str">
        <f>_xlfn.XLOOKUP(B486,Mapping!C:C,Mapping!D:D)</f>
        <v>Group Buying</v>
      </c>
      <c r="B486" s="2" t="s">
        <v>114</v>
      </c>
      <c r="C486" s="2" t="s">
        <v>136</v>
      </c>
      <c r="D486" s="3">
        <v>46188</v>
      </c>
      <c r="E486" s="3">
        <v>46203</v>
      </c>
      <c r="F486">
        <v>16</v>
      </c>
      <c r="G486" t="s">
        <v>43</v>
      </c>
      <c r="H486" s="19">
        <v>849000</v>
      </c>
      <c r="I486" s="19">
        <v>749000</v>
      </c>
      <c r="J486" s="19">
        <v>699000</v>
      </c>
      <c r="K486" s="19">
        <v>699000</v>
      </c>
      <c r="L486">
        <v>50</v>
      </c>
      <c r="M486" s="13">
        <v>34950000</v>
      </c>
      <c r="N486" s="19">
        <v>20334545.454545453</v>
      </c>
      <c r="O486" s="19">
        <v>19927854.545454543</v>
      </c>
      <c r="P486" t="s">
        <v>213</v>
      </c>
      <c r="Q486" t="s">
        <v>221</v>
      </c>
      <c r="R486" s="13"/>
    </row>
    <row r="487" spans="1:18" x14ac:dyDescent="0.35">
      <c r="A487" t="str">
        <f>_xlfn.XLOOKUP(B487,Mapping!C:C,Mapping!D:D)</f>
        <v>Group Buying</v>
      </c>
      <c r="B487" s="2" t="s">
        <v>114</v>
      </c>
      <c r="C487" s="2" t="s">
        <v>119</v>
      </c>
      <c r="D487" s="3">
        <v>46195</v>
      </c>
      <c r="E487" s="3">
        <v>46201</v>
      </c>
      <c r="F487">
        <v>7</v>
      </c>
      <c r="G487" t="s">
        <v>26</v>
      </c>
      <c r="H487" s="19">
        <v>899000</v>
      </c>
      <c r="I487" s="19">
        <v>849000</v>
      </c>
      <c r="J487" s="19">
        <v>799000</v>
      </c>
      <c r="K487" s="19">
        <v>799000</v>
      </c>
      <c r="L487">
        <v>70</v>
      </c>
      <c r="M487" s="13">
        <v>55930000</v>
      </c>
      <c r="N487" s="19">
        <v>32541090.909090906</v>
      </c>
      <c r="O487" s="19">
        <v>31890269.09090909</v>
      </c>
      <c r="P487" t="s">
        <v>213</v>
      </c>
      <c r="Q487" t="s">
        <v>221</v>
      </c>
      <c r="R487" s="13"/>
    </row>
    <row r="488" spans="1:18" x14ac:dyDescent="0.35">
      <c r="A488" t="str">
        <f>_xlfn.XLOOKUP(B488,Mapping!C:C,Mapping!D:D)</f>
        <v>Group Buying</v>
      </c>
      <c r="B488" s="2" t="s">
        <v>114</v>
      </c>
      <c r="C488" s="2" t="s">
        <v>137</v>
      </c>
      <c r="D488" s="3">
        <v>46195</v>
      </c>
      <c r="E488" s="3">
        <v>46201</v>
      </c>
      <c r="F488">
        <v>7</v>
      </c>
      <c r="G488" t="s">
        <v>82</v>
      </c>
      <c r="H488" s="19">
        <v>149900</v>
      </c>
      <c r="I488" s="19">
        <v>139900</v>
      </c>
      <c r="J488" s="19">
        <v>129900</v>
      </c>
      <c r="K488" s="19">
        <v>119900</v>
      </c>
      <c r="L488">
        <v>0</v>
      </c>
      <c r="M488" s="13">
        <v>0</v>
      </c>
      <c r="N488" s="19">
        <v>0</v>
      </c>
      <c r="O488" s="19">
        <v>0</v>
      </c>
      <c r="P488" t="s">
        <v>211</v>
      </c>
      <c r="Q488" t="s">
        <v>231</v>
      </c>
      <c r="R488" s="13"/>
    </row>
    <row r="489" spans="1:18" x14ac:dyDescent="0.35">
      <c r="A489" t="str">
        <f>_xlfn.XLOOKUP(B489,Mapping!C:C,Mapping!D:D)</f>
        <v>Group Buying</v>
      </c>
      <c r="B489" s="2" t="s">
        <v>114</v>
      </c>
      <c r="C489" s="2" t="s">
        <v>138</v>
      </c>
      <c r="D489" s="3">
        <v>46195</v>
      </c>
      <c r="E489" s="3">
        <v>46201</v>
      </c>
      <c r="F489">
        <v>7</v>
      </c>
      <c r="G489" t="s">
        <v>26</v>
      </c>
      <c r="H489" s="19">
        <v>899000</v>
      </c>
      <c r="I489" s="19">
        <v>849000</v>
      </c>
      <c r="J489" s="19">
        <v>799000</v>
      </c>
      <c r="K489" s="19">
        <v>799000</v>
      </c>
      <c r="L489">
        <v>70</v>
      </c>
      <c r="M489" s="13">
        <v>55930000</v>
      </c>
      <c r="N489" s="19">
        <v>32541090.909090906</v>
      </c>
      <c r="O489" s="19">
        <v>31890269.09090909</v>
      </c>
      <c r="P489" t="s">
        <v>213</v>
      </c>
      <c r="Q489" t="s">
        <v>221</v>
      </c>
      <c r="R489" s="13"/>
    </row>
    <row r="490" spans="1:18" x14ac:dyDescent="0.35">
      <c r="A490" t="str">
        <f>_xlfn.XLOOKUP(B490,Mapping!C:C,Mapping!D:D)</f>
        <v>Group Buying</v>
      </c>
      <c r="B490" s="2" t="s">
        <v>114</v>
      </c>
      <c r="C490" s="2" t="s">
        <v>140</v>
      </c>
      <c r="D490" s="3">
        <v>46197</v>
      </c>
      <c r="E490" s="3">
        <v>46199</v>
      </c>
      <c r="F490">
        <v>3</v>
      </c>
      <c r="G490" t="s">
        <v>18</v>
      </c>
      <c r="H490" s="19">
        <v>249900</v>
      </c>
      <c r="I490" s="19">
        <v>219900</v>
      </c>
      <c r="J490" s="19">
        <v>199900</v>
      </c>
      <c r="K490" s="19">
        <v>219900</v>
      </c>
      <c r="L490">
        <v>500</v>
      </c>
      <c r="M490" s="13">
        <v>109950000</v>
      </c>
      <c r="N490" s="19">
        <v>63970909.090909086</v>
      </c>
      <c r="O490" s="19">
        <v>62691490.909090906</v>
      </c>
      <c r="P490" t="s">
        <v>215</v>
      </c>
      <c r="Q490" t="s">
        <v>216</v>
      </c>
      <c r="R490" s="13"/>
    </row>
    <row r="491" spans="1:18" x14ac:dyDescent="0.35">
      <c r="A491" t="str">
        <f>_xlfn.XLOOKUP(B491,Mapping!C:C,Mapping!D:D)</f>
        <v>Group Buying</v>
      </c>
      <c r="B491" s="2" t="s">
        <v>114</v>
      </c>
      <c r="C491" s="2" t="s">
        <v>140</v>
      </c>
      <c r="D491" s="3">
        <v>46197</v>
      </c>
      <c r="E491" s="3">
        <v>46199</v>
      </c>
      <c r="F491">
        <v>3</v>
      </c>
      <c r="G491" t="s">
        <v>19</v>
      </c>
      <c r="H491" s="19">
        <v>249900</v>
      </c>
      <c r="I491" s="19">
        <v>219900</v>
      </c>
      <c r="J491" s="19">
        <v>199900</v>
      </c>
      <c r="K491" s="19">
        <v>219900</v>
      </c>
      <c r="L491">
        <v>0</v>
      </c>
      <c r="M491" s="13">
        <v>0</v>
      </c>
      <c r="N491" s="19">
        <v>0</v>
      </c>
      <c r="O491" s="19">
        <v>0</v>
      </c>
      <c r="P491" t="s">
        <v>215</v>
      </c>
      <c r="Q491" t="s">
        <v>216</v>
      </c>
      <c r="R491" s="13"/>
    </row>
    <row r="492" spans="1:18" x14ac:dyDescent="0.35">
      <c r="A492" t="str">
        <f>_xlfn.XLOOKUP(B492,Mapping!C:C,Mapping!D:D)</f>
        <v>Group Buying</v>
      </c>
      <c r="B492" s="2" t="s">
        <v>114</v>
      </c>
      <c r="C492" s="2" t="s">
        <v>141</v>
      </c>
      <c r="D492" s="3">
        <v>46198</v>
      </c>
      <c r="E492" s="3">
        <v>46201</v>
      </c>
      <c r="F492">
        <v>4</v>
      </c>
      <c r="G492" t="s">
        <v>87</v>
      </c>
      <c r="H492" s="19">
        <v>219900</v>
      </c>
      <c r="I492" s="19">
        <v>199900</v>
      </c>
      <c r="J492" s="19">
        <v>179900</v>
      </c>
      <c r="K492" s="19">
        <v>179900</v>
      </c>
      <c r="L492">
        <v>0</v>
      </c>
      <c r="M492" s="13">
        <v>0</v>
      </c>
      <c r="N492" s="19">
        <v>0</v>
      </c>
      <c r="O492" s="19">
        <v>0</v>
      </c>
      <c r="P492" t="s">
        <v>225</v>
      </c>
      <c r="Q492" t="s">
        <v>226</v>
      </c>
      <c r="R492" s="13"/>
    </row>
    <row r="493" spans="1:18" x14ac:dyDescent="0.35">
      <c r="A493" t="str">
        <f>_xlfn.XLOOKUP(B493,Mapping!C:C,Mapping!D:D)</f>
        <v>Group Buying</v>
      </c>
      <c r="B493" s="2" t="s">
        <v>114</v>
      </c>
      <c r="C493" s="2" t="s">
        <v>141</v>
      </c>
      <c r="D493" s="3">
        <v>46198</v>
      </c>
      <c r="E493" s="3">
        <v>46201</v>
      </c>
      <c r="F493">
        <v>4</v>
      </c>
      <c r="G493" t="s">
        <v>98</v>
      </c>
      <c r="H493" s="19">
        <v>219900</v>
      </c>
      <c r="I493" s="19">
        <v>199900</v>
      </c>
      <c r="J493" s="19">
        <v>179900</v>
      </c>
      <c r="K493" s="19">
        <v>179900</v>
      </c>
      <c r="L493">
        <v>150</v>
      </c>
      <c r="M493" s="13">
        <v>26985000</v>
      </c>
      <c r="N493" s="19">
        <v>15700363.636363635</v>
      </c>
      <c r="O493" s="19">
        <v>15386356.363636361</v>
      </c>
      <c r="P493" t="s">
        <v>225</v>
      </c>
      <c r="Q493" t="s">
        <v>226</v>
      </c>
      <c r="R493" s="13"/>
    </row>
    <row r="494" spans="1:18" x14ac:dyDescent="0.35">
      <c r="A494" t="str">
        <f>_xlfn.XLOOKUP(B494,Mapping!C:C,Mapping!D:D)</f>
        <v>Group Buying</v>
      </c>
      <c r="B494" s="2" t="s">
        <v>114</v>
      </c>
      <c r="C494" s="2" t="s">
        <v>141</v>
      </c>
      <c r="D494" s="3">
        <v>46198</v>
      </c>
      <c r="E494" s="3">
        <v>46201</v>
      </c>
      <c r="F494">
        <v>4</v>
      </c>
      <c r="G494" t="s">
        <v>99</v>
      </c>
      <c r="H494" s="19">
        <v>219900</v>
      </c>
      <c r="I494" s="19">
        <v>199900</v>
      </c>
      <c r="J494" s="19">
        <v>179900</v>
      </c>
      <c r="K494" s="19">
        <v>179900</v>
      </c>
      <c r="L494">
        <v>0</v>
      </c>
      <c r="M494" s="13">
        <v>0</v>
      </c>
      <c r="N494" s="19">
        <v>0</v>
      </c>
      <c r="O494" s="19">
        <v>0</v>
      </c>
      <c r="P494" t="s">
        <v>225</v>
      </c>
      <c r="Q494" t="s">
        <v>226</v>
      </c>
      <c r="R494" s="13"/>
    </row>
    <row r="495" spans="1:18" x14ac:dyDescent="0.35">
      <c r="A495" t="str">
        <f>_xlfn.XLOOKUP(B495,Mapping!C:C,Mapping!D:D)</f>
        <v>Group Buying</v>
      </c>
      <c r="B495" s="2" t="s">
        <v>114</v>
      </c>
      <c r="C495" s="2" t="s">
        <v>132</v>
      </c>
      <c r="D495" s="3">
        <v>46199</v>
      </c>
      <c r="E495" s="3">
        <v>46201</v>
      </c>
      <c r="F495">
        <v>3</v>
      </c>
      <c r="G495" t="s">
        <v>38</v>
      </c>
      <c r="H495" s="19">
        <v>429900</v>
      </c>
      <c r="I495" s="19">
        <v>399900</v>
      </c>
      <c r="J495" s="19">
        <v>349900</v>
      </c>
      <c r="K495" s="19">
        <v>399900</v>
      </c>
      <c r="L495">
        <v>200</v>
      </c>
      <c r="M495" s="13">
        <v>79980000</v>
      </c>
      <c r="N495" s="19">
        <v>46533818.18181818</v>
      </c>
      <c r="O495" s="19">
        <v>45603141.818181813</v>
      </c>
      <c r="P495" t="s">
        <v>215</v>
      </c>
      <c r="Q495" t="s">
        <v>227</v>
      </c>
      <c r="R495" s="13"/>
    </row>
    <row r="496" spans="1:18" x14ac:dyDescent="0.35">
      <c r="A496" t="str">
        <f>_xlfn.XLOOKUP(B496,Mapping!C:C,Mapping!D:D)</f>
        <v>Group Buying</v>
      </c>
      <c r="B496" s="2" t="s">
        <v>114</v>
      </c>
      <c r="C496" s="2" t="s">
        <v>132</v>
      </c>
      <c r="D496" s="3">
        <v>46199</v>
      </c>
      <c r="E496" s="3">
        <v>46201</v>
      </c>
      <c r="F496">
        <v>3</v>
      </c>
      <c r="G496" t="s">
        <v>38</v>
      </c>
      <c r="H496" s="19">
        <v>429900</v>
      </c>
      <c r="I496" s="19">
        <v>399900</v>
      </c>
      <c r="J496" s="19">
        <v>349900</v>
      </c>
      <c r="K496" s="19">
        <v>399900</v>
      </c>
      <c r="L496">
        <v>200</v>
      </c>
      <c r="M496" s="13">
        <v>79980000</v>
      </c>
      <c r="N496" s="19">
        <v>46533818.18181818</v>
      </c>
      <c r="O496" s="19">
        <v>45603141.818181813</v>
      </c>
      <c r="P496" t="s">
        <v>215</v>
      </c>
      <c r="Q496" t="s">
        <v>227</v>
      </c>
      <c r="R496" s="13"/>
    </row>
    <row r="497" spans="1:18" x14ac:dyDescent="0.35">
      <c r="A497" t="str">
        <f>_xlfn.XLOOKUP(B497,Mapping!C:C,Mapping!D:D)</f>
        <v>Group Buying</v>
      </c>
      <c r="B497" s="2" t="s">
        <v>114</v>
      </c>
      <c r="C497" s="2" t="s">
        <v>142</v>
      </c>
      <c r="D497" s="3">
        <v>46202</v>
      </c>
      <c r="E497" s="3">
        <v>46208</v>
      </c>
      <c r="F497">
        <v>7</v>
      </c>
      <c r="G497" t="s">
        <v>265</v>
      </c>
      <c r="H497" s="19">
        <v>349900</v>
      </c>
      <c r="I497" s="19">
        <v>319900</v>
      </c>
      <c r="J497" s="19">
        <v>299900</v>
      </c>
      <c r="K497" s="19">
        <v>299900</v>
      </c>
      <c r="L497">
        <v>100</v>
      </c>
      <c r="M497" s="13">
        <v>29990000</v>
      </c>
      <c r="N497" s="19">
        <v>17448727.27272727</v>
      </c>
      <c r="O497" s="19">
        <v>17099752.727272723</v>
      </c>
      <c r="P497" t="s">
        <v>211</v>
      </c>
      <c r="Q497" t="s">
        <v>232</v>
      </c>
      <c r="R497" s="13"/>
    </row>
    <row r="498" spans="1:18" x14ac:dyDescent="0.35">
      <c r="A498" t="str">
        <f>_xlfn.XLOOKUP(B498,Mapping!C:C,Mapping!D:D)</f>
        <v>Group Buying</v>
      </c>
      <c r="B498" s="2" t="s">
        <v>114</v>
      </c>
      <c r="C498" s="2" t="s">
        <v>136</v>
      </c>
      <c r="D498" s="3">
        <v>46202</v>
      </c>
      <c r="E498" s="3">
        <v>46208</v>
      </c>
      <c r="F498">
        <v>7</v>
      </c>
      <c r="G498" t="s">
        <v>265</v>
      </c>
      <c r="H498" s="19">
        <v>349900</v>
      </c>
      <c r="I498" s="19">
        <v>319900</v>
      </c>
      <c r="J498" s="19">
        <v>299900</v>
      </c>
      <c r="K498" s="19">
        <v>299900</v>
      </c>
      <c r="L498">
        <v>100</v>
      </c>
      <c r="M498" s="13">
        <v>29990000</v>
      </c>
      <c r="N498" s="19">
        <v>17448727.27272727</v>
      </c>
      <c r="O498" s="19">
        <v>17099752.727272723</v>
      </c>
      <c r="P498" t="s">
        <v>211</v>
      </c>
      <c r="Q498" t="s">
        <v>232</v>
      </c>
      <c r="R498" s="13"/>
    </row>
    <row r="499" spans="1:18" x14ac:dyDescent="0.35">
      <c r="A499" t="str">
        <f>_xlfn.XLOOKUP(B499,Mapping!C:C,Mapping!D:D)</f>
        <v>Group Buying</v>
      </c>
      <c r="B499" s="2" t="s">
        <v>114</v>
      </c>
      <c r="C499" s="2" t="s">
        <v>266</v>
      </c>
      <c r="D499" s="3">
        <v>46196</v>
      </c>
      <c r="E499" s="3">
        <v>46201</v>
      </c>
      <c r="F499">
        <v>6</v>
      </c>
      <c r="G499" t="s">
        <v>26</v>
      </c>
      <c r="H499" s="19">
        <v>899000</v>
      </c>
      <c r="I499" s="19">
        <v>849000</v>
      </c>
      <c r="J499" s="19">
        <v>799000</v>
      </c>
      <c r="K499" s="19">
        <v>799000</v>
      </c>
      <c r="L499">
        <v>70</v>
      </c>
      <c r="M499" s="13">
        <v>55930000</v>
      </c>
      <c r="N499" s="19">
        <v>32541090.909090906</v>
      </c>
      <c r="O499" s="19">
        <v>31890269.09090909</v>
      </c>
      <c r="P499" t="s">
        <v>213</v>
      </c>
      <c r="Q499" t="s">
        <v>221</v>
      </c>
      <c r="R499" s="13"/>
    </row>
    <row r="500" spans="1:18" x14ac:dyDescent="0.35">
      <c r="A500" t="str">
        <f>_xlfn.XLOOKUP(B500,Mapping!C:C,Mapping!D:D)</f>
        <v>Group Buying</v>
      </c>
      <c r="B500" s="2" t="s">
        <v>114</v>
      </c>
      <c r="C500" s="2" t="s">
        <v>267</v>
      </c>
      <c r="D500" s="3">
        <v>46186</v>
      </c>
      <c r="E500" s="3">
        <v>46188</v>
      </c>
      <c r="F500">
        <v>3</v>
      </c>
      <c r="G500" t="s">
        <v>33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200</v>
      </c>
      <c r="M500" s="13">
        <v>69980000</v>
      </c>
      <c r="N500" s="19">
        <v>40715636.36363636</v>
      </c>
      <c r="O500" s="19">
        <v>39901323.636363633</v>
      </c>
      <c r="P500" t="s">
        <v>225</v>
      </c>
      <c r="Q500" t="s">
        <v>226</v>
      </c>
      <c r="R500" s="13"/>
    </row>
    <row r="501" spans="1:18" x14ac:dyDescent="0.35">
      <c r="A501" t="str">
        <f>_xlfn.XLOOKUP(B501,Mapping!C:C,Mapping!D:D)</f>
        <v>Group Buying</v>
      </c>
      <c r="B501" s="2" t="s">
        <v>114</v>
      </c>
      <c r="C501" s="2" t="s">
        <v>267</v>
      </c>
      <c r="D501" s="3">
        <v>46186</v>
      </c>
      <c r="E501" s="3">
        <v>46188</v>
      </c>
      <c r="F501">
        <v>3</v>
      </c>
      <c r="G501" t="s">
        <v>42</v>
      </c>
      <c r="H501" s="19">
        <v>399900</v>
      </c>
      <c r="I501" s="19">
        <v>349900</v>
      </c>
      <c r="J501" s="19">
        <v>299900</v>
      </c>
      <c r="K501" s="19">
        <v>349900</v>
      </c>
      <c r="L501">
        <v>0</v>
      </c>
      <c r="M501" s="13">
        <v>0</v>
      </c>
      <c r="N501" s="19">
        <v>0</v>
      </c>
      <c r="O501" s="19">
        <v>0</v>
      </c>
      <c r="P501" t="s">
        <v>225</v>
      </c>
      <c r="Q501" t="s">
        <v>226</v>
      </c>
      <c r="R501" s="13"/>
    </row>
    <row r="502" spans="1:18" x14ac:dyDescent="0.35">
      <c r="A502" t="str">
        <f>_xlfn.XLOOKUP(B502,Mapping!C:C,Mapping!D:D)</f>
        <v>Group Buying</v>
      </c>
      <c r="B502" s="2" t="s">
        <v>114</v>
      </c>
      <c r="C502" s="2" t="s">
        <v>268</v>
      </c>
      <c r="D502" s="3">
        <v>46195</v>
      </c>
      <c r="E502" s="3">
        <v>46198</v>
      </c>
      <c r="F502">
        <v>4</v>
      </c>
      <c r="G502" t="s">
        <v>82</v>
      </c>
      <c r="H502" s="19">
        <v>149900</v>
      </c>
      <c r="I502" s="19">
        <v>139900</v>
      </c>
      <c r="J502" s="19">
        <v>129900</v>
      </c>
      <c r="K502" s="19">
        <v>119900</v>
      </c>
      <c r="L502" s="19">
        <v>0</v>
      </c>
      <c r="M502" s="13">
        <v>0</v>
      </c>
      <c r="N502" s="19">
        <v>0</v>
      </c>
      <c r="O502" s="19">
        <v>0</v>
      </c>
      <c r="P502" t="s">
        <v>211</v>
      </c>
      <c r="Q502" t="s">
        <v>231</v>
      </c>
      <c r="R502" s="13"/>
    </row>
    <row r="503" spans="1:18" x14ac:dyDescent="0.35">
      <c r="A503" t="str">
        <f>_xlfn.XLOOKUP(B503,Mapping!C:C,Mapping!D:D)</f>
        <v>Group Buying</v>
      </c>
      <c r="B503" s="2" t="s">
        <v>114</v>
      </c>
      <c r="C503" s="2" t="s">
        <v>138</v>
      </c>
      <c r="D503" s="3">
        <v>46202</v>
      </c>
      <c r="E503" s="3">
        <v>46209</v>
      </c>
      <c r="F503">
        <v>8</v>
      </c>
      <c r="G503" t="s">
        <v>41</v>
      </c>
      <c r="H503" s="19">
        <v>299900</v>
      </c>
      <c r="I503" s="19">
        <v>269900</v>
      </c>
      <c r="J503" s="19">
        <v>269900</v>
      </c>
      <c r="K503" s="19">
        <v>219900</v>
      </c>
      <c r="L503">
        <v>200</v>
      </c>
      <c r="M503" s="13">
        <v>43980000</v>
      </c>
      <c r="N503" s="19">
        <v>25588363.636363637</v>
      </c>
      <c r="O503" s="19">
        <v>25076596.363636363</v>
      </c>
      <c r="P503" t="s">
        <v>225</v>
      </c>
      <c r="Q503" t="s">
        <v>226</v>
      </c>
      <c r="R503" s="13"/>
    </row>
    <row r="504" spans="1:18" x14ac:dyDescent="0.35">
      <c r="A504" t="str">
        <f>_xlfn.XLOOKUP(B504,Mapping!C:C,Mapping!D:D)</f>
        <v>Group Buying</v>
      </c>
      <c r="B504" s="2" t="s">
        <v>114</v>
      </c>
      <c r="C504" s="2" t="s">
        <v>136</v>
      </c>
      <c r="D504" s="3">
        <v>46188</v>
      </c>
      <c r="E504" s="3">
        <v>46203</v>
      </c>
      <c r="F504">
        <v>16</v>
      </c>
      <c r="G504" t="s">
        <v>31</v>
      </c>
      <c r="H504" s="19">
        <v>849000</v>
      </c>
      <c r="I504" s="19">
        <v>749000</v>
      </c>
      <c r="J504" s="19">
        <v>699000</v>
      </c>
      <c r="K504" s="19">
        <v>699000</v>
      </c>
      <c r="L504">
        <v>0</v>
      </c>
      <c r="M504" s="13">
        <v>0</v>
      </c>
      <c r="N504" s="19">
        <v>0</v>
      </c>
      <c r="O504" s="19">
        <v>0</v>
      </c>
      <c r="P504" t="s">
        <v>213</v>
      </c>
      <c r="Q504" t="s">
        <v>221</v>
      </c>
      <c r="R504" s="13"/>
    </row>
    <row r="505" spans="1:18" x14ac:dyDescent="0.35">
      <c r="A505" t="str">
        <f>_xlfn.XLOOKUP(B505,Mapping!C:C,Mapping!D:D)</f>
        <v>Group Buying</v>
      </c>
      <c r="B505" s="2" t="s">
        <v>114</v>
      </c>
      <c r="C505" s="2" t="s">
        <v>132</v>
      </c>
      <c r="D505" s="3">
        <v>46202</v>
      </c>
      <c r="E505" s="3">
        <v>46208</v>
      </c>
      <c r="F505">
        <v>7</v>
      </c>
      <c r="G505" t="s">
        <v>32</v>
      </c>
      <c r="H505" s="19">
        <v>349900</v>
      </c>
      <c r="I505" s="19">
        <v>299900</v>
      </c>
      <c r="J505" s="19">
        <v>269900</v>
      </c>
      <c r="K505" s="19">
        <v>299900</v>
      </c>
      <c r="L505">
        <v>100</v>
      </c>
      <c r="M505" s="13">
        <v>29990000</v>
      </c>
      <c r="N505" s="19">
        <v>17448727.27272727</v>
      </c>
      <c r="O505" s="19">
        <v>17099752.727272723</v>
      </c>
      <c r="P505" t="s">
        <v>211</v>
      </c>
      <c r="Q505" t="s">
        <v>224</v>
      </c>
      <c r="R505" s="13"/>
    </row>
    <row r="506" spans="1:18" x14ac:dyDescent="0.35">
      <c r="A506" t="str">
        <f>_xlfn.XLOOKUP(B506,Mapping!C:C,Mapping!D:D)</f>
        <v>Group Buying</v>
      </c>
      <c r="B506" s="2" t="s">
        <v>114</v>
      </c>
      <c r="C506" s="2" t="s">
        <v>261</v>
      </c>
      <c r="D506" s="3">
        <v>46190</v>
      </c>
      <c r="E506" s="3">
        <v>46192</v>
      </c>
      <c r="F506">
        <v>3</v>
      </c>
      <c r="G506" t="s">
        <v>33</v>
      </c>
      <c r="H506" s="19">
        <v>399900</v>
      </c>
      <c r="I506" s="19">
        <v>349900</v>
      </c>
      <c r="J506" s="19">
        <v>299900</v>
      </c>
      <c r="K506" s="19">
        <v>349900</v>
      </c>
      <c r="L506">
        <v>200</v>
      </c>
      <c r="M506" s="13">
        <v>69980000</v>
      </c>
      <c r="N506" s="19">
        <v>40715636.36363636</v>
      </c>
      <c r="O506" s="19">
        <v>39901323.636363633</v>
      </c>
      <c r="P506" t="s">
        <v>225</v>
      </c>
      <c r="Q506" t="s">
        <v>226</v>
      </c>
      <c r="R506" s="13"/>
    </row>
    <row r="507" spans="1:18" x14ac:dyDescent="0.35">
      <c r="A507" t="str">
        <f>_xlfn.XLOOKUP(B507,Mapping!C:C,Mapping!D:D)</f>
        <v>Group Buying</v>
      </c>
      <c r="B507" s="2" t="s">
        <v>114</v>
      </c>
      <c r="C507" s="2" t="s">
        <v>261</v>
      </c>
      <c r="D507" s="3">
        <v>46190</v>
      </c>
      <c r="E507" s="3">
        <v>46192</v>
      </c>
      <c r="F507">
        <v>3</v>
      </c>
      <c r="G507" t="s">
        <v>42</v>
      </c>
      <c r="H507" s="19">
        <v>399900</v>
      </c>
      <c r="I507" s="19">
        <v>349900</v>
      </c>
      <c r="J507" s="19">
        <v>299900</v>
      </c>
      <c r="K507" s="19">
        <v>349900</v>
      </c>
      <c r="L507">
        <v>0</v>
      </c>
      <c r="M507" s="13">
        <v>0</v>
      </c>
      <c r="N507" s="19">
        <v>0</v>
      </c>
      <c r="O507" s="19">
        <v>0</v>
      </c>
      <c r="P507" t="s">
        <v>225</v>
      </c>
      <c r="Q507" t="s">
        <v>226</v>
      </c>
      <c r="R507" s="13"/>
    </row>
    <row r="508" spans="1:18" x14ac:dyDescent="0.35">
      <c r="A508" t="str">
        <f>_xlfn.XLOOKUP(B508,Mapping!C:C,Mapping!D:D)</f>
        <v>Group Buying</v>
      </c>
      <c r="B508" s="2" t="s">
        <v>114</v>
      </c>
      <c r="C508" s="2" t="s">
        <v>243</v>
      </c>
      <c r="D508" s="3">
        <v>46197</v>
      </c>
      <c r="E508" s="3">
        <v>46200</v>
      </c>
      <c r="F508">
        <v>4</v>
      </c>
      <c r="G508" t="s">
        <v>33</v>
      </c>
      <c r="H508" s="19">
        <v>399900</v>
      </c>
      <c r="I508" s="19">
        <v>349900</v>
      </c>
      <c r="J508" s="19">
        <v>299900</v>
      </c>
      <c r="K508" s="19">
        <v>349900</v>
      </c>
      <c r="L508">
        <v>200</v>
      </c>
      <c r="M508" s="13">
        <v>69980000</v>
      </c>
      <c r="N508" s="19">
        <v>40715636.36363636</v>
      </c>
      <c r="O508" s="19">
        <v>39901323.636363633</v>
      </c>
      <c r="P508" t="s">
        <v>225</v>
      </c>
      <c r="Q508" t="s">
        <v>226</v>
      </c>
      <c r="R508" s="13"/>
    </row>
    <row r="509" spans="1:18" x14ac:dyDescent="0.35">
      <c r="A509" t="str">
        <f>_xlfn.XLOOKUP(B509,Mapping!C:C,Mapping!D:D)</f>
        <v>Group Buying</v>
      </c>
      <c r="B509" s="2" t="s">
        <v>114</v>
      </c>
      <c r="C509" s="2" t="s">
        <v>243</v>
      </c>
      <c r="D509" s="3">
        <v>46197</v>
      </c>
      <c r="E509" s="3">
        <v>46200</v>
      </c>
      <c r="F509">
        <v>4</v>
      </c>
      <c r="G509" t="s">
        <v>42</v>
      </c>
      <c r="H509" s="19">
        <v>449900</v>
      </c>
      <c r="I509" s="19">
        <v>379900</v>
      </c>
      <c r="J509" s="19">
        <v>349900</v>
      </c>
      <c r="K509" s="19">
        <v>349900</v>
      </c>
      <c r="L509">
        <v>150</v>
      </c>
      <c r="M509" s="13">
        <v>52485000</v>
      </c>
      <c r="N509" s="19">
        <v>30536727.27272727</v>
      </c>
      <c r="O509" s="19">
        <v>29925992.727272723</v>
      </c>
      <c r="P509" t="s">
        <v>225</v>
      </c>
      <c r="Q509" t="s">
        <v>226</v>
      </c>
      <c r="R509" s="13"/>
    </row>
    <row r="510" spans="1:18" x14ac:dyDescent="0.35">
      <c r="A510" t="str">
        <f>_xlfn.XLOOKUP(B510,Mapping!C:C,Mapping!D:D)</f>
        <v>Group Buying</v>
      </c>
      <c r="B510" s="2" t="s">
        <v>114</v>
      </c>
      <c r="C510" s="2" t="s">
        <v>237</v>
      </c>
      <c r="D510" s="3">
        <v>46195</v>
      </c>
      <c r="E510" s="3">
        <v>46197</v>
      </c>
      <c r="F510">
        <v>3</v>
      </c>
      <c r="G510" t="s">
        <v>269</v>
      </c>
      <c r="H510" s="19">
        <v>249900</v>
      </c>
      <c r="I510" s="19">
        <v>219900</v>
      </c>
      <c r="J510" s="19">
        <v>199900</v>
      </c>
      <c r="K510" s="19">
        <v>399900</v>
      </c>
      <c r="L510">
        <v>500</v>
      </c>
      <c r="M510" s="13">
        <v>199950000</v>
      </c>
      <c r="N510" s="19">
        <v>116334545.45454544</v>
      </c>
      <c r="O510" s="19">
        <v>114007854.54545453</v>
      </c>
      <c r="P510" t="s">
        <v>215</v>
      </c>
      <c r="Q510" t="s">
        <v>227</v>
      </c>
      <c r="R510" s="13"/>
    </row>
    <row r="511" spans="1:18" x14ac:dyDescent="0.35">
      <c r="A511" t="str">
        <f>_xlfn.XLOOKUP(B511,Mapping!C:C,Mapping!D:D)</f>
        <v>Group Buying</v>
      </c>
      <c r="B511" s="2" t="s">
        <v>114</v>
      </c>
      <c r="C511" s="2" t="s">
        <v>252</v>
      </c>
      <c r="D511" s="3">
        <v>46190</v>
      </c>
      <c r="E511" s="3">
        <v>46203</v>
      </c>
      <c r="F511">
        <v>14</v>
      </c>
      <c r="G511" t="s">
        <v>21</v>
      </c>
      <c r="H511" s="19">
        <v>249900</v>
      </c>
      <c r="I511" s="19">
        <v>219900</v>
      </c>
      <c r="J511" s="19">
        <v>199900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">
        <v>211</v>
      </c>
      <c r="Q511" t="s">
        <v>217</v>
      </c>
      <c r="R511" s="13"/>
    </row>
    <row r="512" spans="1:18" x14ac:dyDescent="0.35">
      <c r="A512" t="str">
        <f>_xlfn.XLOOKUP(B512,Mapping!C:C,Mapping!D:D)</f>
        <v>Group Buying</v>
      </c>
      <c r="B512" s="2" t="s">
        <v>114</v>
      </c>
      <c r="C512" s="2" t="s">
        <v>270</v>
      </c>
      <c r="D512" s="3">
        <v>46191</v>
      </c>
      <c r="E512" s="3">
        <v>46194</v>
      </c>
      <c r="F512">
        <v>4</v>
      </c>
      <c r="G512" t="s">
        <v>18</v>
      </c>
      <c r="H512" s="19">
        <v>249900</v>
      </c>
      <c r="I512" s="19">
        <v>219900</v>
      </c>
      <c r="J512" s="19">
        <v>199900</v>
      </c>
      <c r="K512" s="19">
        <v>219900</v>
      </c>
      <c r="L512">
        <v>0</v>
      </c>
      <c r="M512" s="13">
        <v>0</v>
      </c>
      <c r="N512" s="19">
        <v>0</v>
      </c>
      <c r="O512" s="19">
        <v>0</v>
      </c>
      <c r="P512" t="s">
        <v>215</v>
      </c>
      <c r="Q512" t="s">
        <v>216</v>
      </c>
      <c r="R512" s="13"/>
    </row>
    <row r="513" spans="1:18" x14ac:dyDescent="0.35">
      <c r="A513" t="str">
        <f>_xlfn.XLOOKUP(B513,Mapping!C:C,Mapping!D:D)</f>
        <v>Group Buying</v>
      </c>
      <c r="B513" s="2" t="s">
        <v>114</v>
      </c>
      <c r="C513" s="2" t="s">
        <v>270</v>
      </c>
      <c r="D513" s="3">
        <v>46191</v>
      </c>
      <c r="E513" s="3">
        <v>46194</v>
      </c>
      <c r="F513">
        <v>4</v>
      </c>
      <c r="G513" t="s">
        <v>19</v>
      </c>
      <c r="H513" s="19">
        <v>79900</v>
      </c>
      <c r="I513" s="19">
        <v>54900</v>
      </c>
      <c r="J513" s="19">
        <v>54900</v>
      </c>
      <c r="K513" s="19">
        <v>219900</v>
      </c>
      <c r="L513">
        <v>500</v>
      </c>
      <c r="M513" s="13">
        <v>109950000</v>
      </c>
      <c r="N513" s="19">
        <v>63970909.090909086</v>
      </c>
      <c r="O513" s="19">
        <v>62691490.909090906</v>
      </c>
      <c r="P513" t="s">
        <v>215</v>
      </c>
      <c r="Q513" t="s">
        <v>216</v>
      </c>
      <c r="R513" s="13"/>
    </row>
    <row r="514" spans="1:18" x14ac:dyDescent="0.35">
      <c r="A514" t="str">
        <f>_xlfn.XLOOKUP(B514,Mapping!C:C,Mapping!D:D)</f>
        <v>Group Buying</v>
      </c>
      <c r="B514" s="2" t="s">
        <v>114</v>
      </c>
      <c r="C514" s="2" t="s">
        <v>270</v>
      </c>
      <c r="D514" s="3">
        <v>46191</v>
      </c>
      <c r="E514" s="3">
        <v>46194</v>
      </c>
      <c r="F514">
        <v>4</v>
      </c>
      <c r="G514" t="s">
        <v>20</v>
      </c>
      <c r="H514" s="19">
        <v>79900</v>
      </c>
      <c r="I514" s="19">
        <v>54900</v>
      </c>
      <c r="J514" s="19">
        <v>54900</v>
      </c>
      <c r="K514" s="19">
        <v>219900</v>
      </c>
      <c r="L514">
        <v>0</v>
      </c>
      <c r="M514" s="13">
        <v>0</v>
      </c>
      <c r="N514" s="19">
        <v>0</v>
      </c>
      <c r="O514" s="19">
        <v>0</v>
      </c>
      <c r="P514" t="s">
        <v>215</v>
      </c>
      <c r="Q514" t="s">
        <v>216</v>
      </c>
      <c r="R514" s="13"/>
    </row>
    <row r="515" spans="1:18" x14ac:dyDescent="0.35">
      <c r="A515" t="str">
        <f>_xlfn.XLOOKUP(B515,Mapping!C:C,Mapping!D:D)</f>
        <v>Group Buying</v>
      </c>
      <c r="B515" s="2" t="s">
        <v>114</v>
      </c>
      <c r="C515" s="2" t="s">
        <v>271</v>
      </c>
      <c r="D515" s="3">
        <v>46187</v>
      </c>
      <c r="E515" s="3">
        <v>46190</v>
      </c>
      <c r="F515">
        <v>4</v>
      </c>
      <c r="G515" t="s">
        <v>95</v>
      </c>
      <c r="H515" s="19">
        <v>79900</v>
      </c>
      <c r="I515" s="19">
        <v>54900</v>
      </c>
      <c r="J515" s="19">
        <v>54900</v>
      </c>
      <c r="K515" s="19">
        <v>49900</v>
      </c>
      <c r="L515">
        <v>0</v>
      </c>
      <c r="M515" s="13">
        <v>0</v>
      </c>
      <c r="N515" s="19">
        <v>0</v>
      </c>
      <c r="O515" s="19">
        <v>0</v>
      </c>
      <c r="P515" t="s">
        <v>211</v>
      </c>
      <c r="Q515" t="s">
        <v>233</v>
      </c>
      <c r="R515" s="13"/>
    </row>
    <row r="516" spans="1:18" x14ac:dyDescent="0.35">
      <c r="A516" t="str">
        <f>_xlfn.XLOOKUP(B516,Mapping!C:C,Mapping!D:D)</f>
        <v>Group Buying</v>
      </c>
      <c r="B516" s="2" t="s">
        <v>114</v>
      </c>
      <c r="C516" s="2" t="s">
        <v>238</v>
      </c>
      <c r="D516" s="3">
        <v>46197</v>
      </c>
      <c r="E516" s="3">
        <v>46200</v>
      </c>
      <c r="F516">
        <v>4</v>
      </c>
      <c r="G516" t="s">
        <v>33</v>
      </c>
      <c r="H516" s="19">
        <v>399900</v>
      </c>
      <c r="I516" s="19">
        <v>349900</v>
      </c>
      <c r="J516" s="19">
        <v>299900</v>
      </c>
      <c r="K516" s="19">
        <v>349900</v>
      </c>
      <c r="L516">
        <v>200</v>
      </c>
      <c r="M516" s="13">
        <v>69980000</v>
      </c>
      <c r="N516" s="19">
        <v>40715636.36363636</v>
      </c>
      <c r="O516" s="19">
        <v>39901323.636363633</v>
      </c>
      <c r="P516" t="s">
        <v>225</v>
      </c>
      <c r="Q516" t="s">
        <v>226</v>
      </c>
      <c r="R516" s="13"/>
    </row>
    <row r="517" spans="1:18" x14ac:dyDescent="0.35">
      <c r="A517" t="str">
        <f>_xlfn.XLOOKUP(B517,Mapping!C:C,Mapping!D:D)</f>
        <v>Group Buying</v>
      </c>
      <c r="B517" s="2" t="s">
        <v>114</v>
      </c>
      <c r="C517" s="2" t="s">
        <v>238</v>
      </c>
      <c r="D517" s="3">
        <v>46197</v>
      </c>
      <c r="E517" s="3">
        <v>46200</v>
      </c>
      <c r="F517">
        <v>4</v>
      </c>
      <c r="G517" t="s">
        <v>42</v>
      </c>
      <c r="H517" s="19">
        <v>399900</v>
      </c>
      <c r="I517" s="19">
        <v>349900</v>
      </c>
      <c r="J517" s="19">
        <v>299900</v>
      </c>
      <c r="K517" s="19">
        <v>349900</v>
      </c>
      <c r="L517">
        <v>0</v>
      </c>
      <c r="M517" s="13">
        <v>0</v>
      </c>
      <c r="N517" s="19">
        <v>0</v>
      </c>
      <c r="O517" s="19">
        <v>0</v>
      </c>
      <c r="P517" t="s">
        <v>225</v>
      </c>
      <c r="Q517" t="s">
        <v>226</v>
      </c>
      <c r="R517" s="13"/>
    </row>
    <row r="518" spans="1:18" x14ac:dyDescent="0.35">
      <c r="A518" t="str">
        <f>_xlfn.XLOOKUP(B518,Mapping!C:C,Mapping!D:D)</f>
        <v>Group Buying</v>
      </c>
      <c r="B518" s="2" t="s">
        <v>114</v>
      </c>
      <c r="C518" s="2" t="s">
        <v>140</v>
      </c>
      <c r="D518" s="3">
        <v>46203</v>
      </c>
      <c r="E518" s="3">
        <v>46205</v>
      </c>
      <c r="F518">
        <v>3</v>
      </c>
      <c r="G518" t="s">
        <v>18</v>
      </c>
      <c r="H518" s="19">
        <v>249900</v>
      </c>
      <c r="I518" s="19">
        <v>219900</v>
      </c>
      <c r="J518" s="19">
        <v>199900</v>
      </c>
      <c r="K518" s="19">
        <v>219900</v>
      </c>
      <c r="L518">
        <v>500</v>
      </c>
      <c r="M518" s="13">
        <v>109950000</v>
      </c>
      <c r="N518" s="19">
        <v>63970909.090909086</v>
      </c>
      <c r="O518" s="19">
        <v>62691490.909090906</v>
      </c>
      <c r="P518" t="s">
        <v>215</v>
      </c>
      <c r="Q518" t="s">
        <v>216</v>
      </c>
      <c r="R518" s="13"/>
    </row>
    <row r="519" spans="1:18" x14ac:dyDescent="0.35">
      <c r="A519" t="str">
        <f>_xlfn.XLOOKUP(B519,Mapping!C:C,Mapping!D:D)</f>
        <v>Group Buying</v>
      </c>
      <c r="B519" s="2" t="s">
        <v>114</v>
      </c>
      <c r="C519" s="2" t="s">
        <v>140</v>
      </c>
      <c r="D519" s="3">
        <v>46203</v>
      </c>
      <c r="E519" s="3">
        <v>46205</v>
      </c>
      <c r="F519">
        <v>3</v>
      </c>
      <c r="G519" t="s">
        <v>19</v>
      </c>
      <c r="H519" s="19">
        <v>249900</v>
      </c>
      <c r="I519" s="19">
        <v>219900</v>
      </c>
      <c r="J519" s="19">
        <v>199900</v>
      </c>
      <c r="K519" s="19">
        <v>219900</v>
      </c>
      <c r="L519">
        <v>0</v>
      </c>
      <c r="M519" s="13">
        <v>0</v>
      </c>
      <c r="N519" s="19">
        <v>0</v>
      </c>
      <c r="O519" s="19">
        <v>0</v>
      </c>
      <c r="P519" t="s">
        <v>215</v>
      </c>
      <c r="Q519" t="s">
        <v>216</v>
      </c>
      <c r="R519" s="13"/>
    </row>
    <row r="520" spans="1:18" x14ac:dyDescent="0.35">
      <c r="A520" t="str">
        <f>_xlfn.XLOOKUP(B520,Mapping!C:C,Mapping!D:D)</f>
        <v>Group Buying</v>
      </c>
      <c r="B520" s="2" t="s">
        <v>114</v>
      </c>
      <c r="C520" s="2" t="s">
        <v>140</v>
      </c>
      <c r="D520" s="3">
        <v>46203</v>
      </c>
      <c r="E520" s="3">
        <v>46205</v>
      </c>
      <c r="F520">
        <v>3</v>
      </c>
      <c r="G520" t="s">
        <v>20</v>
      </c>
      <c r="H520" s="19">
        <v>249900</v>
      </c>
      <c r="I520" s="19">
        <v>219900</v>
      </c>
      <c r="J520" s="19">
        <v>199900</v>
      </c>
      <c r="K520" s="19">
        <v>219900</v>
      </c>
      <c r="L520">
        <v>0</v>
      </c>
      <c r="M520" s="13">
        <v>0</v>
      </c>
      <c r="N520" s="19">
        <v>0</v>
      </c>
      <c r="O520" s="19">
        <v>0</v>
      </c>
      <c r="P520" t="s">
        <v>215</v>
      </c>
      <c r="Q520" t="s">
        <v>216</v>
      </c>
      <c r="R520" s="13"/>
    </row>
    <row r="521" spans="1:18" x14ac:dyDescent="0.35">
      <c r="A521" t="str">
        <f>_xlfn.XLOOKUP(B521,Mapping!C:C,Mapping!D:D)</f>
        <v>Group Buying</v>
      </c>
      <c r="B521" s="2" t="s">
        <v>114</v>
      </c>
      <c r="C521" s="2" t="s">
        <v>272</v>
      </c>
      <c r="D521" s="3">
        <v>46200</v>
      </c>
      <c r="E521" s="3">
        <v>46203</v>
      </c>
      <c r="F521">
        <v>4</v>
      </c>
      <c r="G521" t="s">
        <v>33</v>
      </c>
      <c r="H521" s="19">
        <v>399900</v>
      </c>
      <c r="I521" s="19">
        <v>349900</v>
      </c>
      <c r="J521" s="19">
        <v>299900</v>
      </c>
      <c r="K521" s="19">
        <v>349900</v>
      </c>
      <c r="L521">
        <v>200</v>
      </c>
      <c r="M521" s="13">
        <v>69980000</v>
      </c>
      <c r="N521" s="19">
        <v>40715636.36363636</v>
      </c>
      <c r="O521" s="19">
        <v>39901323.636363633</v>
      </c>
      <c r="P521" t="s">
        <v>225</v>
      </c>
      <c r="Q521" t="s">
        <v>226</v>
      </c>
      <c r="R521" s="13"/>
    </row>
    <row r="522" spans="1:18" x14ac:dyDescent="0.35">
      <c r="A522" t="str">
        <f>_xlfn.XLOOKUP(B522,Mapping!C:C,Mapping!D:D)</f>
        <v>Group Buying</v>
      </c>
      <c r="B522" s="2" t="s">
        <v>114</v>
      </c>
      <c r="C522" s="2" t="s">
        <v>272</v>
      </c>
      <c r="D522" s="3">
        <v>46200</v>
      </c>
      <c r="E522" s="3">
        <v>46203</v>
      </c>
      <c r="F522">
        <v>4</v>
      </c>
      <c r="G522" t="s">
        <v>42</v>
      </c>
      <c r="H522" s="19">
        <v>399900</v>
      </c>
      <c r="I522" s="19">
        <v>349900</v>
      </c>
      <c r="J522" s="19">
        <v>299900</v>
      </c>
      <c r="K522" s="19">
        <v>349900</v>
      </c>
      <c r="L522">
        <v>0</v>
      </c>
      <c r="M522" s="13">
        <v>0</v>
      </c>
      <c r="N522" s="19">
        <v>0</v>
      </c>
      <c r="O522" s="19">
        <v>0</v>
      </c>
      <c r="P522" t="s">
        <v>225</v>
      </c>
      <c r="Q522" t="s">
        <v>226</v>
      </c>
      <c r="R522" s="13"/>
    </row>
    <row r="523" spans="1:18" x14ac:dyDescent="0.35">
      <c r="A523" t="str">
        <f>_xlfn.XLOOKUP(B523,Mapping!C:C,Mapping!D:D)</f>
        <v>Group Buying</v>
      </c>
      <c r="B523" s="2" t="s">
        <v>114</v>
      </c>
      <c r="C523" s="2" t="s">
        <v>273</v>
      </c>
      <c r="D523" s="3">
        <v>46203</v>
      </c>
      <c r="E523" s="3">
        <v>46205</v>
      </c>
      <c r="F523">
        <v>3</v>
      </c>
      <c r="G523" t="s">
        <v>18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500</v>
      </c>
      <c r="M523" s="13">
        <v>109950000</v>
      </c>
      <c r="N523" s="19">
        <v>63970909.090909086</v>
      </c>
      <c r="O523" s="19">
        <v>62691490.909090906</v>
      </c>
      <c r="P523" t="s">
        <v>215</v>
      </c>
      <c r="Q523" t="s">
        <v>216</v>
      </c>
      <c r="R523" s="13"/>
    </row>
    <row r="524" spans="1:18" x14ac:dyDescent="0.35">
      <c r="A524" t="str">
        <f>_xlfn.XLOOKUP(B524,Mapping!C:C,Mapping!D:D)</f>
        <v>Group Buying</v>
      </c>
      <c r="B524" s="2" t="s">
        <v>114</v>
      </c>
      <c r="C524" s="2" t="s">
        <v>273</v>
      </c>
      <c r="D524" s="3">
        <v>46203</v>
      </c>
      <c r="E524" s="3">
        <v>46205</v>
      </c>
      <c r="F524">
        <v>3</v>
      </c>
      <c r="G524" t="s">
        <v>19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">
        <v>215</v>
      </c>
      <c r="Q524" t="s">
        <v>216</v>
      </c>
      <c r="R524" s="13"/>
    </row>
    <row r="525" spans="1:18" x14ac:dyDescent="0.35">
      <c r="A525" t="str">
        <f>_xlfn.XLOOKUP(B525,Mapping!C:C,Mapping!D:D)</f>
        <v>Group Buying</v>
      </c>
      <c r="B525" s="2" t="s">
        <v>114</v>
      </c>
      <c r="C525" s="2" t="s">
        <v>273</v>
      </c>
      <c r="D525" s="3">
        <v>46203</v>
      </c>
      <c r="E525" s="3">
        <v>46205</v>
      </c>
      <c r="F525">
        <v>3</v>
      </c>
      <c r="G525" t="s">
        <v>20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0</v>
      </c>
      <c r="M525" s="13">
        <v>0</v>
      </c>
      <c r="N525" s="19">
        <v>0</v>
      </c>
      <c r="O525" s="19">
        <v>0</v>
      </c>
      <c r="P525" t="s">
        <v>215</v>
      </c>
      <c r="Q525" t="s">
        <v>216</v>
      </c>
      <c r="R525" s="13"/>
    </row>
    <row r="526" spans="1:18" x14ac:dyDescent="0.35">
      <c r="A526" t="str">
        <f>_xlfn.XLOOKUP(B526,Mapping!C:C,Mapping!D:D)</f>
        <v>Group Buying</v>
      </c>
      <c r="B526" s="2" t="s">
        <v>114</v>
      </c>
      <c r="C526" s="2" t="s">
        <v>276</v>
      </c>
      <c r="D526" s="3">
        <v>46194</v>
      </c>
      <c r="E526" s="3">
        <v>46197</v>
      </c>
      <c r="F526">
        <v>4</v>
      </c>
      <c r="G526" t="s">
        <v>33</v>
      </c>
      <c r="H526" s="19">
        <v>399900</v>
      </c>
      <c r="I526" s="19">
        <v>349900</v>
      </c>
      <c r="J526" s="19">
        <v>299900</v>
      </c>
      <c r="K526" s="19">
        <v>349900</v>
      </c>
      <c r="L526">
        <v>200</v>
      </c>
      <c r="M526" s="13">
        <v>69980000</v>
      </c>
      <c r="N526" s="19">
        <v>40715636.36363636</v>
      </c>
      <c r="O526" s="19">
        <v>39901323.636363633</v>
      </c>
      <c r="P526" t="s">
        <v>225</v>
      </c>
      <c r="Q526" t="s">
        <v>226</v>
      </c>
      <c r="R526" s="13"/>
    </row>
    <row r="527" spans="1:18" x14ac:dyDescent="0.35">
      <c r="A527" t="str">
        <f>_xlfn.XLOOKUP(B527,Mapping!C:C,Mapping!D:D)</f>
        <v>Group Buying</v>
      </c>
      <c r="B527" s="2" t="s">
        <v>114</v>
      </c>
      <c r="C527" s="2" t="s">
        <v>276</v>
      </c>
      <c r="D527" s="3">
        <v>46194</v>
      </c>
      <c r="E527" s="3">
        <v>46197</v>
      </c>
      <c r="F527">
        <v>4</v>
      </c>
      <c r="G527" t="s">
        <v>42</v>
      </c>
      <c r="H527" s="19">
        <v>399900</v>
      </c>
      <c r="I527" s="19">
        <v>349900</v>
      </c>
      <c r="J527" s="19">
        <v>299900</v>
      </c>
      <c r="K527" s="19">
        <v>349900</v>
      </c>
      <c r="L527">
        <v>0</v>
      </c>
      <c r="M527" s="13">
        <v>0</v>
      </c>
      <c r="N527" s="19">
        <v>0</v>
      </c>
      <c r="O527" s="19">
        <v>0</v>
      </c>
      <c r="P527" t="s">
        <v>225</v>
      </c>
      <c r="Q527" t="s">
        <v>226</v>
      </c>
      <c r="R527" s="13"/>
    </row>
    <row r="528" spans="1:18" x14ac:dyDescent="0.35">
      <c r="A528" t="str">
        <f>_xlfn.XLOOKUP(B528,Mapping!C:C,Mapping!D:D)</f>
        <v>Group Buying</v>
      </c>
      <c r="B528" s="2" t="s">
        <v>114</v>
      </c>
      <c r="C528" s="2" t="s">
        <v>277</v>
      </c>
      <c r="D528" s="3">
        <v>46198</v>
      </c>
      <c r="E528" s="3">
        <v>46201</v>
      </c>
      <c r="F528">
        <v>4</v>
      </c>
      <c r="G528" t="s">
        <v>33</v>
      </c>
      <c r="H528" s="19">
        <v>399900</v>
      </c>
      <c r="I528" s="19">
        <v>349900</v>
      </c>
      <c r="J528" s="19">
        <v>299900</v>
      </c>
      <c r="K528" s="19">
        <v>349900</v>
      </c>
      <c r="L528">
        <v>200</v>
      </c>
      <c r="M528" s="13">
        <v>69980000</v>
      </c>
      <c r="N528" s="19">
        <v>40715636.36363636</v>
      </c>
      <c r="O528" s="19">
        <v>39901323.636363633</v>
      </c>
      <c r="P528" t="s">
        <v>225</v>
      </c>
      <c r="Q528" t="s">
        <v>226</v>
      </c>
      <c r="R528" s="13"/>
    </row>
    <row r="529" spans="1:18" x14ac:dyDescent="0.35">
      <c r="A529" t="str">
        <f>_xlfn.XLOOKUP(B529,Mapping!C:C,Mapping!D:D)</f>
        <v>Group Buying</v>
      </c>
      <c r="B529" s="2" t="s">
        <v>114</v>
      </c>
      <c r="C529" s="2" t="s">
        <v>277</v>
      </c>
      <c r="D529" s="3">
        <v>46198</v>
      </c>
      <c r="E529" s="3">
        <v>46201</v>
      </c>
      <c r="F529">
        <v>4</v>
      </c>
      <c r="G529" t="s">
        <v>42</v>
      </c>
      <c r="H529" s="19">
        <v>399900</v>
      </c>
      <c r="I529" s="19">
        <v>349900</v>
      </c>
      <c r="J529" s="19">
        <v>299900</v>
      </c>
      <c r="K529" s="19">
        <v>349900</v>
      </c>
      <c r="L529">
        <v>0</v>
      </c>
      <c r="M529" s="13">
        <v>0</v>
      </c>
      <c r="N529" s="19">
        <v>0</v>
      </c>
      <c r="O529" s="19">
        <v>0</v>
      </c>
      <c r="P529" t="s">
        <v>225</v>
      </c>
      <c r="Q529" t="s">
        <v>226</v>
      </c>
      <c r="R529" s="13"/>
    </row>
    <row r="530" spans="1:18" x14ac:dyDescent="0.35">
      <c r="A530" t="str">
        <f>_xlfn.XLOOKUP(B530,Mapping!C:C,Mapping!D:D)</f>
        <v>HI-MART</v>
      </c>
      <c r="B530" s="2" t="s">
        <v>143</v>
      </c>
      <c r="C530" t="s">
        <v>282</v>
      </c>
      <c r="D530" s="3">
        <v>46204</v>
      </c>
      <c r="E530" s="3">
        <v>46234</v>
      </c>
      <c r="F530">
        <v>31</v>
      </c>
      <c r="G530" t="s">
        <v>26</v>
      </c>
      <c r="H530">
        <v>899000</v>
      </c>
      <c r="I530">
        <v>849000</v>
      </c>
      <c r="J530">
        <v>799000</v>
      </c>
      <c r="K530" s="19">
        <v>819000</v>
      </c>
      <c r="L530" s="19">
        <v>600</v>
      </c>
      <c r="M530" s="19">
        <v>491400000</v>
      </c>
      <c r="N530" s="19">
        <v>341640000</v>
      </c>
      <c r="O530" s="19">
        <v>311507352</v>
      </c>
      <c r="P530" t="str">
        <f t="shared" ref="P530:P580" si="0">_xlfn.XLOOKUP(G530,$G$2:$G$529,$P$2:$P$529,"Not Found")</f>
        <v>Shark Floorcare</v>
      </c>
      <c r="Q530" t="str">
        <f t="shared" ref="Q530:Q580" si="1">_xlfn.XLOOKUP(G530,$G$2:$G$529,$Q$2:$Q$529,"Not Found")</f>
        <v>FW</v>
      </c>
    </row>
    <row r="531" spans="1:18" x14ac:dyDescent="0.35">
      <c r="A531" t="str">
        <f>_xlfn.XLOOKUP(B531,Mapping!C:C,Mapping!D:D)</f>
        <v>HI-MART</v>
      </c>
      <c r="B531" s="2" t="s">
        <v>143</v>
      </c>
      <c r="C531" t="s">
        <v>145</v>
      </c>
      <c r="D531" s="3">
        <v>46204</v>
      </c>
      <c r="E531" s="3">
        <v>46234</v>
      </c>
      <c r="F531">
        <v>31</v>
      </c>
      <c r="G531" t="s">
        <v>23</v>
      </c>
      <c r="H531">
        <v>899000</v>
      </c>
      <c r="I531">
        <v>849000</v>
      </c>
      <c r="J531">
        <v>799000</v>
      </c>
      <c r="K531" s="19">
        <v>769000</v>
      </c>
      <c r="L531" s="19">
        <v>600</v>
      </c>
      <c r="M531" s="19">
        <v>461400000</v>
      </c>
      <c r="N531" s="19">
        <v>341640000</v>
      </c>
      <c r="O531" s="19">
        <v>311507352</v>
      </c>
      <c r="P531" t="str">
        <f t="shared" si="0"/>
        <v>Shark Floorcare</v>
      </c>
      <c r="Q531" t="str">
        <f t="shared" si="1"/>
        <v>Kion</v>
      </c>
    </row>
    <row r="532" spans="1:18" x14ac:dyDescent="0.35">
      <c r="A532" t="str">
        <f>_xlfn.XLOOKUP(B532,Mapping!C:C,Mapping!D:D)</f>
        <v>HI-MART</v>
      </c>
      <c r="B532" s="2" t="s">
        <v>143</v>
      </c>
      <c r="C532" t="s">
        <v>280</v>
      </c>
      <c r="D532" s="3">
        <v>46204</v>
      </c>
      <c r="E532" s="3">
        <v>46234</v>
      </c>
      <c r="F532">
        <v>31</v>
      </c>
      <c r="G532" t="s">
        <v>31</v>
      </c>
      <c r="H532">
        <v>849000</v>
      </c>
      <c r="I532">
        <v>749000</v>
      </c>
      <c r="J532">
        <v>699000</v>
      </c>
      <c r="K532" s="19">
        <v>659000</v>
      </c>
      <c r="L532" s="19">
        <v>1200</v>
      </c>
      <c r="M532" s="19">
        <v>790800000</v>
      </c>
      <c r="N532" s="19">
        <v>611279999.99999988</v>
      </c>
      <c r="O532" s="19">
        <v>557365103.99999988</v>
      </c>
      <c r="P532" t="str">
        <f t="shared" si="0"/>
        <v>Shark Floorcare</v>
      </c>
      <c r="Q532" t="str">
        <f t="shared" si="1"/>
        <v>FW</v>
      </c>
    </row>
    <row r="533" spans="1:18" x14ac:dyDescent="0.35">
      <c r="A533" t="str">
        <f>_xlfn.XLOOKUP(B533,Mapping!C:C,Mapping!D:D)</f>
        <v>HI-MART</v>
      </c>
      <c r="B533" s="2" t="s">
        <v>143</v>
      </c>
      <c r="C533" t="s">
        <v>282</v>
      </c>
      <c r="D533" s="3">
        <v>46204</v>
      </c>
      <c r="E533" s="3">
        <v>46234</v>
      </c>
      <c r="F533">
        <v>31</v>
      </c>
      <c r="G533" t="s">
        <v>107</v>
      </c>
      <c r="H533">
        <v>849000</v>
      </c>
      <c r="I533">
        <v>749000</v>
      </c>
      <c r="J533">
        <v>699000</v>
      </c>
      <c r="K533" s="19">
        <v>749000</v>
      </c>
      <c r="L533" s="19">
        <v>300</v>
      </c>
      <c r="M533" s="19">
        <v>224700000</v>
      </c>
      <c r="N533" s="19">
        <v>152819999.99999997</v>
      </c>
      <c r="O533" s="19">
        <v>139341275.99999997</v>
      </c>
      <c r="P533" t="str">
        <f t="shared" si="0"/>
        <v>Shark Floorcare</v>
      </c>
      <c r="Q533" t="str">
        <f t="shared" si="1"/>
        <v>Kion</v>
      </c>
    </row>
    <row r="534" spans="1:18" x14ac:dyDescent="0.35">
      <c r="A534" t="str">
        <f>_xlfn.XLOOKUP(B534,Mapping!C:C,Mapping!D:D)</f>
        <v>HI-MART</v>
      </c>
      <c r="B534" s="2" t="s">
        <v>143</v>
      </c>
      <c r="C534" t="s">
        <v>282</v>
      </c>
      <c r="D534" s="3">
        <v>46204</v>
      </c>
      <c r="E534" s="3">
        <v>46210</v>
      </c>
      <c r="F534">
        <v>7</v>
      </c>
      <c r="G534" t="s">
        <v>108</v>
      </c>
      <c r="H534">
        <v>199900</v>
      </c>
      <c r="I534">
        <v>179900</v>
      </c>
      <c r="J534">
        <v>169900</v>
      </c>
      <c r="K534" s="19">
        <v>179900</v>
      </c>
      <c r="L534" s="19">
        <v>200</v>
      </c>
      <c r="M534" s="19">
        <v>35980000</v>
      </c>
      <c r="N534" s="19">
        <v>27480000</v>
      </c>
      <c r="O534" s="19">
        <v>25056264</v>
      </c>
      <c r="P534" t="str">
        <f t="shared" si="0"/>
        <v>Shark Floorcare</v>
      </c>
      <c r="Q534" t="str">
        <f t="shared" si="1"/>
        <v>WV</v>
      </c>
    </row>
    <row r="535" spans="1:18" x14ac:dyDescent="0.35">
      <c r="A535" t="str">
        <f>_xlfn.XLOOKUP(B535,Mapping!C:C,Mapping!D:D)</f>
        <v>HI-MART</v>
      </c>
      <c r="B535" s="2" t="s">
        <v>143</v>
      </c>
      <c r="C535" t="s">
        <v>282</v>
      </c>
      <c r="D535" s="3">
        <v>46204</v>
      </c>
      <c r="E535" s="3">
        <v>46217</v>
      </c>
      <c r="F535">
        <v>14</v>
      </c>
      <c r="G535" t="s">
        <v>36</v>
      </c>
      <c r="H535">
        <v>469900</v>
      </c>
      <c r="I535">
        <v>399900</v>
      </c>
      <c r="J535">
        <v>399000</v>
      </c>
      <c r="K535" s="19">
        <v>399900</v>
      </c>
      <c r="L535" s="19">
        <v>100</v>
      </c>
      <c r="M535" s="19">
        <v>39990000</v>
      </c>
      <c r="N535" s="19">
        <v>29940000</v>
      </c>
      <c r="O535" s="19">
        <v>27299292</v>
      </c>
      <c r="P535" t="str">
        <f t="shared" si="0"/>
        <v>Shark Floorcare</v>
      </c>
      <c r="Q535" t="str">
        <f t="shared" si="1"/>
        <v>WD</v>
      </c>
    </row>
    <row r="536" spans="1:18" x14ac:dyDescent="0.35">
      <c r="A536" t="str">
        <f>_xlfn.XLOOKUP(B536,Mapping!C:C,Mapping!D:D)</f>
        <v>HI-MART</v>
      </c>
      <c r="B536" s="2" t="s">
        <v>143</v>
      </c>
      <c r="C536" t="s">
        <v>282</v>
      </c>
      <c r="D536" s="3">
        <v>46204</v>
      </c>
      <c r="E536" s="3">
        <v>46234</v>
      </c>
      <c r="F536">
        <v>31</v>
      </c>
      <c r="G536" t="s">
        <v>99</v>
      </c>
      <c r="H536">
        <v>219900</v>
      </c>
      <c r="I536">
        <v>199900</v>
      </c>
      <c r="J536">
        <v>179900</v>
      </c>
      <c r="K536" s="19">
        <v>149900</v>
      </c>
      <c r="L536" s="19">
        <v>250</v>
      </c>
      <c r="M536" s="19">
        <v>37475000</v>
      </c>
      <c r="N536" s="19">
        <v>28986818.18181818</v>
      </c>
      <c r="O536" s="19">
        <v>26430180.818181816</v>
      </c>
      <c r="P536" t="str">
        <f t="shared" si="0"/>
        <v>Shark Fan</v>
      </c>
      <c r="Q536" t="str">
        <f t="shared" si="1"/>
        <v>Fan</v>
      </c>
    </row>
    <row r="537" spans="1:18" x14ac:dyDescent="0.35">
      <c r="A537" t="str">
        <f>_xlfn.XLOOKUP(B537,Mapping!C:C,Mapping!D:D)</f>
        <v>HI-MART</v>
      </c>
      <c r="B537" s="2" t="s">
        <v>143</v>
      </c>
      <c r="C537" t="s">
        <v>145</v>
      </c>
      <c r="D537" s="3">
        <v>46204</v>
      </c>
      <c r="E537" s="3">
        <v>46234</v>
      </c>
      <c r="F537">
        <v>31</v>
      </c>
      <c r="G537" t="s">
        <v>109</v>
      </c>
      <c r="H537">
        <v>249900</v>
      </c>
      <c r="I537">
        <v>219900</v>
      </c>
      <c r="J537">
        <v>199900</v>
      </c>
      <c r="K537" s="19">
        <v>199900</v>
      </c>
      <c r="L537" s="19">
        <v>100</v>
      </c>
      <c r="M537" s="19">
        <v>19990000</v>
      </c>
      <c r="N537" s="19">
        <v>15765545.454545453</v>
      </c>
      <c r="O537" s="19">
        <v>14375024.345454544</v>
      </c>
      <c r="P537" t="str">
        <f t="shared" si="0"/>
        <v>Shark Fan</v>
      </c>
      <c r="Q537" t="str">
        <f t="shared" si="1"/>
        <v>Fan</v>
      </c>
    </row>
    <row r="538" spans="1:18" x14ac:dyDescent="0.35">
      <c r="A538" t="str">
        <f>_xlfn.XLOOKUP(B538,Mapping!C:C,Mapping!D:D)</f>
        <v>HI-MART</v>
      </c>
      <c r="B538" s="2" t="s">
        <v>143</v>
      </c>
      <c r="C538" t="s">
        <v>145</v>
      </c>
      <c r="D538" s="3">
        <v>46204</v>
      </c>
      <c r="E538" s="3">
        <v>46234</v>
      </c>
      <c r="F538">
        <v>31</v>
      </c>
      <c r="G538" t="s">
        <v>39</v>
      </c>
      <c r="H538">
        <v>249900</v>
      </c>
      <c r="I538">
        <v>199900</v>
      </c>
      <c r="J538">
        <v>189900</v>
      </c>
      <c r="K538" s="19">
        <v>199900</v>
      </c>
      <c r="L538" s="19">
        <v>500</v>
      </c>
      <c r="M538" s="19">
        <v>99950000</v>
      </c>
      <c r="N538" s="19">
        <v>78095454.545454547</v>
      </c>
      <c r="O538" s="19">
        <v>71207435.454545453</v>
      </c>
      <c r="P538" t="str">
        <f t="shared" si="0"/>
        <v>Ninja Motorized</v>
      </c>
      <c r="Q538" t="str">
        <f t="shared" si="1"/>
        <v>Trad</v>
      </c>
    </row>
    <row r="539" spans="1:18" x14ac:dyDescent="0.35">
      <c r="A539" t="str">
        <f>_xlfn.XLOOKUP(B539,Mapping!C:C,Mapping!D:D)</f>
        <v>HI-MART</v>
      </c>
      <c r="B539" s="2" t="s">
        <v>143</v>
      </c>
      <c r="C539" t="s">
        <v>282</v>
      </c>
      <c r="D539" s="3">
        <v>46204</v>
      </c>
      <c r="E539" s="3">
        <v>46210</v>
      </c>
      <c r="F539">
        <v>7</v>
      </c>
      <c r="G539" t="s">
        <v>85</v>
      </c>
      <c r="H539">
        <v>349900</v>
      </c>
      <c r="I539">
        <v>319900</v>
      </c>
      <c r="J539">
        <v>299900</v>
      </c>
      <c r="K539" s="19">
        <v>299900</v>
      </c>
      <c r="L539" s="19">
        <v>300</v>
      </c>
      <c r="M539" s="19">
        <v>89970000</v>
      </c>
      <c r="N539" s="19">
        <v>75084545.454545438</v>
      </c>
      <c r="O539" s="19">
        <v>68462088.545454532</v>
      </c>
      <c r="P539" t="str">
        <f t="shared" si="0"/>
        <v>Ninja Motorized</v>
      </c>
      <c r="Q539" t="str">
        <f t="shared" si="1"/>
        <v>Kitchen</v>
      </c>
    </row>
    <row r="540" spans="1:18" x14ac:dyDescent="0.35">
      <c r="A540" t="str">
        <f>_xlfn.XLOOKUP(B540,Mapping!C:C,Mapping!D:D)</f>
        <v>HI-MART</v>
      </c>
      <c r="B540" s="2" t="s">
        <v>143</v>
      </c>
      <c r="C540" t="s">
        <v>280</v>
      </c>
      <c r="D540" s="3">
        <v>46204</v>
      </c>
      <c r="E540" s="3">
        <v>46234</v>
      </c>
      <c r="F540">
        <v>31</v>
      </c>
      <c r="G540" t="s">
        <v>84</v>
      </c>
      <c r="H540">
        <v>169900</v>
      </c>
      <c r="I540">
        <v>149900</v>
      </c>
      <c r="J540">
        <v>129900</v>
      </c>
      <c r="K540" s="19">
        <v>129000</v>
      </c>
      <c r="L540" s="19">
        <v>100</v>
      </c>
      <c r="M540" s="19">
        <v>12900000</v>
      </c>
      <c r="N540" s="19">
        <v>10600909.09090909</v>
      </c>
      <c r="O540" s="19">
        <v>9665908.9090909082</v>
      </c>
      <c r="P540" t="str">
        <f t="shared" si="0"/>
        <v>Ninja Motorized</v>
      </c>
      <c r="Q540" t="str">
        <f t="shared" si="1"/>
        <v>Trad</v>
      </c>
    </row>
    <row r="541" spans="1:18" x14ac:dyDescent="0.35">
      <c r="A541" t="str">
        <f>_xlfn.XLOOKUP(B541,Mapping!C:C,Mapping!D:D)</f>
        <v>HI-MART</v>
      </c>
      <c r="B541" s="2" t="s">
        <v>143</v>
      </c>
      <c r="C541" t="s">
        <v>280</v>
      </c>
      <c r="D541" s="3">
        <v>46204</v>
      </c>
      <c r="E541" s="3">
        <v>46234</v>
      </c>
      <c r="F541">
        <v>31</v>
      </c>
      <c r="G541" t="s">
        <v>84</v>
      </c>
      <c r="H541">
        <v>169900</v>
      </c>
      <c r="I541">
        <v>149900</v>
      </c>
      <c r="J541">
        <v>129900</v>
      </c>
      <c r="K541" s="19">
        <v>129000</v>
      </c>
      <c r="L541" s="19">
        <v>600</v>
      </c>
      <c r="M541" s="19">
        <v>77400000</v>
      </c>
      <c r="N541" s="19">
        <v>63605454.545454539</v>
      </c>
      <c r="O541" s="19">
        <v>57995453.454545453</v>
      </c>
      <c r="P541" t="str">
        <f t="shared" si="0"/>
        <v>Ninja Motorized</v>
      </c>
      <c r="Q541" t="str">
        <f t="shared" si="1"/>
        <v>Trad</v>
      </c>
    </row>
    <row r="542" spans="1:18" x14ac:dyDescent="0.35">
      <c r="A542" t="str">
        <f>_xlfn.XLOOKUP(B542,Mapping!C:C,Mapping!D:D)</f>
        <v>HI-MART</v>
      </c>
      <c r="B542" s="2" t="s">
        <v>143</v>
      </c>
      <c r="C542" t="s">
        <v>280</v>
      </c>
      <c r="D542" s="3">
        <v>46204</v>
      </c>
      <c r="E542" s="3">
        <v>46234</v>
      </c>
      <c r="F542">
        <v>31</v>
      </c>
      <c r="G542" t="s">
        <v>101</v>
      </c>
      <c r="H542" s="19">
        <v>149900</v>
      </c>
      <c r="I542" s="19">
        <v>139900</v>
      </c>
      <c r="J542" s="19">
        <v>129900</v>
      </c>
      <c r="K542" s="19">
        <v>109000</v>
      </c>
      <c r="L542" s="19">
        <v>350</v>
      </c>
      <c r="M542" s="19">
        <v>38150000</v>
      </c>
      <c r="N542" s="19">
        <v>36565454.545454539</v>
      </c>
      <c r="O542" s="19">
        <v>33340381.454545449</v>
      </c>
      <c r="P542" t="str">
        <f t="shared" si="0"/>
        <v>Ninja Motorized</v>
      </c>
      <c r="Q542" t="str">
        <f t="shared" si="1"/>
        <v>Portable</v>
      </c>
    </row>
    <row r="543" spans="1:18" x14ac:dyDescent="0.35">
      <c r="A543" t="str">
        <f>_xlfn.XLOOKUP(B543,Mapping!C:C,Mapping!D:D)</f>
        <v>HI-MART</v>
      </c>
      <c r="B543" s="2" t="s">
        <v>143</v>
      </c>
      <c r="C543" t="s">
        <v>280</v>
      </c>
      <c r="D543" s="3">
        <v>46204</v>
      </c>
      <c r="E543" s="3">
        <v>46234</v>
      </c>
      <c r="F543">
        <v>31</v>
      </c>
      <c r="G543" t="s">
        <v>86</v>
      </c>
      <c r="H543" s="19">
        <v>149900</v>
      </c>
      <c r="I543" s="19">
        <v>139900</v>
      </c>
      <c r="J543" s="19">
        <v>129900</v>
      </c>
      <c r="K543" s="19">
        <v>109000</v>
      </c>
      <c r="L543" s="19">
        <v>30</v>
      </c>
      <c r="M543" s="19">
        <v>3270000</v>
      </c>
      <c r="N543" s="19">
        <v>3134181.8181818179</v>
      </c>
      <c r="O543" s="19">
        <v>2857746.9818181815</v>
      </c>
      <c r="P543" t="str">
        <f t="shared" si="0"/>
        <v>Ninja Motorized</v>
      </c>
      <c r="Q543" t="str">
        <f t="shared" si="1"/>
        <v>Portable</v>
      </c>
    </row>
    <row r="544" spans="1:18" x14ac:dyDescent="0.35">
      <c r="A544" t="str">
        <f>_xlfn.XLOOKUP(B544,Mapping!C:C,Mapping!D:D)</f>
        <v>HI-MART</v>
      </c>
      <c r="B544" s="2" t="s">
        <v>143</v>
      </c>
      <c r="C544" t="s">
        <v>280</v>
      </c>
      <c r="D544" s="3">
        <v>46204</v>
      </c>
      <c r="E544" s="3">
        <v>46234</v>
      </c>
      <c r="F544">
        <v>31</v>
      </c>
      <c r="G544" t="s">
        <v>90</v>
      </c>
      <c r="H544" s="19">
        <v>149900</v>
      </c>
      <c r="I544" s="19">
        <v>139900</v>
      </c>
      <c r="J544" s="19">
        <v>129900</v>
      </c>
      <c r="K544" s="19">
        <v>109000</v>
      </c>
      <c r="L544" s="19">
        <v>100</v>
      </c>
      <c r="M544" s="19">
        <v>10900000</v>
      </c>
      <c r="N544" s="19">
        <v>10447272.727272727</v>
      </c>
      <c r="O544" s="19">
        <v>9525823.2727272715</v>
      </c>
      <c r="P544" t="str">
        <f t="shared" si="0"/>
        <v>Ninja Motorized</v>
      </c>
      <c r="Q544" t="str">
        <f t="shared" si="1"/>
        <v>Portable</v>
      </c>
    </row>
    <row r="545" spans="1:17" x14ac:dyDescent="0.35">
      <c r="A545" t="str">
        <f>_xlfn.XLOOKUP(B545,Mapping!C:C,Mapping!D:D)</f>
        <v>HI-MART</v>
      </c>
      <c r="B545" s="2" t="s">
        <v>143</v>
      </c>
      <c r="C545" t="s">
        <v>280</v>
      </c>
      <c r="D545" s="3">
        <v>46204</v>
      </c>
      <c r="E545" s="3">
        <v>46234</v>
      </c>
      <c r="F545">
        <v>31</v>
      </c>
      <c r="G545" t="s">
        <v>101</v>
      </c>
      <c r="H545" s="19">
        <v>149900</v>
      </c>
      <c r="I545" s="19">
        <v>139900</v>
      </c>
      <c r="J545" s="19">
        <v>129900</v>
      </c>
      <c r="K545" s="19">
        <v>109000</v>
      </c>
      <c r="L545" s="19">
        <v>100</v>
      </c>
      <c r="M545" s="19">
        <v>10900000</v>
      </c>
      <c r="N545" s="19">
        <v>10447272.727272727</v>
      </c>
      <c r="O545" s="19">
        <v>9525823.2727272715</v>
      </c>
      <c r="P545" t="str">
        <f t="shared" si="0"/>
        <v>Ninja Motorized</v>
      </c>
      <c r="Q545" t="str">
        <f t="shared" si="1"/>
        <v>Portable</v>
      </c>
    </row>
    <row r="546" spans="1:17" x14ac:dyDescent="0.35">
      <c r="A546" t="str">
        <f>_xlfn.XLOOKUP(B546,Mapping!C:C,Mapping!D:D)</f>
        <v>HI-MART</v>
      </c>
      <c r="B546" s="2" t="s">
        <v>143</v>
      </c>
      <c r="C546" t="s">
        <v>280</v>
      </c>
      <c r="D546" s="3">
        <v>46204</v>
      </c>
      <c r="E546" s="3">
        <v>46234</v>
      </c>
      <c r="F546">
        <v>31</v>
      </c>
      <c r="G546" t="s">
        <v>86</v>
      </c>
      <c r="H546" s="19">
        <v>149900</v>
      </c>
      <c r="I546" s="19">
        <v>139900</v>
      </c>
      <c r="J546" s="19">
        <v>129900</v>
      </c>
      <c r="K546" s="19">
        <v>109000</v>
      </c>
      <c r="L546" s="19">
        <v>20</v>
      </c>
      <c r="M546" s="19">
        <v>2180000</v>
      </c>
      <c r="N546" s="19">
        <v>2089454.5454545454</v>
      </c>
      <c r="O546" s="19">
        <v>1905164.6545454545</v>
      </c>
      <c r="P546" t="str">
        <f t="shared" si="0"/>
        <v>Ninja Motorized</v>
      </c>
      <c r="Q546" t="str">
        <f t="shared" si="1"/>
        <v>Portable</v>
      </c>
    </row>
    <row r="547" spans="1:17" x14ac:dyDescent="0.35">
      <c r="A547" t="str">
        <f>_xlfn.XLOOKUP(B547,Mapping!C:C,Mapping!D:D)</f>
        <v>HI-MART</v>
      </c>
      <c r="B547" s="2" t="s">
        <v>143</v>
      </c>
      <c r="C547" t="s">
        <v>280</v>
      </c>
      <c r="D547" s="3">
        <v>46204</v>
      </c>
      <c r="E547" s="3">
        <v>46234</v>
      </c>
      <c r="F547">
        <v>31</v>
      </c>
      <c r="G547" t="s">
        <v>90</v>
      </c>
      <c r="H547" s="19">
        <v>149900</v>
      </c>
      <c r="I547" s="19">
        <v>139900</v>
      </c>
      <c r="J547" s="19">
        <v>129900</v>
      </c>
      <c r="K547" s="19">
        <v>109000</v>
      </c>
      <c r="L547" s="19">
        <v>50</v>
      </c>
      <c r="M547" s="19">
        <v>5450000</v>
      </c>
      <c r="N547" s="19">
        <v>5223636.3636363633</v>
      </c>
      <c r="O547" s="19">
        <v>4762911.6363636358</v>
      </c>
      <c r="P547" t="str">
        <f t="shared" si="0"/>
        <v>Ninja Motorized</v>
      </c>
      <c r="Q547" t="str">
        <f t="shared" si="1"/>
        <v>Portable</v>
      </c>
    </row>
    <row r="548" spans="1:17" x14ac:dyDescent="0.35">
      <c r="A548" t="str">
        <f>_xlfn.XLOOKUP(B548,Mapping!C:C,Mapping!D:D)</f>
        <v>HI-MART</v>
      </c>
      <c r="B548" s="2" t="s">
        <v>143</v>
      </c>
      <c r="C548" t="s">
        <v>282</v>
      </c>
      <c r="D548" s="3">
        <v>46204</v>
      </c>
      <c r="E548" s="3">
        <v>46234</v>
      </c>
      <c r="F548">
        <v>31</v>
      </c>
      <c r="G548" t="s">
        <v>32</v>
      </c>
      <c r="H548">
        <v>349900</v>
      </c>
      <c r="I548">
        <v>299900</v>
      </c>
      <c r="J548">
        <v>269900</v>
      </c>
      <c r="K548" s="19">
        <v>269000</v>
      </c>
      <c r="L548" s="19">
        <v>20</v>
      </c>
      <c r="M548" s="19">
        <v>5380000</v>
      </c>
      <c r="N548" s="19">
        <v>5005636.3636363633</v>
      </c>
      <c r="O548" s="19">
        <v>4564139.2363636363</v>
      </c>
      <c r="P548" t="str">
        <f t="shared" si="0"/>
        <v>Ninja Motorized</v>
      </c>
      <c r="Q548" t="str">
        <f t="shared" si="1"/>
        <v>Icecream</v>
      </c>
    </row>
    <row r="549" spans="1:17" x14ac:dyDescent="0.35">
      <c r="A549" t="str">
        <f>_xlfn.XLOOKUP(B549,Mapping!C:C,Mapping!D:D)</f>
        <v>HI-MART</v>
      </c>
      <c r="B549" s="2" t="s">
        <v>143</v>
      </c>
      <c r="C549" t="s">
        <v>282</v>
      </c>
      <c r="D549" s="3">
        <v>46204</v>
      </c>
      <c r="E549" s="3">
        <v>46234</v>
      </c>
      <c r="F549">
        <v>31</v>
      </c>
      <c r="G549" t="s">
        <v>19</v>
      </c>
      <c r="H549">
        <v>249900</v>
      </c>
      <c r="I549">
        <v>219900</v>
      </c>
      <c r="J549">
        <v>199900</v>
      </c>
      <c r="K549" s="19">
        <v>219000</v>
      </c>
      <c r="L549" s="19">
        <v>350</v>
      </c>
      <c r="M549" s="19">
        <v>76650000</v>
      </c>
      <c r="N549" s="19">
        <v>54864409.090909086</v>
      </c>
      <c r="O549" s="19">
        <v>50025368.209090903</v>
      </c>
      <c r="P549" t="str">
        <f t="shared" si="0"/>
        <v>Ninja Heated</v>
      </c>
      <c r="Q549" t="str">
        <f t="shared" si="1"/>
        <v>Crispi</v>
      </c>
    </row>
    <row r="550" spans="1:17" x14ac:dyDescent="0.35">
      <c r="A550" t="str">
        <f>_xlfn.XLOOKUP(B550,Mapping!C:C,Mapping!D:D)</f>
        <v>HI-MART</v>
      </c>
      <c r="B550" s="2" t="s">
        <v>143</v>
      </c>
      <c r="C550" t="s">
        <v>282</v>
      </c>
      <c r="D550" s="3">
        <v>46204</v>
      </c>
      <c r="E550" s="3">
        <v>46234</v>
      </c>
      <c r="F550">
        <v>31</v>
      </c>
      <c r="G550" t="s">
        <v>38</v>
      </c>
      <c r="H550">
        <v>429900</v>
      </c>
      <c r="I550">
        <v>399900</v>
      </c>
      <c r="J550">
        <v>349900</v>
      </c>
      <c r="K550" s="19">
        <v>359900</v>
      </c>
      <c r="L550" s="19">
        <v>100</v>
      </c>
      <c r="M550" s="19">
        <v>35990000</v>
      </c>
      <c r="N550" s="19">
        <v>26910000</v>
      </c>
      <c r="O550" s="19">
        <v>24536538</v>
      </c>
      <c r="P550" t="str">
        <f t="shared" si="0"/>
        <v>Ninja Heated</v>
      </c>
      <c r="Q550" t="str">
        <f t="shared" si="1"/>
        <v>Grill</v>
      </c>
    </row>
    <row r="551" spans="1:17" x14ac:dyDescent="0.35">
      <c r="A551" t="str">
        <f>_xlfn.XLOOKUP(B551,Mapping!C:C,Mapping!D:D)</f>
        <v>E-MART</v>
      </c>
      <c r="B551" s="2" t="s">
        <v>165</v>
      </c>
      <c r="C551" t="s">
        <v>306</v>
      </c>
      <c r="D551" s="3">
        <v>46204</v>
      </c>
      <c r="E551" s="3">
        <v>46215</v>
      </c>
      <c r="F551">
        <v>12</v>
      </c>
      <c r="G551" t="s">
        <v>36</v>
      </c>
      <c r="H551">
        <v>469900</v>
      </c>
      <c r="I551">
        <v>399900</v>
      </c>
      <c r="J551">
        <v>399000</v>
      </c>
      <c r="K551">
        <v>469000</v>
      </c>
      <c r="L551">
        <v>10</v>
      </c>
      <c r="M551">
        <v>4690000</v>
      </c>
      <c r="N551" s="19">
        <v>5758654.5454545449</v>
      </c>
      <c r="O551" s="19">
        <v>5177030.4363636356</v>
      </c>
      <c r="P551" t="str">
        <f t="shared" si="0"/>
        <v>Shark Floorcare</v>
      </c>
      <c r="Q551" t="str">
        <f t="shared" si="1"/>
        <v>WD</v>
      </c>
    </row>
    <row r="552" spans="1:17" x14ac:dyDescent="0.35">
      <c r="A552" t="str">
        <f>_xlfn.XLOOKUP(B552,Mapping!C:C,Mapping!D:D)</f>
        <v>E-MART</v>
      </c>
      <c r="B552" s="2" t="s">
        <v>165</v>
      </c>
      <c r="C552" t="s">
        <v>306</v>
      </c>
      <c r="D552" s="3">
        <v>46204</v>
      </c>
      <c r="E552" s="3">
        <v>46218</v>
      </c>
      <c r="F552">
        <v>15</v>
      </c>
      <c r="G552" t="s">
        <v>64</v>
      </c>
      <c r="H552">
        <v>599000</v>
      </c>
      <c r="I552">
        <v>549000</v>
      </c>
      <c r="J552">
        <v>499000</v>
      </c>
      <c r="K552">
        <v>549000</v>
      </c>
      <c r="L552">
        <v>20</v>
      </c>
      <c r="M552">
        <v>10980000</v>
      </c>
      <c r="N552" s="19">
        <v>7447636.3636363633</v>
      </c>
      <c r="O552" s="19">
        <v>6695425.0909090908</v>
      </c>
      <c r="P552" t="str">
        <f t="shared" si="0"/>
        <v>Shark Floorcare</v>
      </c>
      <c r="Q552" t="str">
        <f t="shared" si="1"/>
        <v>FW</v>
      </c>
    </row>
    <row r="553" spans="1:17" x14ac:dyDescent="0.35">
      <c r="A553" t="str">
        <f>_xlfn.XLOOKUP(B553,Mapping!C:C,Mapping!D:D)</f>
        <v>E-MART</v>
      </c>
      <c r="B553" s="2" t="s">
        <v>165</v>
      </c>
      <c r="C553" t="s">
        <v>306</v>
      </c>
      <c r="D553" s="3">
        <v>46204</v>
      </c>
      <c r="E553" s="3">
        <v>46234</v>
      </c>
      <c r="F553">
        <v>31</v>
      </c>
      <c r="G553" t="s">
        <v>35</v>
      </c>
      <c r="H553">
        <v>599000</v>
      </c>
      <c r="I553">
        <v>549000</v>
      </c>
      <c r="J553">
        <v>499000</v>
      </c>
      <c r="K553">
        <v>499000</v>
      </c>
      <c r="L553">
        <v>700</v>
      </c>
      <c r="M553">
        <v>349300000</v>
      </c>
      <c r="N553" s="19">
        <v>274450909.09090906</v>
      </c>
      <c r="O553" s="19">
        <v>246731367.27272725</v>
      </c>
      <c r="P553" t="str">
        <f t="shared" si="0"/>
        <v>Shark Floorcare</v>
      </c>
      <c r="Q553" t="str">
        <f t="shared" si="1"/>
        <v>FW</v>
      </c>
    </row>
    <row r="554" spans="1:17" x14ac:dyDescent="0.35">
      <c r="A554" t="str">
        <f>_xlfn.XLOOKUP(B554,Mapping!C:C,Mapping!D:D)</f>
        <v>E-MART</v>
      </c>
      <c r="B554" s="2" t="s">
        <v>165</v>
      </c>
      <c r="C554" t="s">
        <v>281</v>
      </c>
      <c r="D554" s="3">
        <v>46204</v>
      </c>
      <c r="E554" s="3">
        <v>46234</v>
      </c>
      <c r="F554">
        <v>31</v>
      </c>
      <c r="G554" t="s">
        <v>17</v>
      </c>
      <c r="H554">
        <v>599000</v>
      </c>
      <c r="I554">
        <v>399900</v>
      </c>
      <c r="J554">
        <v>399900</v>
      </c>
      <c r="K554">
        <v>599000</v>
      </c>
      <c r="L554">
        <v>30</v>
      </c>
      <c r="M554">
        <v>17970000</v>
      </c>
      <c r="N554" s="19">
        <v>24214909.09090909</v>
      </c>
      <c r="O554" s="19">
        <v>21769203.272727273</v>
      </c>
      <c r="P554" t="str">
        <f t="shared" si="0"/>
        <v>Shark Floorcare</v>
      </c>
      <c r="Q554" t="str">
        <f t="shared" si="1"/>
        <v>CS</v>
      </c>
    </row>
    <row r="555" spans="1:17" x14ac:dyDescent="0.35">
      <c r="A555" t="str">
        <f>_xlfn.XLOOKUP(B555,Mapping!C:C,Mapping!D:D)</f>
        <v>E-MART</v>
      </c>
      <c r="B555" s="2" t="s">
        <v>165</v>
      </c>
      <c r="C555" t="s">
        <v>306</v>
      </c>
      <c r="D555" s="3">
        <v>46204</v>
      </c>
      <c r="E555" s="3">
        <v>46234</v>
      </c>
      <c r="F555">
        <v>31</v>
      </c>
      <c r="G555" t="s">
        <v>23</v>
      </c>
      <c r="H555">
        <v>899000</v>
      </c>
      <c r="I555">
        <v>849000</v>
      </c>
      <c r="J555">
        <v>799000</v>
      </c>
      <c r="K555">
        <v>849000</v>
      </c>
      <c r="L555">
        <v>10</v>
      </c>
      <c r="M555">
        <v>8490000</v>
      </c>
      <c r="N555" s="19">
        <v>1695036.3636363635</v>
      </c>
      <c r="O555" s="19">
        <v>1523837.6909090909</v>
      </c>
      <c r="P555" t="str">
        <f t="shared" si="0"/>
        <v>Shark Floorcare</v>
      </c>
      <c r="Q555" t="str">
        <f t="shared" si="1"/>
        <v>Kion</v>
      </c>
    </row>
    <row r="556" spans="1:17" x14ac:dyDescent="0.35">
      <c r="A556" t="str">
        <f>_xlfn.XLOOKUP(B556,Mapping!C:C,Mapping!D:D)</f>
        <v>E-MART</v>
      </c>
      <c r="B556" s="2" t="s">
        <v>165</v>
      </c>
      <c r="C556" t="s">
        <v>306</v>
      </c>
      <c r="D556" s="3">
        <v>46204</v>
      </c>
      <c r="E556" s="3">
        <v>46234</v>
      </c>
      <c r="F556">
        <v>31</v>
      </c>
      <c r="G556" t="s">
        <v>31</v>
      </c>
      <c r="H556">
        <v>849000</v>
      </c>
      <c r="I556">
        <v>749000</v>
      </c>
      <c r="J556">
        <v>699000</v>
      </c>
      <c r="K556">
        <v>679000</v>
      </c>
      <c r="L556">
        <v>150</v>
      </c>
      <c r="M556">
        <v>101850000</v>
      </c>
      <c r="N556" s="19">
        <v>23513318.18181818</v>
      </c>
      <c r="O556" s="19">
        <v>21138473.045454543</v>
      </c>
      <c r="P556" t="str">
        <f t="shared" si="0"/>
        <v>Shark Floorcare</v>
      </c>
      <c r="Q556" t="str">
        <f t="shared" si="1"/>
        <v>FW</v>
      </c>
    </row>
    <row r="557" spans="1:17" x14ac:dyDescent="0.35">
      <c r="A557" t="str">
        <f>_xlfn.XLOOKUP(B557,Mapping!C:C,Mapping!D:D)</f>
        <v>E-MART</v>
      </c>
      <c r="B557" s="2" t="s">
        <v>165</v>
      </c>
      <c r="C557" t="s">
        <v>306</v>
      </c>
      <c r="D557" s="3">
        <v>46204</v>
      </c>
      <c r="E557" s="3">
        <v>46234</v>
      </c>
      <c r="F557">
        <v>31</v>
      </c>
      <c r="G557" t="s">
        <v>107</v>
      </c>
      <c r="H557">
        <v>849000</v>
      </c>
      <c r="I557">
        <v>749000</v>
      </c>
      <c r="J557">
        <v>699000</v>
      </c>
      <c r="K557">
        <v>649000</v>
      </c>
      <c r="L557">
        <v>70</v>
      </c>
      <c r="M557">
        <v>45430000</v>
      </c>
      <c r="N557" s="19">
        <v>14485609.09090909</v>
      </c>
      <c r="O557" s="19">
        <v>13022562.572727272</v>
      </c>
      <c r="P557" t="str">
        <f t="shared" si="0"/>
        <v>Shark Floorcare</v>
      </c>
      <c r="Q557" t="str">
        <f t="shared" si="1"/>
        <v>Kion</v>
      </c>
    </row>
    <row r="558" spans="1:17" x14ac:dyDescent="0.35">
      <c r="A558" t="str">
        <f>_xlfn.XLOOKUP(B558,Mapping!C:C,Mapping!D:D)</f>
        <v>E-MART</v>
      </c>
      <c r="B558" s="2" t="s">
        <v>165</v>
      </c>
      <c r="C558" t="s">
        <v>306</v>
      </c>
      <c r="D558" s="3">
        <v>46204</v>
      </c>
      <c r="E558" s="3">
        <v>46234</v>
      </c>
      <c r="F558">
        <v>31</v>
      </c>
      <c r="G558" t="s">
        <v>109</v>
      </c>
      <c r="H558">
        <v>249900</v>
      </c>
      <c r="I558">
        <v>219900</v>
      </c>
      <c r="J558">
        <v>199900</v>
      </c>
      <c r="K558">
        <v>179900</v>
      </c>
      <c r="L558">
        <v>500</v>
      </c>
      <c r="M558">
        <v>89950000</v>
      </c>
      <c r="N558" s="19">
        <v>53286818.18181818</v>
      </c>
      <c r="O558" s="19">
        <v>47904849.545454547</v>
      </c>
      <c r="P558" t="str">
        <f t="shared" si="0"/>
        <v>Shark Fan</v>
      </c>
      <c r="Q558" t="str">
        <f t="shared" si="1"/>
        <v>Fan</v>
      </c>
    </row>
    <row r="559" spans="1:17" x14ac:dyDescent="0.35">
      <c r="A559" t="str">
        <f>_xlfn.XLOOKUP(B559,Mapping!C:C,Mapping!D:D)</f>
        <v>E-MART</v>
      </c>
      <c r="B559" s="2" t="s">
        <v>165</v>
      </c>
      <c r="C559" t="s">
        <v>306</v>
      </c>
      <c r="D559" s="3">
        <v>46204</v>
      </c>
      <c r="E559" s="3">
        <v>46234</v>
      </c>
      <c r="F559">
        <v>31</v>
      </c>
      <c r="G559" t="s">
        <v>99</v>
      </c>
      <c r="H559">
        <v>219900</v>
      </c>
      <c r="I559">
        <v>199900</v>
      </c>
      <c r="J559">
        <v>179900</v>
      </c>
      <c r="K559">
        <v>129900</v>
      </c>
      <c r="L559">
        <v>50</v>
      </c>
      <c r="M559">
        <v>6495000</v>
      </c>
      <c r="N559" s="19">
        <v>11461772.727272727</v>
      </c>
      <c r="O559" s="19">
        <v>10304133.681818182</v>
      </c>
      <c r="P559" t="str">
        <f t="shared" si="0"/>
        <v>Shark Fan</v>
      </c>
      <c r="Q559" t="str">
        <f t="shared" si="1"/>
        <v>Fan</v>
      </c>
    </row>
    <row r="560" spans="1:17" x14ac:dyDescent="0.35">
      <c r="A560" t="str">
        <f>_xlfn.XLOOKUP(B560,Mapping!C:C,Mapping!D:D)</f>
        <v>E-MART</v>
      </c>
      <c r="B560" s="2" t="s">
        <v>165</v>
      </c>
      <c r="C560" t="s">
        <v>306</v>
      </c>
      <c r="D560" s="3">
        <v>46205</v>
      </c>
      <c r="E560" s="3">
        <v>46208</v>
      </c>
      <c r="F560">
        <v>4</v>
      </c>
      <c r="G560" t="s">
        <v>38</v>
      </c>
      <c r="H560">
        <v>429900</v>
      </c>
      <c r="I560">
        <v>399900</v>
      </c>
      <c r="J560">
        <v>349900</v>
      </c>
      <c r="K560">
        <v>399900</v>
      </c>
      <c r="L560">
        <v>5</v>
      </c>
      <c r="M560">
        <v>1999500</v>
      </c>
      <c r="N560" s="19">
        <v>250595.45454545453</v>
      </c>
      <c r="O560" s="19">
        <v>224032.33636363636</v>
      </c>
      <c r="P560" t="str">
        <f t="shared" si="0"/>
        <v>Ninja Heated</v>
      </c>
      <c r="Q560" t="str">
        <f t="shared" si="1"/>
        <v>Grill</v>
      </c>
    </row>
    <row r="561" spans="1:17" x14ac:dyDescent="0.35">
      <c r="A561" t="str">
        <f>_xlfn.XLOOKUP(B561,Mapping!C:C,Mapping!D:D)</f>
        <v>E-MART</v>
      </c>
      <c r="B561" s="2" t="s">
        <v>165</v>
      </c>
      <c r="C561" t="s">
        <v>306</v>
      </c>
      <c r="D561" s="3">
        <v>46205</v>
      </c>
      <c r="E561" s="3">
        <v>46208</v>
      </c>
      <c r="F561">
        <v>4</v>
      </c>
      <c r="G561" t="s">
        <v>19</v>
      </c>
      <c r="H561">
        <v>249900</v>
      </c>
      <c r="I561">
        <v>219900</v>
      </c>
      <c r="J561">
        <v>199900</v>
      </c>
      <c r="K561">
        <v>219900</v>
      </c>
      <c r="L561">
        <v>40</v>
      </c>
      <c r="M561">
        <v>8796000</v>
      </c>
      <c r="N561" s="19">
        <v>3761127.2727272725</v>
      </c>
      <c r="O561" s="19">
        <v>3362447.7818181817</v>
      </c>
      <c r="P561" t="str">
        <f t="shared" si="0"/>
        <v>Ninja Heated</v>
      </c>
      <c r="Q561" t="str">
        <f t="shared" si="1"/>
        <v>Crispi</v>
      </c>
    </row>
    <row r="562" spans="1:17" x14ac:dyDescent="0.35">
      <c r="A562" t="str">
        <f>_xlfn.XLOOKUP(B562,Mapping!C:C,Mapping!D:D)</f>
        <v>E-MART</v>
      </c>
      <c r="B562" s="2" t="s">
        <v>165</v>
      </c>
      <c r="C562" t="s">
        <v>306</v>
      </c>
      <c r="D562" s="3">
        <v>46205</v>
      </c>
      <c r="E562" s="3">
        <v>46208</v>
      </c>
      <c r="F562">
        <v>4</v>
      </c>
      <c r="G562" t="s">
        <v>39</v>
      </c>
      <c r="H562">
        <v>249900</v>
      </c>
      <c r="I562">
        <v>199900</v>
      </c>
      <c r="J562">
        <v>189900</v>
      </c>
      <c r="K562">
        <v>189900</v>
      </c>
      <c r="L562">
        <v>15</v>
      </c>
      <c r="M562">
        <v>2848500</v>
      </c>
      <c r="N562" s="19">
        <v>1128150</v>
      </c>
      <c r="O562" s="19">
        <v>1008566.1</v>
      </c>
      <c r="P562" t="str">
        <f t="shared" si="0"/>
        <v>Ninja Motorized</v>
      </c>
      <c r="Q562" t="str">
        <f t="shared" si="1"/>
        <v>Trad</v>
      </c>
    </row>
    <row r="563" spans="1:17" x14ac:dyDescent="0.35">
      <c r="A563" t="str">
        <f>_xlfn.XLOOKUP(B563,Mapping!C:C,Mapping!D:D)</f>
        <v>E-MART</v>
      </c>
      <c r="B563" s="2" t="s">
        <v>165</v>
      </c>
      <c r="C563" t="s">
        <v>306</v>
      </c>
      <c r="D563" s="3">
        <v>46205</v>
      </c>
      <c r="E563" s="3">
        <v>46208</v>
      </c>
      <c r="F563">
        <v>4</v>
      </c>
      <c r="G563" t="s">
        <v>27</v>
      </c>
      <c r="H563">
        <v>329900</v>
      </c>
      <c r="I563">
        <v>299900</v>
      </c>
      <c r="J563">
        <v>279900</v>
      </c>
      <c r="K563">
        <v>279900</v>
      </c>
      <c r="L563">
        <v>10</v>
      </c>
      <c r="M563">
        <v>2799000</v>
      </c>
      <c r="N563" s="19">
        <v>752100</v>
      </c>
      <c r="O563" s="19">
        <v>672377.4</v>
      </c>
      <c r="P563" t="str">
        <f t="shared" si="0"/>
        <v>Ninja Motorized</v>
      </c>
      <c r="Q563" t="str">
        <f t="shared" si="1"/>
        <v>Trad</v>
      </c>
    </row>
    <row r="564" spans="1:17" x14ac:dyDescent="0.35">
      <c r="A564" t="str">
        <f>_xlfn.XLOOKUP(B564,Mapping!C:C,Mapping!D:D)</f>
        <v>E-MART</v>
      </c>
      <c r="B564" s="2" t="s">
        <v>165</v>
      </c>
      <c r="C564" t="s">
        <v>306</v>
      </c>
      <c r="D564" s="3">
        <v>46205</v>
      </c>
      <c r="E564" s="3">
        <v>46208</v>
      </c>
      <c r="F564">
        <v>4</v>
      </c>
      <c r="G564" t="s">
        <v>84</v>
      </c>
      <c r="H564">
        <v>169900</v>
      </c>
      <c r="I564">
        <v>149900</v>
      </c>
      <c r="J564">
        <v>129900</v>
      </c>
      <c r="K564">
        <v>149900</v>
      </c>
      <c r="L564">
        <v>1</v>
      </c>
      <c r="M564">
        <v>149900</v>
      </c>
      <c r="N564" s="19">
        <v>643690.90909090906</v>
      </c>
      <c r="O564" s="19">
        <v>575459.67272727273</v>
      </c>
      <c r="P564" t="str">
        <f t="shared" si="0"/>
        <v>Ninja Motorized</v>
      </c>
      <c r="Q564" t="str">
        <f t="shared" si="1"/>
        <v>Trad</v>
      </c>
    </row>
    <row r="565" spans="1:17" x14ac:dyDescent="0.35">
      <c r="A565" t="str">
        <f>_xlfn.XLOOKUP(B565,Mapping!C:C,Mapping!D:D)</f>
        <v>E-MART</v>
      </c>
      <c r="B565" s="2" t="s">
        <v>165</v>
      </c>
      <c r="C565" t="s">
        <v>306</v>
      </c>
      <c r="D565" s="3">
        <v>46205</v>
      </c>
      <c r="E565" s="3">
        <v>46218</v>
      </c>
      <c r="F565">
        <v>14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5</v>
      </c>
      <c r="M565">
        <v>1499500</v>
      </c>
      <c r="N565" s="19">
        <v>1861909.0909090908</v>
      </c>
      <c r="O565" s="19">
        <v>1664546.7272727273</v>
      </c>
      <c r="P565" t="str">
        <f t="shared" si="0"/>
        <v>Ninja Motorized</v>
      </c>
      <c r="Q565" t="str">
        <f t="shared" si="1"/>
        <v>Icecream</v>
      </c>
    </row>
    <row r="566" spans="1:17" x14ac:dyDescent="0.35">
      <c r="A566" t="str">
        <f>_xlfn.XLOOKUP(B566,Mapping!C:C,Mapping!D:D)</f>
        <v>E-MART</v>
      </c>
      <c r="B566" s="2" t="s">
        <v>165</v>
      </c>
      <c r="C566" t="s">
        <v>306</v>
      </c>
      <c r="D566" s="3">
        <v>46205</v>
      </c>
      <c r="E566" s="3">
        <v>46218</v>
      </c>
      <c r="F566">
        <v>14</v>
      </c>
      <c r="G566" t="s">
        <v>95</v>
      </c>
      <c r="H566">
        <v>79900</v>
      </c>
      <c r="I566">
        <v>54900</v>
      </c>
      <c r="J566">
        <v>54900</v>
      </c>
      <c r="K566">
        <v>54900</v>
      </c>
      <c r="L566">
        <v>35</v>
      </c>
      <c r="M566">
        <v>1921500</v>
      </c>
      <c r="N566" s="19">
        <v>22529181.818181816</v>
      </c>
      <c r="O566" s="19">
        <v>20141088.545454543</v>
      </c>
      <c r="P566" t="str">
        <f t="shared" si="0"/>
        <v>Ninja Motorized</v>
      </c>
      <c r="Q566" t="str">
        <f t="shared" si="1"/>
        <v>Food process</v>
      </c>
    </row>
    <row r="567" spans="1:17" x14ac:dyDescent="0.35">
      <c r="A567" t="str">
        <f>_xlfn.XLOOKUP(B567,Mapping!C:C,Mapping!D:D)</f>
        <v>E-MART</v>
      </c>
      <c r="B567" s="2" t="s">
        <v>165</v>
      </c>
      <c r="C567" t="s">
        <v>306</v>
      </c>
      <c r="D567" s="3">
        <v>46205</v>
      </c>
      <c r="E567" s="3">
        <v>46232</v>
      </c>
      <c r="F567">
        <v>28</v>
      </c>
      <c r="G567" t="s">
        <v>101</v>
      </c>
      <c r="H567">
        <v>0</v>
      </c>
      <c r="I567">
        <v>0</v>
      </c>
      <c r="J567">
        <v>0</v>
      </c>
      <c r="K567">
        <v>119900</v>
      </c>
      <c r="L567">
        <v>55</v>
      </c>
      <c r="M567">
        <v>6594500</v>
      </c>
      <c r="N567" s="19">
        <v>13796549.999999998</v>
      </c>
      <c r="O567" s="19">
        <v>12334115.699999999</v>
      </c>
      <c r="P567" t="str">
        <f t="shared" si="0"/>
        <v>Ninja Motorized</v>
      </c>
      <c r="Q567" t="str">
        <f t="shared" si="1"/>
        <v>Portable</v>
      </c>
    </row>
    <row r="568" spans="1:17" x14ac:dyDescent="0.35">
      <c r="A568" t="str">
        <f>_xlfn.XLOOKUP(B568,Mapping!C:C,Mapping!D:D)</f>
        <v>E-MART</v>
      </c>
      <c r="B568" s="2" t="s">
        <v>165</v>
      </c>
      <c r="C568" t="s">
        <v>306</v>
      </c>
      <c r="D568" s="3">
        <v>46205</v>
      </c>
      <c r="E568" s="3">
        <v>46232</v>
      </c>
      <c r="F568">
        <v>28</v>
      </c>
      <c r="G568" t="s">
        <v>94</v>
      </c>
      <c r="H568">
        <v>119900</v>
      </c>
      <c r="I568">
        <v>99900</v>
      </c>
      <c r="J568">
        <v>84900</v>
      </c>
      <c r="K568">
        <v>84900</v>
      </c>
      <c r="L568">
        <v>20</v>
      </c>
      <c r="M568">
        <v>1698000</v>
      </c>
      <c r="N568" s="19">
        <v>3135109.0909090908</v>
      </c>
      <c r="O568" s="19">
        <v>2802787.5272727273</v>
      </c>
      <c r="P568" t="str">
        <f t="shared" si="0"/>
        <v>Ninja Motorized</v>
      </c>
      <c r="Q568" t="str">
        <f t="shared" si="1"/>
        <v>Portable</v>
      </c>
    </row>
    <row r="569" spans="1:17" x14ac:dyDescent="0.35">
      <c r="A569" t="str">
        <f>_xlfn.XLOOKUP(B569,Mapping!C:C,Mapping!D:D)</f>
        <v>E-MART</v>
      </c>
      <c r="B569" s="2" t="s">
        <v>165</v>
      </c>
      <c r="C569" t="s">
        <v>306</v>
      </c>
      <c r="D569" s="3">
        <v>46205</v>
      </c>
      <c r="E569" s="3">
        <v>46232</v>
      </c>
      <c r="F569">
        <v>28</v>
      </c>
      <c r="G569" t="s">
        <v>93</v>
      </c>
      <c r="H569">
        <v>119900</v>
      </c>
      <c r="I569">
        <v>99900</v>
      </c>
      <c r="J569">
        <v>84900</v>
      </c>
      <c r="K569">
        <v>84900</v>
      </c>
      <c r="L569">
        <v>10</v>
      </c>
      <c r="M569">
        <v>849000</v>
      </c>
      <c r="N569" s="19">
        <v>2069372.7272727271</v>
      </c>
      <c r="O569" s="19">
        <v>1850019.218181818</v>
      </c>
      <c r="P569" t="str">
        <f t="shared" si="0"/>
        <v>Ninja Motorized</v>
      </c>
      <c r="Q569" t="str">
        <f t="shared" si="1"/>
        <v>Portable</v>
      </c>
    </row>
    <row r="570" spans="1:17" x14ac:dyDescent="0.35">
      <c r="A570" t="str">
        <f>_xlfn.XLOOKUP(B570,Mapping!C:C,Mapping!D:D)</f>
        <v>E-MART</v>
      </c>
      <c r="B570" s="2" t="s">
        <v>165</v>
      </c>
      <c r="C570" t="s">
        <v>306</v>
      </c>
      <c r="D570" s="3">
        <v>46209</v>
      </c>
      <c r="E570" s="3">
        <v>46215</v>
      </c>
      <c r="F570">
        <v>7</v>
      </c>
      <c r="G570" t="s">
        <v>26</v>
      </c>
      <c r="H570">
        <v>899000</v>
      </c>
      <c r="I570">
        <v>849000</v>
      </c>
      <c r="J570">
        <v>799000</v>
      </c>
      <c r="K570">
        <v>799000</v>
      </c>
      <c r="L570">
        <v>40</v>
      </c>
      <c r="M570">
        <v>31960000</v>
      </c>
      <c r="N570" s="19">
        <v>5197636.3636363633</v>
      </c>
      <c r="O570" s="19">
        <v>4672675.0909090908</v>
      </c>
      <c r="P570" t="str">
        <f t="shared" si="0"/>
        <v>Shark Floorcare</v>
      </c>
      <c r="Q570" t="str">
        <f t="shared" si="1"/>
        <v>FW</v>
      </c>
    </row>
    <row r="571" spans="1:17" x14ac:dyDescent="0.35">
      <c r="A571" t="str">
        <f>_xlfn.XLOOKUP(B571,Mapping!C:C,Mapping!D:D)</f>
        <v>E-MART</v>
      </c>
      <c r="B571" s="2" t="s">
        <v>165</v>
      </c>
      <c r="C571" t="s">
        <v>306</v>
      </c>
      <c r="D571" s="3">
        <v>46216</v>
      </c>
      <c r="E571" s="3">
        <v>46222</v>
      </c>
      <c r="F571">
        <v>7</v>
      </c>
      <c r="G571" t="s">
        <v>36</v>
      </c>
      <c r="H571">
        <v>469900</v>
      </c>
      <c r="I571">
        <v>399900</v>
      </c>
      <c r="J571">
        <v>399000</v>
      </c>
      <c r="K571">
        <v>399900</v>
      </c>
      <c r="L571">
        <v>30</v>
      </c>
      <c r="M571">
        <v>11997000</v>
      </c>
      <c r="N571" s="19">
        <v>17275963.636363633</v>
      </c>
      <c r="O571" s="19">
        <v>15531091.309090907</v>
      </c>
      <c r="P571" t="str">
        <f t="shared" si="0"/>
        <v>Shark Floorcare</v>
      </c>
      <c r="Q571" t="str">
        <f t="shared" si="1"/>
        <v>WD</v>
      </c>
    </row>
    <row r="572" spans="1:17" x14ac:dyDescent="0.35">
      <c r="A572" t="str">
        <f>_xlfn.XLOOKUP(B572,Mapping!C:C,Mapping!D:D)</f>
        <v>E-MART</v>
      </c>
      <c r="B572" s="2" t="s">
        <v>165</v>
      </c>
      <c r="C572" t="s">
        <v>306</v>
      </c>
      <c r="D572" s="3">
        <v>46216</v>
      </c>
      <c r="E572" s="3">
        <v>46234</v>
      </c>
      <c r="F572">
        <v>19</v>
      </c>
      <c r="G572" t="s">
        <v>26</v>
      </c>
      <c r="H572">
        <v>899000</v>
      </c>
      <c r="I572">
        <v>849000</v>
      </c>
      <c r="J572">
        <v>799000</v>
      </c>
      <c r="K572">
        <v>899000</v>
      </c>
      <c r="L572">
        <v>20</v>
      </c>
      <c r="M572">
        <v>17980000</v>
      </c>
      <c r="N572" s="19">
        <v>5393290.9090909082</v>
      </c>
      <c r="O572" s="19">
        <v>4848568.5272727264</v>
      </c>
      <c r="P572" t="str">
        <f t="shared" si="0"/>
        <v>Shark Floorcare</v>
      </c>
      <c r="Q572" t="str">
        <f t="shared" si="1"/>
        <v>FW</v>
      </c>
    </row>
    <row r="573" spans="1:17" x14ac:dyDescent="0.35">
      <c r="A573" t="str">
        <f>_xlfn.XLOOKUP(B573,Mapping!C:C,Mapping!D:D)</f>
        <v>E-MART</v>
      </c>
      <c r="B573" s="2" t="s">
        <v>165</v>
      </c>
      <c r="C573" t="s">
        <v>306</v>
      </c>
      <c r="D573" s="3">
        <v>46219</v>
      </c>
      <c r="E573" s="3">
        <v>46225</v>
      </c>
      <c r="F573">
        <v>7</v>
      </c>
      <c r="G573" t="s">
        <v>106</v>
      </c>
      <c r="H573">
        <v>399900</v>
      </c>
      <c r="I573">
        <v>349900</v>
      </c>
      <c r="J573">
        <v>299900</v>
      </c>
      <c r="K573">
        <v>349900</v>
      </c>
      <c r="L573">
        <v>5</v>
      </c>
      <c r="M573">
        <v>1749500</v>
      </c>
      <c r="N573" s="19">
        <v>1861895.4545454544</v>
      </c>
      <c r="O573" s="19">
        <v>1664534.5363636361</v>
      </c>
      <c r="P573" t="str">
        <f t="shared" si="0"/>
        <v>Ninja Heated</v>
      </c>
      <c r="Q573" t="str">
        <f t="shared" si="1"/>
        <v>Combi</v>
      </c>
    </row>
    <row r="574" spans="1:17" x14ac:dyDescent="0.35">
      <c r="A574" t="str">
        <f>_xlfn.XLOOKUP(B574,Mapping!C:C,Mapping!D:D)</f>
        <v>E-MART</v>
      </c>
      <c r="B574" s="2" t="s">
        <v>165</v>
      </c>
      <c r="C574" t="s">
        <v>306</v>
      </c>
      <c r="D574" s="3">
        <v>46219</v>
      </c>
      <c r="E574" s="3">
        <v>46225</v>
      </c>
      <c r="F574">
        <v>7</v>
      </c>
      <c r="G574" t="s">
        <v>39</v>
      </c>
      <c r="H574">
        <v>249900</v>
      </c>
      <c r="I574">
        <v>199900</v>
      </c>
      <c r="J574">
        <v>189900</v>
      </c>
      <c r="K574">
        <v>199900</v>
      </c>
      <c r="L574">
        <v>15</v>
      </c>
      <c r="M574">
        <v>2998500</v>
      </c>
      <c r="N574" s="19">
        <v>5585727.2727272725</v>
      </c>
      <c r="O574" s="19">
        <v>4993640.1818181816</v>
      </c>
      <c r="P574" t="str">
        <f t="shared" si="0"/>
        <v>Ninja Motorized</v>
      </c>
      <c r="Q574" t="str">
        <f t="shared" si="1"/>
        <v>Trad</v>
      </c>
    </row>
    <row r="575" spans="1:17" x14ac:dyDescent="0.35">
      <c r="A575" t="str">
        <f>_xlfn.XLOOKUP(B575,Mapping!C:C,Mapping!D:D)</f>
        <v>E-MART</v>
      </c>
      <c r="B575" s="2" t="s">
        <v>165</v>
      </c>
      <c r="C575" t="s">
        <v>306</v>
      </c>
      <c r="D575" s="3">
        <v>46219</v>
      </c>
      <c r="E575" s="3">
        <v>46225</v>
      </c>
      <c r="F575">
        <v>7</v>
      </c>
      <c r="G575" t="s">
        <v>27</v>
      </c>
      <c r="H575">
        <v>329900</v>
      </c>
      <c r="I575">
        <v>299900</v>
      </c>
      <c r="J575">
        <v>279900</v>
      </c>
      <c r="K575">
        <v>299900</v>
      </c>
      <c r="L575">
        <v>5</v>
      </c>
      <c r="M575">
        <v>1499500</v>
      </c>
      <c r="N575" s="19">
        <v>1861895.4545454544</v>
      </c>
      <c r="O575" s="19">
        <v>1664534.5363636361</v>
      </c>
      <c r="P575" t="str">
        <f t="shared" si="0"/>
        <v>Ninja Motorized</v>
      </c>
      <c r="Q575" t="str">
        <f t="shared" si="1"/>
        <v>Trad</v>
      </c>
    </row>
    <row r="576" spans="1:17" x14ac:dyDescent="0.35">
      <c r="A576" t="str">
        <f>_xlfn.XLOOKUP(B576,Mapping!C:C,Mapping!D:D)</f>
        <v>E-MART</v>
      </c>
      <c r="B576" s="2" t="s">
        <v>165</v>
      </c>
      <c r="C576" t="s">
        <v>306</v>
      </c>
      <c r="D576" s="3">
        <v>46219</v>
      </c>
      <c r="E576" s="3">
        <v>46232</v>
      </c>
      <c r="F576">
        <v>14</v>
      </c>
      <c r="G576" t="s">
        <v>64</v>
      </c>
      <c r="H576">
        <v>599000</v>
      </c>
      <c r="I576">
        <v>549000</v>
      </c>
      <c r="J576">
        <v>499000</v>
      </c>
      <c r="K576">
        <v>499000</v>
      </c>
      <c r="L576">
        <v>40</v>
      </c>
      <c r="M576">
        <v>19960000</v>
      </c>
      <c r="N576" s="19">
        <v>14895163.636363635</v>
      </c>
      <c r="O576" s="19">
        <v>13390752.109090907</v>
      </c>
      <c r="P576" t="str">
        <f t="shared" si="0"/>
        <v>Shark Floorcare</v>
      </c>
      <c r="Q576" t="str">
        <f t="shared" si="1"/>
        <v>FW</v>
      </c>
    </row>
    <row r="577" spans="1:17" x14ac:dyDescent="0.35">
      <c r="A577" t="str">
        <f>_xlfn.XLOOKUP(B577,Mapping!C:C,Mapping!D:D)</f>
        <v>E-MART</v>
      </c>
      <c r="B577" s="2" t="s">
        <v>165</v>
      </c>
      <c r="C577" t="s">
        <v>306</v>
      </c>
      <c r="D577" s="3">
        <v>46223</v>
      </c>
      <c r="E577" s="3">
        <v>46234</v>
      </c>
      <c r="F577">
        <v>12</v>
      </c>
      <c r="G577" t="s">
        <v>36</v>
      </c>
      <c r="H577">
        <v>469900</v>
      </c>
      <c r="I577">
        <v>399900</v>
      </c>
      <c r="J577">
        <v>399000</v>
      </c>
      <c r="K577">
        <v>469000</v>
      </c>
      <c r="L577">
        <v>10</v>
      </c>
      <c r="M577">
        <v>4690000</v>
      </c>
      <c r="N577" s="19">
        <v>1476681.8181818179</v>
      </c>
      <c r="O577" s="19">
        <v>1327536.9545454544</v>
      </c>
      <c r="P577" t="str">
        <f t="shared" si="0"/>
        <v>Shark Floorcare</v>
      </c>
      <c r="Q577" t="str">
        <f t="shared" si="1"/>
        <v>WD</v>
      </c>
    </row>
    <row r="578" spans="1:17" x14ac:dyDescent="0.35">
      <c r="A578" t="str">
        <f>_xlfn.XLOOKUP(B578,Mapping!C:C,Mapping!D:D)</f>
        <v>E-MART</v>
      </c>
      <c r="B578" s="2" t="s">
        <v>165</v>
      </c>
      <c r="C578" t="s">
        <v>306</v>
      </c>
      <c r="D578" s="3">
        <v>46233</v>
      </c>
      <c r="E578" s="3">
        <v>46234</v>
      </c>
      <c r="F578">
        <v>2</v>
      </c>
      <c r="G578" t="s">
        <v>64</v>
      </c>
      <c r="H578">
        <v>599000</v>
      </c>
      <c r="I578">
        <v>549000</v>
      </c>
      <c r="J578">
        <v>499000</v>
      </c>
      <c r="K578">
        <v>549000</v>
      </c>
      <c r="L578">
        <v>20</v>
      </c>
      <c r="M578">
        <v>10980000</v>
      </c>
      <c r="N578" s="19">
        <v>10160727.272727272</v>
      </c>
      <c r="O578" s="19">
        <v>9134493.8181818165</v>
      </c>
      <c r="P578" t="str">
        <f t="shared" si="0"/>
        <v>Shark Floorcare</v>
      </c>
      <c r="Q578" t="str">
        <f t="shared" si="1"/>
        <v>FW</v>
      </c>
    </row>
    <row r="579" spans="1:17" x14ac:dyDescent="0.35">
      <c r="A579" t="str">
        <f>_xlfn.XLOOKUP(B579,Mapping!C:C,Mapping!D:D)</f>
        <v>E-MART</v>
      </c>
      <c r="B579" s="2" t="s">
        <v>165</v>
      </c>
      <c r="C579" t="s">
        <v>306</v>
      </c>
      <c r="D579" s="3">
        <v>46219</v>
      </c>
      <c r="E579" s="3">
        <v>46225</v>
      </c>
      <c r="F579">
        <v>7</v>
      </c>
      <c r="G579" t="s">
        <v>84</v>
      </c>
      <c r="H579">
        <v>169900</v>
      </c>
      <c r="I579">
        <v>149900</v>
      </c>
      <c r="J579">
        <v>129900</v>
      </c>
      <c r="K579">
        <v>129900</v>
      </c>
      <c r="L579">
        <v>1</v>
      </c>
      <c r="M579">
        <v>129900</v>
      </c>
      <c r="N579" s="19">
        <v>106573.63636363635</v>
      </c>
      <c r="O579" s="19">
        <v>95276.830909090902</v>
      </c>
      <c r="P579" t="str">
        <f t="shared" si="0"/>
        <v>Ninja Motorized</v>
      </c>
      <c r="Q579" t="str">
        <f t="shared" si="1"/>
        <v>Trad</v>
      </c>
    </row>
    <row r="580" spans="1:17" x14ac:dyDescent="0.35">
      <c r="A580" t="str">
        <f>_xlfn.XLOOKUP(B580,Mapping!C:C,Mapping!D:D)</f>
        <v>Coupang</v>
      </c>
      <c r="B580" t="s">
        <v>14</v>
      </c>
      <c r="C580" t="s">
        <v>15</v>
      </c>
      <c r="D580" s="3">
        <v>46217</v>
      </c>
      <c r="E580" s="3">
        <v>46217</v>
      </c>
      <c r="F580">
        <v>1</v>
      </c>
      <c r="G580" t="s">
        <v>26</v>
      </c>
      <c r="H580">
        <v>899000</v>
      </c>
      <c r="I580">
        <v>849000</v>
      </c>
      <c r="J580">
        <v>799000</v>
      </c>
      <c r="K580">
        <v>759000</v>
      </c>
      <c r="L580">
        <v>400</v>
      </c>
      <c r="M580">
        <v>303600000</v>
      </c>
      <c r="N580" s="19">
        <v>254989090.90909088</v>
      </c>
      <c r="O580" s="19">
        <v>242239636.36363634</v>
      </c>
      <c r="P580" t="str">
        <f t="shared" si="0"/>
        <v>Shark Floorcare</v>
      </c>
      <c r="Q580" t="str">
        <f t="shared" si="1"/>
        <v>FW</v>
      </c>
    </row>
    <row r="581" spans="1:17" x14ac:dyDescent="0.35">
      <c r="A581" t="str">
        <f>_xlfn.XLOOKUP(B581,Mapping!C:C,Mapping!D:D)</f>
        <v>Coupang</v>
      </c>
      <c r="B581" t="s">
        <v>14</v>
      </c>
      <c r="C581" t="s">
        <v>15</v>
      </c>
      <c r="D581" s="3">
        <v>46208</v>
      </c>
      <c r="E581" s="3">
        <v>46208</v>
      </c>
      <c r="F581">
        <v>1</v>
      </c>
      <c r="G581" t="s">
        <v>112</v>
      </c>
      <c r="H581">
        <v>799000</v>
      </c>
      <c r="I581">
        <v>599000</v>
      </c>
      <c r="J581">
        <v>599000</v>
      </c>
      <c r="K581">
        <v>536530</v>
      </c>
      <c r="L581">
        <v>200</v>
      </c>
      <c r="M581">
        <v>107306000</v>
      </c>
      <c r="N581" s="19">
        <v>99379636.36363636</v>
      </c>
      <c r="O581" s="19">
        <v>94410654.545454547</v>
      </c>
      <c r="P581" t="str">
        <f t="shared" ref="P581:P640" si="2">_xlfn.XLOOKUP(G581,$G$2:$G$529,$P$2:$P$529,"Not Found")</f>
        <v>Shark Floorcare</v>
      </c>
      <c r="Q581" t="str">
        <f t="shared" ref="Q581:Q640" si="3">_xlfn.XLOOKUP(G581,$G$2:$G$529,$Q$2:$Q$529,"Not Found")</f>
        <v>CS</v>
      </c>
    </row>
    <row r="582" spans="1:17" x14ac:dyDescent="0.35">
      <c r="A582" t="str">
        <f>_xlfn.XLOOKUP(B582,Mapping!C:C,Mapping!D:D)</f>
        <v>Coupang</v>
      </c>
      <c r="B582" t="s">
        <v>14</v>
      </c>
      <c r="C582" t="s">
        <v>15</v>
      </c>
      <c r="D582" s="3">
        <v>46204</v>
      </c>
      <c r="E582" s="3">
        <v>46204</v>
      </c>
      <c r="F582">
        <v>1</v>
      </c>
      <c r="G582" t="s">
        <v>84</v>
      </c>
      <c r="H582">
        <v>169900</v>
      </c>
      <c r="I582">
        <v>149900</v>
      </c>
      <c r="J582">
        <v>129900</v>
      </c>
      <c r="K582">
        <v>119000</v>
      </c>
      <c r="L582">
        <v>250</v>
      </c>
      <c r="M582">
        <v>29750000</v>
      </c>
      <c r="N582" s="19">
        <v>26573181.818181816</v>
      </c>
      <c r="O582" s="19">
        <v>25244522.727272727</v>
      </c>
      <c r="P582" t="str">
        <f t="shared" si="2"/>
        <v>Ninja Motorized</v>
      </c>
      <c r="Q582" t="str">
        <f t="shared" si="3"/>
        <v>Trad</v>
      </c>
    </row>
    <row r="583" spans="1:17" x14ac:dyDescent="0.35">
      <c r="A583" t="str">
        <f>_xlfn.XLOOKUP(B583,Mapping!C:C,Mapping!D:D)</f>
        <v>Coupang</v>
      </c>
      <c r="B583" t="s">
        <v>14</v>
      </c>
      <c r="C583" t="s">
        <v>15</v>
      </c>
      <c r="D583" s="3">
        <v>46204</v>
      </c>
      <c r="E583" s="3">
        <v>46204</v>
      </c>
      <c r="F583">
        <v>1</v>
      </c>
      <c r="G583" t="s">
        <v>88</v>
      </c>
      <c r="H583">
        <v>599000</v>
      </c>
      <c r="I583">
        <v>499000</v>
      </c>
      <c r="J583">
        <v>399900</v>
      </c>
      <c r="K583">
        <v>389000</v>
      </c>
      <c r="L583">
        <v>150</v>
      </c>
      <c r="M583">
        <v>58350000</v>
      </c>
      <c r="N583" s="19">
        <v>53075454.545454539</v>
      </c>
      <c r="O583" s="19">
        <v>50421681.818181813</v>
      </c>
      <c r="P583" t="str">
        <f t="shared" si="2"/>
        <v>Shark Floorcare</v>
      </c>
      <c r="Q583" t="str">
        <f t="shared" si="3"/>
        <v>CS</v>
      </c>
    </row>
    <row r="584" spans="1:17" x14ac:dyDescent="0.35">
      <c r="A584" t="str">
        <f>_xlfn.XLOOKUP(B584,Mapping!C:C,Mapping!D:D)</f>
        <v>Coupang</v>
      </c>
      <c r="B584" t="s">
        <v>14</v>
      </c>
      <c r="C584" t="s">
        <v>15</v>
      </c>
      <c r="D584" s="3">
        <v>46206</v>
      </c>
      <c r="E584" s="3">
        <v>46206</v>
      </c>
      <c r="F584">
        <v>1</v>
      </c>
      <c r="G584" t="s">
        <v>38</v>
      </c>
      <c r="H584">
        <v>429900</v>
      </c>
      <c r="I584">
        <v>399900</v>
      </c>
      <c r="J584">
        <v>349900</v>
      </c>
      <c r="K584">
        <v>349900</v>
      </c>
      <c r="L584">
        <v>200</v>
      </c>
      <c r="M584">
        <v>69980000</v>
      </c>
      <c r="N584" s="19">
        <v>60967636.363636352</v>
      </c>
      <c r="O584" s="19">
        <v>57919254.545454532</v>
      </c>
      <c r="P584" t="str">
        <f t="shared" si="2"/>
        <v>Ninja Heated</v>
      </c>
      <c r="Q584" t="str">
        <f t="shared" si="3"/>
        <v>Grill</v>
      </c>
    </row>
    <row r="585" spans="1:17" x14ac:dyDescent="0.35">
      <c r="A585" t="str">
        <f>_xlfn.XLOOKUP(B585,Mapping!C:C,Mapping!D:D)</f>
        <v>TVHS</v>
      </c>
      <c r="B585" t="s">
        <v>163</v>
      </c>
      <c r="C585" t="s">
        <v>164</v>
      </c>
      <c r="D585" s="3">
        <v>46204</v>
      </c>
      <c r="E585" s="3">
        <v>46204</v>
      </c>
      <c r="F585">
        <v>1</v>
      </c>
      <c r="G585" t="s">
        <v>46</v>
      </c>
      <c r="H585">
        <v>0</v>
      </c>
      <c r="I585">
        <v>0</v>
      </c>
      <c r="J585">
        <v>0</v>
      </c>
      <c r="K585">
        <v>499000</v>
      </c>
      <c r="L585">
        <v>200</v>
      </c>
      <c r="M585">
        <v>99800000</v>
      </c>
      <c r="N585" s="19">
        <v>90727272.727272719</v>
      </c>
      <c r="O585" s="19">
        <v>0</v>
      </c>
      <c r="P585" t="str">
        <f t="shared" si="2"/>
        <v>Shark Floorcare</v>
      </c>
      <c r="Q585" t="str">
        <f t="shared" si="3"/>
        <v>Kion</v>
      </c>
    </row>
    <row r="586" spans="1:17" x14ac:dyDescent="0.35">
      <c r="A586" t="str">
        <f>_xlfn.XLOOKUP(B586,Mapping!C:C,Mapping!D:D)</f>
        <v>TVHS</v>
      </c>
      <c r="B586" t="s">
        <v>163</v>
      </c>
      <c r="C586" t="s">
        <v>164</v>
      </c>
      <c r="D586" s="3">
        <v>46206</v>
      </c>
      <c r="E586" s="3">
        <v>46206</v>
      </c>
      <c r="F586">
        <v>1</v>
      </c>
      <c r="G586" t="s">
        <v>94</v>
      </c>
      <c r="H586">
        <v>119900</v>
      </c>
      <c r="I586">
        <v>99900</v>
      </c>
      <c r="J586">
        <v>84900</v>
      </c>
      <c r="K586">
        <v>84900</v>
      </c>
      <c r="L586">
        <v>500</v>
      </c>
      <c r="M586">
        <v>42450000</v>
      </c>
      <c r="N586" s="19">
        <v>38590909.090909086</v>
      </c>
      <c r="O586" s="19">
        <v>0</v>
      </c>
      <c r="P586" t="str">
        <f t="shared" si="2"/>
        <v>Ninja Motorized</v>
      </c>
      <c r="Q586" t="str">
        <f t="shared" si="3"/>
        <v>Portable</v>
      </c>
    </row>
    <row r="587" spans="1:17" x14ac:dyDescent="0.35">
      <c r="A587" t="str">
        <f>_xlfn.XLOOKUP(B587,Mapping!C:C,Mapping!D:D)</f>
        <v>TVHS</v>
      </c>
      <c r="B587" t="s">
        <v>163</v>
      </c>
      <c r="C587" t="s">
        <v>147</v>
      </c>
      <c r="D587" s="3">
        <v>46207</v>
      </c>
      <c r="E587" s="3">
        <v>46207</v>
      </c>
      <c r="F587">
        <v>1</v>
      </c>
      <c r="G587" t="s">
        <v>33</v>
      </c>
      <c r="H587">
        <v>399900</v>
      </c>
      <c r="I587">
        <v>349900</v>
      </c>
      <c r="J587">
        <v>299900</v>
      </c>
      <c r="K587">
        <v>299900</v>
      </c>
      <c r="L587">
        <v>4000</v>
      </c>
      <c r="M587">
        <v>1199600000</v>
      </c>
      <c r="N587" s="19">
        <v>1090545454.5454543</v>
      </c>
      <c r="O587" s="19">
        <v>643421818.18181801</v>
      </c>
      <c r="P587" t="str">
        <f t="shared" si="2"/>
        <v>Shark Fan</v>
      </c>
      <c r="Q587" t="str">
        <f t="shared" si="3"/>
        <v>Fan</v>
      </c>
    </row>
    <row r="588" spans="1:17" x14ac:dyDescent="0.35">
      <c r="A588" t="str">
        <f>_xlfn.XLOOKUP(B588,Mapping!C:C,Mapping!D:D)</f>
        <v>TVHS</v>
      </c>
      <c r="B588" t="s">
        <v>163</v>
      </c>
      <c r="C588" t="s">
        <v>164</v>
      </c>
      <c r="D588" s="3">
        <v>46210</v>
      </c>
      <c r="E588" s="3">
        <v>46210</v>
      </c>
      <c r="F588">
        <v>1</v>
      </c>
      <c r="G588" t="s">
        <v>35</v>
      </c>
      <c r="H588">
        <v>599000</v>
      </c>
      <c r="I588">
        <v>549000</v>
      </c>
      <c r="J588">
        <v>499000</v>
      </c>
      <c r="K588">
        <v>649000</v>
      </c>
      <c r="L588">
        <v>100</v>
      </c>
      <c r="M588">
        <v>64900000</v>
      </c>
      <c r="N588" s="19">
        <v>59000000</v>
      </c>
      <c r="O588" s="19">
        <v>34810000</v>
      </c>
      <c r="P588" t="str">
        <f t="shared" si="2"/>
        <v>Shark Floorcare</v>
      </c>
      <c r="Q588" t="str">
        <f t="shared" si="3"/>
        <v>FW</v>
      </c>
    </row>
    <row r="589" spans="1:17" x14ac:dyDescent="0.35">
      <c r="A589" t="str">
        <f>_xlfn.XLOOKUP(B589,Mapping!C:C,Mapping!D:D)</f>
        <v>TVHS</v>
      </c>
      <c r="B589" t="s">
        <v>163</v>
      </c>
      <c r="C589" t="s">
        <v>147</v>
      </c>
      <c r="D589" s="3">
        <v>46218</v>
      </c>
      <c r="E589" s="3">
        <v>46218</v>
      </c>
      <c r="F589">
        <v>1</v>
      </c>
      <c r="G589" t="s">
        <v>67</v>
      </c>
      <c r="H589">
        <v>229900</v>
      </c>
      <c r="I589">
        <v>229900</v>
      </c>
      <c r="J589">
        <v>199900</v>
      </c>
      <c r="K589">
        <v>219900</v>
      </c>
      <c r="L589">
        <v>500</v>
      </c>
      <c r="M589">
        <v>109950000</v>
      </c>
      <c r="N589" s="19">
        <v>99954545.454545438</v>
      </c>
      <c r="O589" s="19">
        <v>0</v>
      </c>
      <c r="P589" t="str">
        <f t="shared" si="2"/>
        <v>Ninja Motorized</v>
      </c>
      <c r="Q589" t="str">
        <f t="shared" si="3"/>
        <v>Portable</v>
      </c>
    </row>
    <row r="590" spans="1:17" x14ac:dyDescent="0.35">
      <c r="A590" t="str">
        <f>_xlfn.XLOOKUP(B590,Mapping!C:C,Mapping!D:D)</f>
        <v>TVHS</v>
      </c>
      <c r="B590" t="s">
        <v>163</v>
      </c>
      <c r="C590" t="s">
        <v>147</v>
      </c>
      <c r="D590" s="3">
        <v>46220</v>
      </c>
      <c r="E590" s="3">
        <v>46220</v>
      </c>
      <c r="F590">
        <v>1</v>
      </c>
      <c r="G590" t="s">
        <v>67</v>
      </c>
      <c r="H590">
        <v>229900</v>
      </c>
      <c r="I590">
        <v>229900</v>
      </c>
      <c r="J590">
        <v>199900</v>
      </c>
      <c r="K590">
        <v>209900</v>
      </c>
      <c r="L590">
        <v>700</v>
      </c>
      <c r="M590">
        <v>146930000</v>
      </c>
      <c r="N590" s="19">
        <v>133572727.27272725</v>
      </c>
      <c r="O590" s="19">
        <v>78807909.090909064</v>
      </c>
      <c r="P590" t="str">
        <f t="shared" si="2"/>
        <v>Ninja Motorized</v>
      </c>
      <c r="Q590" t="str">
        <f t="shared" si="3"/>
        <v>Portable</v>
      </c>
    </row>
    <row r="591" spans="1:17" x14ac:dyDescent="0.35">
      <c r="A591" t="str">
        <f>_xlfn.XLOOKUP(B591,Mapping!C:C,Mapping!D:D)</f>
        <v>TVHS</v>
      </c>
      <c r="B591" t="s">
        <v>163</v>
      </c>
      <c r="C591" t="s">
        <v>147</v>
      </c>
      <c r="D591" s="3">
        <v>46222</v>
      </c>
      <c r="E591" s="3">
        <v>46222</v>
      </c>
      <c r="F591">
        <v>1</v>
      </c>
      <c r="G591" t="s">
        <v>35</v>
      </c>
      <c r="H591">
        <v>599000</v>
      </c>
      <c r="I591">
        <v>549000</v>
      </c>
      <c r="J591">
        <v>499000</v>
      </c>
      <c r="K591">
        <v>649000</v>
      </c>
      <c r="L591">
        <v>700</v>
      </c>
      <c r="M591">
        <v>454300000</v>
      </c>
      <c r="N591" s="19">
        <v>413000000</v>
      </c>
      <c r="O591" s="19">
        <v>243670000</v>
      </c>
      <c r="P591" t="str">
        <f t="shared" si="2"/>
        <v>Shark Floorcare</v>
      </c>
      <c r="Q591" t="str">
        <f t="shared" si="3"/>
        <v>FW</v>
      </c>
    </row>
    <row r="592" spans="1:17" x14ac:dyDescent="0.35">
      <c r="A592" t="str">
        <f>_xlfn.XLOOKUP(B592,Mapping!C:C,Mapping!D:D)</f>
        <v>TVHS</v>
      </c>
      <c r="B592" t="s">
        <v>163</v>
      </c>
      <c r="C592" t="s">
        <v>147</v>
      </c>
      <c r="D592" s="3">
        <v>46228</v>
      </c>
      <c r="E592" s="3">
        <v>46228</v>
      </c>
      <c r="F592">
        <v>1</v>
      </c>
      <c r="G592" t="s">
        <v>20</v>
      </c>
      <c r="H592">
        <v>249900</v>
      </c>
      <c r="I592">
        <v>219900</v>
      </c>
      <c r="J592">
        <v>199900</v>
      </c>
      <c r="K592">
        <v>219900</v>
      </c>
      <c r="L592">
        <v>5500</v>
      </c>
      <c r="M592">
        <v>1209450000</v>
      </c>
      <c r="N592" s="19">
        <v>1099499999.9999998</v>
      </c>
      <c r="O592" s="19">
        <v>648704999.99999976</v>
      </c>
      <c r="P592" t="str">
        <f t="shared" si="2"/>
        <v>Ninja Heated</v>
      </c>
      <c r="Q592" t="str">
        <f t="shared" si="3"/>
        <v>Crispi</v>
      </c>
    </row>
    <row r="593" spans="1:17" x14ac:dyDescent="0.35">
      <c r="A593" t="str">
        <f>_xlfn.XLOOKUP(B593,Mapping!C:C,Mapping!D:D)</f>
        <v>TVHS</v>
      </c>
      <c r="B593" t="s">
        <v>163</v>
      </c>
      <c r="C593" t="s">
        <v>164</v>
      </c>
      <c r="D593" s="3">
        <v>46229</v>
      </c>
      <c r="E593" s="3">
        <v>46229</v>
      </c>
      <c r="F593">
        <v>1</v>
      </c>
      <c r="G593" t="s">
        <v>57</v>
      </c>
      <c r="H593">
        <v>699000</v>
      </c>
      <c r="I593">
        <v>499000</v>
      </c>
      <c r="J593">
        <v>499000</v>
      </c>
      <c r="K593">
        <v>499000</v>
      </c>
      <c r="L593">
        <v>200</v>
      </c>
      <c r="M593">
        <v>99800000</v>
      </c>
      <c r="N593" s="19">
        <v>90727272.727272719</v>
      </c>
      <c r="O593" s="19">
        <v>53529090.909090899</v>
      </c>
      <c r="P593" t="str">
        <f t="shared" si="2"/>
        <v>Shark Floorcare</v>
      </c>
      <c r="Q593" t="str">
        <f t="shared" si="3"/>
        <v>Kion</v>
      </c>
    </row>
    <row r="594" spans="1:17" x14ac:dyDescent="0.35">
      <c r="A594" t="str">
        <f>_xlfn.XLOOKUP(B594,Mapping!C:C,Mapping!D:D)</f>
        <v>PP</v>
      </c>
      <c r="B594" t="s">
        <v>154</v>
      </c>
      <c r="C594" t="s">
        <v>154</v>
      </c>
      <c r="D594" s="3">
        <v>46204</v>
      </c>
      <c r="E594" s="3">
        <v>46207</v>
      </c>
      <c r="F594">
        <v>4</v>
      </c>
      <c r="G594" t="s">
        <v>20</v>
      </c>
      <c r="H594">
        <v>249900</v>
      </c>
      <c r="I594">
        <v>219900</v>
      </c>
      <c r="J594">
        <v>199900</v>
      </c>
      <c r="K594">
        <v>221000</v>
      </c>
      <c r="L594">
        <v>500</v>
      </c>
      <c r="M594">
        <v>110500000</v>
      </c>
      <c r="N594" s="19">
        <v>100454545.45454544</v>
      </c>
      <c r="O594" s="19">
        <v>63286363.636363626</v>
      </c>
      <c r="P594" t="str">
        <f t="shared" si="2"/>
        <v>Ninja Heated</v>
      </c>
      <c r="Q594" t="str">
        <f t="shared" si="3"/>
        <v>Crispi</v>
      </c>
    </row>
    <row r="595" spans="1:17" x14ac:dyDescent="0.35">
      <c r="A595" t="str">
        <f>_xlfn.XLOOKUP(B595,Mapping!C:C,Mapping!D:D)</f>
        <v>PP</v>
      </c>
      <c r="B595" t="s">
        <v>154</v>
      </c>
      <c r="C595" t="s">
        <v>154</v>
      </c>
      <c r="D595" s="3">
        <v>46206</v>
      </c>
      <c r="E595" s="3">
        <v>46210</v>
      </c>
      <c r="F595">
        <v>5</v>
      </c>
      <c r="G595" t="s">
        <v>32</v>
      </c>
      <c r="H595">
        <v>349900</v>
      </c>
      <c r="I595">
        <v>299900</v>
      </c>
      <c r="J595">
        <v>269900</v>
      </c>
      <c r="K595">
        <v>269900</v>
      </c>
      <c r="L595">
        <v>300</v>
      </c>
      <c r="M595">
        <v>80970000</v>
      </c>
      <c r="N595" s="19">
        <v>73609090.909090906</v>
      </c>
      <c r="O595" s="19">
        <v>46373727.272727266</v>
      </c>
      <c r="P595" t="str">
        <f t="shared" si="2"/>
        <v>Ninja Motorized</v>
      </c>
      <c r="Q595" t="str">
        <f t="shared" si="3"/>
        <v>Icecream</v>
      </c>
    </row>
    <row r="596" spans="1:17" x14ac:dyDescent="0.35">
      <c r="A596" t="str">
        <f>_xlfn.XLOOKUP(B596,Mapping!C:C,Mapping!D:D)</f>
        <v>PP</v>
      </c>
      <c r="B596" t="s">
        <v>154</v>
      </c>
      <c r="C596" t="s">
        <v>154</v>
      </c>
      <c r="D596" s="3">
        <v>46218</v>
      </c>
      <c r="E596" s="3">
        <v>46222</v>
      </c>
      <c r="F596">
        <v>5</v>
      </c>
      <c r="G596" t="s">
        <v>105</v>
      </c>
      <c r="H596">
        <v>299900</v>
      </c>
      <c r="I596">
        <v>269900</v>
      </c>
      <c r="J596">
        <v>249900</v>
      </c>
      <c r="K596">
        <v>129900</v>
      </c>
      <c r="L596">
        <v>500</v>
      </c>
      <c r="M596">
        <v>64950000</v>
      </c>
      <c r="N596" s="19">
        <v>59045454.545454547</v>
      </c>
      <c r="O596" s="19">
        <v>37198636.36363636</v>
      </c>
      <c r="P596" t="str">
        <f t="shared" si="2"/>
        <v>Ninja Motorized</v>
      </c>
      <c r="Q596" t="str">
        <f t="shared" si="3"/>
        <v>Kitchen</v>
      </c>
    </row>
    <row r="597" spans="1:17" x14ac:dyDescent="0.35">
      <c r="A597" t="str">
        <f>_xlfn.XLOOKUP(B597,Mapping!C:C,Mapping!D:D)</f>
        <v>PP</v>
      </c>
      <c r="B597" t="s">
        <v>154</v>
      </c>
      <c r="C597" t="s">
        <v>154</v>
      </c>
      <c r="D597" s="3">
        <v>46209</v>
      </c>
      <c r="E597" s="3">
        <v>46212</v>
      </c>
      <c r="F597">
        <v>4</v>
      </c>
      <c r="G597" t="s">
        <v>38</v>
      </c>
      <c r="H597">
        <v>429900</v>
      </c>
      <c r="I597">
        <v>399900</v>
      </c>
      <c r="J597">
        <v>349900</v>
      </c>
      <c r="K597">
        <v>399900</v>
      </c>
      <c r="L597">
        <v>500</v>
      </c>
      <c r="M597">
        <v>199950000</v>
      </c>
      <c r="N597" s="19">
        <v>181772727.27272725</v>
      </c>
      <c r="O597" s="19">
        <v>114516818.18181817</v>
      </c>
      <c r="P597" t="str">
        <f t="shared" si="2"/>
        <v>Ninja Heated</v>
      </c>
      <c r="Q597" t="str">
        <f t="shared" si="3"/>
        <v>Grill</v>
      </c>
    </row>
    <row r="598" spans="1:17" x14ac:dyDescent="0.35">
      <c r="A598" t="str">
        <f>_xlfn.XLOOKUP(B598,Mapping!C:C,Mapping!D:D)</f>
        <v>PP</v>
      </c>
      <c r="B598" t="s">
        <v>154</v>
      </c>
      <c r="C598" t="s">
        <v>154</v>
      </c>
      <c r="D598" s="3">
        <v>46209</v>
      </c>
      <c r="E598" s="3">
        <v>46215</v>
      </c>
      <c r="F598">
        <v>7</v>
      </c>
      <c r="G598" t="s">
        <v>25</v>
      </c>
      <c r="K598">
        <v>779000</v>
      </c>
      <c r="L598">
        <v>100</v>
      </c>
      <c r="M598">
        <v>77900000</v>
      </c>
      <c r="N598" s="19">
        <v>0</v>
      </c>
      <c r="O598" s="19">
        <v>0</v>
      </c>
      <c r="P598" t="str">
        <f t="shared" si="2"/>
        <v>Shark Floorcare</v>
      </c>
      <c r="Q598" t="str">
        <f t="shared" si="3"/>
        <v>FW</v>
      </c>
    </row>
    <row r="599" spans="1:17" x14ac:dyDescent="0.35">
      <c r="A599" t="str">
        <f>_xlfn.XLOOKUP(B599,Mapping!C:C,Mapping!D:D)</f>
        <v>PP</v>
      </c>
      <c r="B599" t="s">
        <v>154</v>
      </c>
      <c r="C599" t="s">
        <v>154</v>
      </c>
      <c r="D599" s="3">
        <v>46212</v>
      </c>
      <c r="E599" s="3">
        <v>46215</v>
      </c>
      <c r="F599">
        <v>4</v>
      </c>
      <c r="G599" t="s">
        <v>35</v>
      </c>
      <c r="H599">
        <v>599000</v>
      </c>
      <c r="I599">
        <v>549000</v>
      </c>
      <c r="J599">
        <v>499000</v>
      </c>
      <c r="K599">
        <v>129900</v>
      </c>
      <c r="L599">
        <v>300</v>
      </c>
      <c r="M599">
        <v>38970000</v>
      </c>
      <c r="N599" s="19">
        <v>35427272.727272727</v>
      </c>
      <c r="O599" s="19">
        <v>22319181.81818182</v>
      </c>
      <c r="P599" t="str">
        <f t="shared" si="2"/>
        <v>Shark Floorcare</v>
      </c>
      <c r="Q599" t="str">
        <f t="shared" si="3"/>
        <v>FW</v>
      </c>
    </row>
    <row r="600" spans="1:17" x14ac:dyDescent="0.35">
      <c r="A600" t="str">
        <f>_xlfn.XLOOKUP(B600,Mapping!C:C,Mapping!D:D)</f>
        <v>PP</v>
      </c>
      <c r="B600" t="s">
        <v>154</v>
      </c>
      <c r="C600" t="s">
        <v>154</v>
      </c>
      <c r="D600" s="3">
        <v>46223</v>
      </c>
      <c r="E600" s="3">
        <v>46225</v>
      </c>
      <c r="F600">
        <v>3</v>
      </c>
      <c r="G600" t="s">
        <v>43</v>
      </c>
      <c r="H600">
        <v>849000</v>
      </c>
      <c r="I600">
        <v>749000</v>
      </c>
      <c r="J600">
        <v>699000</v>
      </c>
      <c r="K600">
        <v>699000</v>
      </c>
      <c r="L600">
        <v>300</v>
      </c>
      <c r="M600">
        <v>209700000</v>
      </c>
      <c r="N600" s="19">
        <v>190636363.63636363</v>
      </c>
      <c r="O600" s="19">
        <v>120100909.09090908</v>
      </c>
      <c r="P600" t="str">
        <f t="shared" si="2"/>
        <v>Shark Floorcare</v>
      </c>
      <c r="Q600" t="str">
        <f t="shared" si="3"/>
        <v>FW</v>
      </c>
    </row>
    <row r="601" spans="1:17" x14ac:dyDescent="0.35">
      <c r="A601" t="str">
        <f>_xlfn.XLOOKUP(B601,Mapping!C:C,Mapping!D:D)</f>
        <v>PP</v>
      </c>
      <c r="B601" t="s">
        <v>154</v>
      </c>
      <c r="C601" t="s">
        <v>154</v>
      </c>
      <c r="D601" s="3">
        <v>46223</v>
      </c>
      <c r="E601" s="3">
        <v>46225</v>
      </c>
      <c r="F601">
        <v>3</v>
      </c>
      <c r="G601" t="s">
        <v>305</v>
      </c>
      <c r="H601" t="s">
        <v>115</v>
      </c>
      <c r="I601" t="s">
        <v>115</v>
      </c>
      <c r="J601" t="s">
        <v>115</v>
      </c>
      <c r="K601">
        <v>129900</v>
      </c>
      <c r="L601">
        <v>1000</v>
      </c>
      <c r="M601">
        <v>129900000</v>
      </c>
      <c r="N601" s="19">
        <v>118090909.09090909</v>
      </c>
      <c r="O601" s="19">
        <v>74397272.727272719</v>
      </c>
      <c r="P601" t="str">
        <f t="shared" si="2"/>
        <v>Not Found</v>
      </c>
      <c r="Q601" t="str">
        <f t="shared" si="3"/>
        <v>Not Found</v>
      </c>
    </row>
    <row r="602" spans="1:17" x14ac:dyDescent="0.35">
      <c r="A602" t="str">
        <f>_xlfn.XLOOKUP(B602,Mapping!C:C,Mapping!D:D)</f>
        <v>PP</v>
      </c>
      <c r="B602" t="s">
        <v>154</v>
      </c>
      <c r="C602" t="s">
        <v>154</v>
      </c>
      <c r="D602" s="3">
        <v>46216</v>
      </c>
      <c r="E602" s="3">
        <v>46218</v>
      </c>
      <c r="F602">
        <v>3</v>
      </c>
      <c r="G602" t="s">
        <v>38</v>
      </c>
      <c r="H602">
        <v>429900</v>
      </c>
      <c r="I602">
        <v>399900</v>
      </c>
      <c r="J602">
        <v>349900</v>
      </c>
      <c r="K602">
        <v>399900</v>
      </c>
      <c r="L602">
        <v>300</v>
      </c>
      <c r="M602">
        <v>119970000</v>
      </c>
      <c r="N602" s="19">
        <v>109063636.36363636</v>
      </c>
      <c r="O602" s="19">
        <v>68710090.909090906</v>
      </c>
      <c r="P602" t="str">
        <f t="shared" si="2"/>
        <v>Ninja Heated</v>
      </c>
      <c r="Q602" t="str">
        <f t="shared" si="3"/>
        <v>Grill</v>
      </c>
    </row>
    <row r="603" spans="1:17" x14ac:dyDescent="0.35">
      <c r="A603" t="str">
        <f>_xlfn.XLOOKUP(B603,Mapping!C:C,Mapping!D:D)</f>
        <v>other Online malls</v>
      </c>
      <c r="B603" t="s">
        <v>292</v>
      </c>
      <c r="C603" t="s">
        <v>287</v>
      </c>
      <c r="D603" s="3">
        <v>46204</v>
      </c>
      <c r="E603" s="3">
        <v>46208</v>
      </c>
      <c r="F603">
        <v>5</v>
      </c>
      <c r="G603" t="s">
        <v>32</v>
      </c>
      <c r="H603">
        <v>349900</v>
      </c>
      <c r="I603">
        <v>299900</v>
      </c>
      <c r="J603">
        <v>269900</v>
      </c>
      <c r="K603">
        <v>299900</v>
      </c>
      <c r="L603">
        <v>10</v>
      </c>
      <c r="M603">
        <v>2699000</v>
      </c>
      <c r="N603" s="19">
        <v>2726363.6363636358</v>
      </c>
      <c r="O603" s="19">
        <v>2726363.6363636358</v>
      </c>
      <c r="P603" t="str">
        <f t="shared" si="2"/>
        <v>Ninja Motorized</v>
      </c>
      <c r="Q603" t="str">
        <f t="shared" si="3"/>
        <v>Icecream</v>
      </c>
    </row>
    <row r="604" spans="1:17" x14ac:dyDescent="0.35">
      <c r="A604" t="str">
        <f>_xlfn.XLOOKUP(B604,Mapping!C:C,Mapping!D:D)</f>
        <v>other Online malls</v>
      </c>
      <c r="B604" t="s">
        <v>292</v>
      </c>
      <c r="C604" t="s">
        <v>287</v>
      </c>
      <c r="D604" s="3">
        <v>46204</v>
      </c>
      <c r="E604" s="3">
        <v>46208</v>
      </c>
      <c r="F604">
        <v>5</v>
      </c>
      <c r="G604" t="s">
        <v>86</v>
      </c>
      <c r="H604">
        <v>149900</v>
      </c>
      <c r="I604">
        <v>139900</v>
      </c>
      <c r="J604">
        <v>109900</v>
      </c>
      <c r="K604">
        <v>109900</v>
      </c>
      <c r="L604">
        <v>8</v>
      </c>
      <c r="M604">
        <v>879200</v>
      </c>
      <c r="N604" s="19">
        <v>799272.72727272718</v>
      </c>
      <c r="O604" s="19">
        <v>799272.72727272718</v>
      </c>
      <c r="P604" t="str">
        <f t="shared" si="2"/>
        <v>Ninja Motorized</v>
      </c>
      <c r="Q604" t="str">
        <f t="shared" si="3"/>
        <v>Portable</v>
      </c>
    </row>
    <row r="605" spans="1:17" x14ac:dyDescent="0.35">
      <c r="A605" t="str">
        <f>_xlfn.XLOOKUP(B605,Mapping!C:C,Mapping!D:D)</f>
        <v>other Online malls</v>
      </c>
      <c r="B605" t="s">
        <v>292</v>
      </c>
      <c r="C605" t="s">
        <v>287</v>
      </c>
      <c r="D605" s="3">
        <v>46204</v>
      </c>
      <c r="E605" s="3">
        <v>46208</v>
      </c>
      <c r="F605">
        <v>5</v>
      </c>
      <c r="G605" t="s">
        <v>90</v>
      </c>
      <c r="H605">
        <v>149900</v>
      </c>
      <c r="I605">
        <v>139900</v>
      </c>
      <c r="J605">
        <v>109900</v>
      </c>
      <c r="K605">
        <v>109900</v>
      </c>
      <c r="L605">
        <v>5</v>
      </c>
      <c r="M605">
        <v>549500</v>
      </c>
      <c r="N605" s="19">
        <v>499545.45454545447</v>
      </c>
      <c r="O605" s="19">
        <v>499545.45454545447</v>
      </c>
      <c r="P605" t="str">
        <f t="shared" si="2"/>
        <v>Ninja Motorized</v>
      </c>
      <c r="Q605" t="str">
        <f t="shared" si="3"/>
        <v>Portable</v>
      </c>
    </row>
    <row r="606" spans="1:17" x14ac:dyDescent="0.35">
      <c r="A606" t="str">
        <f>_xlfn.XLOOKUP(B606,Mapping!C:C,Mapping!D:D)</f>
        <v>other Online malls</v>
      </c>
      <c r="B606" t="s">
        <v>292</v>
      </c>
      <c r="C606" t="s">
        <v>287</v>
      </c>
      <c r="D606" s="3">
        <v>46204</v>
      </c>
      <c r="E606" s="3">
        <v>46208</v>
      </c>
      <c r="F606">
        <v>5</v>
      </c>
      <c r="G606" t="s">
        <v>101</v>
      </c>
      <c r="H606">
        <v>149900</v>
      </c>
      <c r="I606">
        <v>139900</v>
      </c>
      <c r="J606">
        <v>109900</v>
      </c>
      <c r="K606">
        <v>109900</v>
      </c>
      <c r="L606">
        <v>5</v>
      </c>
      <c r="M606">
        <v>549500</v>
      </c>
      <c r="N606" s="19">
        <v>499545.45454545447</v>
      </c>
      <c r="O606" s="19">
        <v>499545.45454545447</v>
      </c>
      <c r="P606" t="str">
        <f t="shared" si="2"/>
        <v>Ninja Motorized</v>
      </c>
      <c r="Q606" t="str">
        <f t="shared" si="3"/>
        <v>Portable</v>
      </c>
    </row>
    <row r="607" spans="1:17" x14ac:dyDescent="0.35">
      <c r="A607" t="str">
        <f>_xlfn.XLOOKUP(B607,Mapping!C:C,Mapping!D:D)</f>
        <v>other Online malls</v>
      </c>
      <c r="B607" t="s">
        <v>292</v>
      </c>
      <c r="C607" t="s">
        <v>287</v>
      </c>
      <c r="D607" s="3">
        <v>46204</v>
      </c>
      <c r="E607" s="3">
        <v>46208</v>
      </c>
      <c r="F607">
        <v>5</v>
      </c>
      <c r="G607" t="s">
        <v>102</v>
      </c>
      <c r="H607">
        <v>149900</v>
      </c>
      <c r="I607">
        <v>139900</v>
      </c>
      <c r="J607">
        <v>109900</v>
      </c>
      <c r="K607">
        <v>109900</v>
      </c>
      <c r="L607">
        <v>5</v>
      </c>
      <c r="M607">
        <v>549500</v>
      </c>
      <c r="N607" s="19">
        <v>499545.45454545447</v>
      </c>
      <c r="O607" s="19">
        <v>499545.45454545447</v>
      </c>
      <c r="P607" t="str">
        <f t="shared" si="2"/>
        <v>Ninja Motorized</v>
      </c>
      <c r="Q607" t="str">
        <f t="shared" si="3"/>
        <v>Portable</v>
      </c>
    </row>
    <row r="608" spans="1:17" x14ac:dyDescent="0.35">
      <c r="A608" t="str">
        <f>_xlfn.XLOOKUP(B608,Mapping!C:C,Mapping!D:D)</f>
        <v>other Online malls</v>
      </c>
      <c r="B608" t="s">
        <v>292</v>
      </c>
      <c r="C608" t="s">
        <v>287</v>
      </c>
      <c r="D608" s="3">
        <v>46204</v>
      </c>
      <c r="E608" s="3">
        <v>46208</v>
      </c>
      <c r="F608">
        <v>5</v>
      </c>
      <c r="G608" t="s">
        <v>103</v>
      </c>
      <c r="H608">
        <v>149900</v>
      </c>
      <c r="I608">
        <v>139900</v>
      </c>
      <c r="J608">
        <v>109900</v>
      </c>
      <c r="K608">
        <v>109900</v>
      </c>
      <c r="L608">
        <v>5</v>
      </c>
      <c r="M608">
        <v>549500</v>
      </c>
      <c r="N608" s="19">
        <v>499545.45454545447</v>
      </c>
      <c r="O608" s="19">
        <v>499545.45454545447</v>
      </c>
      <c r="P608" t="str">
        <f t="shared" si="2"/>
        <v>Ninja Motorized</v>
      </c>
      <c r="Q608" t="str">
        <f t="shared" si="3"/>
        <v>Portable</v>
      </c>
    </row>
    <row r="609" spans="1:17" x14ac:dyDescent="0.35">
      <c r="A609" t="str">
        <f>_xlfn.XLOOKUP(B609,Mapping!C:C,Mapping!D:D)</f>
        <v>other Online malls</v>
      </c>
      <c r="B609" t="s">
        <v>292</v>
      </c>
      <c r="C609" t="s">
        <v>287</v>
      </c>
      <c r="D609" s="3">
        <v>46204</v>
      </c>
      <c r="E609" s="3">
        <v>46208</v>
      </c>
      <c r="F609">
        <v>5</v>
      </c>
      <c r="G609" t="s">
        <v>109</v>
      </c>
      <c r="H609">
        <v>249900</v>
      </c>
      <c r="I609">
        <v>219900</v>
      </c>
      <c r="J609">
        <v>199900</v>
      </c>
      <c r="K609">
        <v>199900</v>
      </c>
      <c r="L609">
        <v>5</v>
      </c>
      <c r="M609">
        <v>999500</v>
      </c>
      <c r="N609" s="19">
        <v>908636.36363636353</v>
      </c>
      <c r="O609" s="19">
        <v>908636.36363636353</v>
      </c>
      <c r="P609" t="str">
        <f t="shared" si="2"/>
        <v>Shark Fan</v>
      </c>
      <c r="Q609" t="str">
        <f t="shared" si="3"/>
        <v>Fan</v>
      </c>
    </row>
    <row r="610" spans="1:17" x14ac:dyDescent="0.35">
      <c r="A610" t="str">
        <f>_xlfn.XLOOKUP(B610,Mapping!C:C,Mapping!D:D)</f>
        <v>other Online malls</v>
      </c>
      <c r="B610" t="s">
        <v>292</v>
      </c>
      <c r="C610" t="s">
        <v>287</v>
      </c>
      <c r="D610" s="3">
        <v>46204</v>
      </c>
      <c r="E610" s="3">
        <v>46208</v>
      </c>
      <c r="F610">
        <v>5</v>
      </c>
      <c r="G610" t="s">
        <v>111</v>
      </c>
      <c r="H610">
        <v>249900</v>
      </c>
      <c r="I610">
        <v>219900</v>
      </c>
      <c r="J610">
        <v>199900</v>
      </c>
      <c r="K610">
        <v>199900</v>
      </c>
      <c r="L610">
        <v>5</v>
      </c>
      <c r="M610">
        <v>999500</v>
      </c>
      <c r="N610" s="19">
        <v>908636.36363636353</v>
      </c>
      <c r="O610" s="19">
        <v>908636.36363636353</v>
      </c>
      <c r="P610" t="str">
        <f t="shared" si="2"/>
        <v>Shark Fan</v>
      </c>
      <c r="Q610" t="str">
        <f t="shared" si="3"/>
        <v>Fan</v>
      </c>
    </row>
    <row r="611" spans="1:17" x14ac:dyDescent="0.35">
      <c r="A611" t="str">
        <f>_xlfn.XLOOKUP(B611,Mapping!C:C,Mapping!D:D)</f>
        <v>other Online malls</v>
      </c>
      <c r="B611" t="s">
        <v>292</v>
      </c>
      <c r="C611" t="s">
        <v>287</v>
      </c>
      <c r="D611" s="3">
        <v>46204</v>
      </c>
      <c r="E611" s="3">
        <v>46208</v>
      </c>
      <c r="F611">
        <v>5</v>
      </c>
      <c r="G611" t="s">
        <v>87</v>
      </c>
      <c r="H611">
        <v>219900</v>
      </c>
      <c r="I611">
        <v>199900</v>
      </c>
      <c r="J611">
        <v>179900</v>
      </c>
      <c r="K611">
        <v>149900</v>
      </c>
      <c r="L611">
        <v>8</v>
      </c>
      <c r="M611">
        <v>1439200</v>
      </c>
      <c r="N611" s="19">
        <v>1090181.8181818181</v>
      </c>
      <c r="O611" s="19">
        <v>1090181.8181818181</v>
      </c>
      <c r="P611" t="str">
        <f t="shared" si="2"/>
        <v>Shark Fan</v>
      </c>
      <c r="Q611" t="str">
        <f t="shared" si="3"/>
        <v>Fan</v>
      </c>
    </row>
    <row r="612" spans="1:17" x14ac:dyDescent="0.35">
      <c r="A612" t="str">
        <f>_xlfn.XLOOKUP(B612,Mapping!C:C,Mapping!D:D)</f>
        <v>other Online malls</v>
      </c>
      <c r="B612" t="s">
        <v>292</v>
      </c>
      <c r="C612" t="s">
        <v>287</v>
      </c>
      <c r="D612" s="3">
        <v>46204</v>
      </c>
      <c r="E612" s="3">
        <v>46208</v>
      </c>
      <c r="F612">
        <v>5</v>
      </c>
      <c r="G612" t="s">
        <v>99</v>
      </c>
      <c r="H612">
        <v>219900</v>
      </c>
      <c r="I612">
        <v>199900</v>
      </c>
      <c r="J612">
        <v>179900</v>
      </c>
      <c r="K612">
        <v>149900</v>
      </c>
      <c r="L612">
        <v>8</v>
      </c>
      <c r="M612">
        <v>1439200</v>
      </c>
      <c r="N612" s="19">
        <v>1090181.8181818181</v>
      </c>
      <c r="O612" s="19">
        <v>1090181.8181818181</v>
      </c>
      <c r="P612" t="str">
        <f t="shared" si="2"/>
        <v>Shark Fan</v>
      </c>
      <c r="Q612" t="str">
        <f t="shared" si="3"/>
        <v>Fan</v>
      </c>
    </row>
    <row r="613" spans="1:17" x14ac:dyDescent="0.35">
      <c r="A613" t="str">
        <f>_xlfn.XLOOKUP(B613,Mapping!C:C,Mapping!D:D)</f>
        <v>other Online malls</v>
      </c>
      <c r="B613" t="s">
        <v>292</v>
      </c>
      <c r="C613" t="s">
        <v>287</v>
      </c>
      <c r="D613" s="3">
        <v>46204</v>
      </c>
      <c r="E613" s="3">
        <v>46208</v>
      </c>
      <c r="F613">
        <v>5</v>
      </c>
      <c r="G613" t="s">
        <v>91</v>
      </c>
      <c r="H613">
        <v>219900</v>
      </c>
      <c r="I613">
        <v>199900</v>
      </c>
      <c r="J613">
        <v>179900</v>
      </c>
      <c r="K613">
        <v>149900</v>
      </c>
      <c r="L613">
        <v>8</v>
      </c>
      <c r="M613">
        <v>1439200</v>
      </c>
      <c r="N613" s="19">
        <v>1090181.8181818181</v>
      </c>
      <c r="O613" s="19">
        <v>1090181.8181818181</v>
      </c>
      <c r="P613" t="str">
        <f t="shared" si="2"/>
        <v>Shark Fan</v>
      </c>
      <c r="Q613" t="str">
        <f t="shared" si="3"/>
        <v>Fan</v>
      </c>
    </row>
    <row r="614" spans="1:17" x14ac:dyDescent="0.35">
      <c r="A614" t="str">
        <f>_xlfn.XLOOKUP(B614,Mapping!C:C,Mapping!D:D)</f>
        <v>other Online malls</v>
      </c>
      <c r="B614" t="s">
        <v>292</v>
      </c>
      <c r="C614" t="s">
        <v>287</v>
      </c>
      <c r="D614" s="3">
        <v>46204</v>
      </c>
      <c r="E614" s="3">
        <v>46208</v>
      </c>
      <c r="F614">
        <v>5</v>
      </c>
      <c r="G614" t="s">
        <v>39</v>
      </c>
      <c r="H614">
        <v>249900</v>
      </c>
      <c r="I614">
        <v>199900</v>
      </c>
      <c r="J614">
        <v>189900</v>
      </c>
      <c r="K614">
        <v>199900</v>
      </c>
      <c r="L614">
        <v>2</v>
      </c>
      <c r="M614">
        <v>379800</v>
      </c>
      <c r="N614" s="19">
        <v>363454.54545454541</v>
      </c>
      <c r="O614" s="19">
        <v>363454.54545454541</v>
      </c>
      <c r="P614" t="str">
        <f t="shared" si="2"/>
        <v>Ninja Motorized</v>
      </c>
      <c r="Q614" t="str">
        <f t="shared" si="3"/>
        <v>Trad</v>
      </c>
    </row>
    <row r="615" spans="1:17" x14ac:dyDescent="0.35">
      <c r="A615" t="str">
        <f>_xlfn.XLOOKUP(B615,Mapping!C:C,Mapping!D:D)</f>
        <v>other Online malls</v>
      </c>
      <c r="B615" t="s">
        <v>292</v>
      </c>
      <c r="C615" t="s">
        <v>287</v>
      </c>
      <c r="D615" s="3">
        <v>46204</v>
      </c>
      <c r="E615" s="3">
        <v>46208</v>
      </c>
      <c r="F615">
        <v>5</v>
      </c>
      <c r="G615" t="s">
        <v>84</v>
      </c>
      <c r="H615">
        <v>169900</v>
      </c>
      <c r="I615">
        <v>149900</v>
      </c>
      <c r="J615">
        <v>129900</v>
      </c>
      <c r="K615">
        <v>149900</v>
      </c>
      <c r="L615">
        <v>2</v>
      </c>
      <c r="M615">
        <v>259800</v>
      </c>
      <c r="N615" s="19">
        <v>272545.45454545453</v>
      </c>
      <c r="O615" s="19">
        <v>272545.45454545453</v>
      </c>
      <c r="P615" t="str">
        <f t="shared" si="2"/>
        <v>Ninja Motorized</v>
      </c>
      <c r="Q615" t="str">
        <f t="shared" si="3"/>
        <v>Trad</v>
      </c>
    </row>
    <row r="616" spans="1:17" x14ac:dyDescent="0.35">
      <c r="A616" t="str">
        <f>_xlfn.XLOOKUP(B616,Mapping!C:C,Mapping!D:D)</f>
        <v>other Online malls</v>
      </c>
      <c r="B616" t="s">
        <v>292</v>
      </c>
      <c r="C616" t="s">
        <v>287</v>
      </c>
      <c r="D616" s="3">
        <v>46204</v>
      </c>
      <c r="E616" s="3">
        <v>46208</v>
      </c>
      <c r="F616">
        <v>5</v>
      </c>
      <c r="G616" t="s">
        <v>26</v>
      </c>
      <c r="H616">
        <v>899000</v>
      </c>
      <c r="I616">
        <v>849000</v>
      </c>
      <c r="J616">
        <v>799000</v>
      </c>
      <c r="K616">
        <v>799000</v>
      </c>
      <c r="L616">
        <v>2</v>
      </c>
      <c r="M616">
        <v>1598000</v>
      </c>
      <c r="N616" s="19">
        <v>1452727.2727272727</v>
      </c>
      <c r="O616" s="19">
        <v>1452727.2727272727</v>
      </c>
      <c r="P616" t="str">
        <f t="shared" si="2"/>
        <v>Shark Floorcare</v>
      </c>
      <c r="Q616" t="str">
        <f t="shared" si="3"/>
        <v>FW</v>
      </c>
    </row>
    <row r="617" spans="1:17" x14ac:dyDescent="0.35">
      <c r="A617" t="str">
        <f>_xlfn.XLOOKUP(B617,Mapping!C:C,Mapping!D:D)</f>
        <v>other Online malls</v>
      </c>
      <c r="B617" t="s">
        <v>292</v>
      </c>
      <c r="C617" t="s">
        <v>287</v>
      </c>
      <c r="D617" s="3">
        <v>46204</v>
      </c>
      <c r="E617" s="3">
        <v>46208</v>
      </c>
      <c r="F617">
        <v>5</v>
      </c>
      <c r="G617" t="s">
        <v>108</v>
      </c>
      <c r="H617">
        <v>199900</v>
      </c>
      <c r="I617">
        <v>179900</v>
      </c>
      <c r="J617">
        <v>169900</v>
      </c>
      <c r="K617">
        <v>179900</v>
      </c>
      <c r="L617">
        <v>2</v>
      </c>
      <c r="M617">
        <v>339800</v>
      </c>
      <c r="N617" s="19">
        <v>327090.90909090906</v>
      </c>
      <c r="O617" s="19">
        <v>327090.90909090906</v>
      </c>
      <c r="P617" t="str">
        <f t="shared" si="2"/>
        <v>Shark Floorcare</v>
      </c>
      <c r="Q617" t="str">
        <f t="shared" si="3"/>
        <v>WV</v>
      </c>
    </row>
    <row r="618" spans="1:17" x14ac:dyDescent="0.35">
      <c r="A618" t="str">
        <f>_xlfn.XLOOKUP(B618,Mapping!C:C,Mapping!D:D)</f>
        <v>other Online malls</v>
      </c>
      <c r="B618" t="s">
        <v>292</v>
      </c>
      <c r="C618" t="s">
        <v>287</v>
      </c>
      <c r="D618" s="3">
        <v>46204</v>
      </c>
      <c r="E618" s="3">
        <v>46208</v>
      </c>
      <c r="F618">
        <v>5</v>
      </c>
      <c r="G618" t="s">
        <v>96</v>
      </c>
      <c r="H618">
        <v>139900</v>
      </c>
      <c r="I618">
        <v>119900</v>
      </c>
      <c r="J618">
        <v>99900</v>
      </c>
      <c r="K618">
        <v>119900</v>
      </c>
      <c r="L618">
        <v>10</v>
      </c>
      <c r="M618">
        <v>999000</v>
      </c>
      <c r="N618" s="19">
        <v>1089999.9999999998</v>
      </c>
      <c r="O618" s="19">
        <v>1089999.9999999998</v>
      </c>
      <c r="P618" t="str">
        <f t="shared" si="2"/>
        <v>Shark Floorcare</v>
      </c>
      <c r="Q618" t="str">
        <f t="shared" si="3"/>
        <v>WV</v>
      </c>
    </row>
    <row r="619" spans="1:17" x14ac:dyDescent="0.35">
      <c r="A619" t="str">
        <f>_xlfn.XLOOKUP(B619,Mapping!C:C,Mapping!D:D)</f>
        <v>other Online malls</v>
      </c>
      <c r="B619" t="s">
        <v>292</v>
      </c>
      <c r="C619" t="s">
        <v>287</v>
      </c>
      <c r="D619" s="3">
        <v>46204</v>
      </c>
      <c r="E619" s="3">
        <v>46208</v>
      </c>
      <c r="F619">
        <v>5</v>
      </c>
      <c r="G619" t="s">
        <v>28</v>
      </c>
      <c r="H619">
        <v>299900</v>
      </c>
      <c r="I619">
        <v>219900</v>
      </c>
      <c r="J619">
        <v>219900</v>
      </c>
      <c r="K619">
        <v>219900</v>
      </c>
      <c r="L619">
        <v>2</v>
      </c>
      <c r="M619">
        <v>439800</v>
      </c>
      <c r="N619" s="19">
        <v>399818.18181818177</v>
      </c>
      <c r="O619" s="19">
        <v>399818.18181818177</v>
      </c>
      <c r="P619" t="str">
        <f t="shared" si="2"/>
        <v>Shark Floorcare</v>
      </c>
      <c r="Q619" t="str">
        <f t="shared" si="3"/>
        <v>WD</v>
      </c>
    </row>
    <row r="620" spans="1:17" x14ac:dyDescent="0.35">
      <c r="A620" t="str">
        <f>_xlfn.XLOOKUP(B620,Mapping!C:C,Mapping!D:D)</f>
        <v>other Online malls</v>
      </c>
      <c r="B620" t="s">
        <v>292</v>
      </c>
      <c r="C620" t="s">
        <v>287</v>
      </c>
      <c r="D620" s="3">
        <v>46204</v>
      </c>
      <c r="E620" s="3">
        <v>46208</v>
      </c>
      <c r="F620">
        <v>5</v>
      </c>
      <c r="G620" t="s">
        <v>36</v>
      </c>
      <c r="H620">
        <v>469900</v>
      </c>
      <c r="I620">
        <v>399900</v>
      </c>
      <c r="J620">
        <v>399000</v>
      </c>
      <c r="K620">
        <v>399000</v>
      </c>
      <c r="L620">
        <v>2</v>
      </c>
      <c r="M620">
        <v>798000</v>
      </c>
      <c r="N620" s="19">
        <v>725454.54545454541</v>
      </c>
      <c r="O620" s="19">
        <v>725454.54545454541</v>
      </c>
      <c r="P620" t="str">
        <f t="shared" si="2"/>
        <v>Shark Floorcare</v>
      </c>
      <c r="Q620" t="str">
        <f t="shared" si="3"/>
        <v>WD</v>
      </c>
    </row>
    <row r="621" spans="1:17" x14ac:dyDescent="0.35">
      <c r="A621" t="str">
        <f>_xlfn.XLOOKUP(B621,Mapping!C:C,Mapping!D:D)</f>
        <v>other Online malls</v>
      </c>
      <c r="B621" t="s">
        <v>292</v>
      </c>
      <c r="C621" t="s">
        <v>287</v>
      </c>
      <c r="D621" s="3">
        <v>46204</v>
      </c>
      <c r="E621" s="3">
        <v>46208</v>
      </c>
      <c r="F621">
        <v>5</v>
      </c>
      <c r="G621" t="s">
        <v>85</v>
      </c>
      <c r="H621">
        <v>349900</v>
      </c>
      <c r="I621">
        <v>319900</v>
      </c>
      <c r="J621">
        <v>299900</v>
      </c>
      <c r="K621">
        <v>299900</v>
      </c>
      <c r="L621">
        <v>2</v>
      </c>
      <c r="M621">
        <v>599800</v>
      </c>
      <c r="N621" s="19">
        <v>545272.72727272718</v>
      </c>
      <c r="O621" s="19">
        <v>545272.72727272718</v>
      </c>
      <c r="P621" t="str">
        <f t="shared" si="2"/>
        <v>Ninja Motorized</v>
      </c>
      <c r="Q621" t="str">
        <f t="shared" si="3"/>
        <v>Kitchen</v>
      </c>
    </row>
    <row r="622" spans="1:17" x14ac:dyDescent="0.35">
      <c r="A622" t="str">
        <f>_xlfn.XLOOKUP(B622,Mapping!C:C,Mapping!D:D)</f>
        <v>other Online malls</v>
      </c>
      <c r="B622" t="s">
        <v>293</v>
      </c>
      <c r="C622" t="s">
        <v>287</v>
      </c>
      <c r="D622" s="3">
        <v>46204</v>
      </c>
      <c r="E622" s="3">
        <v>46208</v>
      </c>
      <c r="F622">
        <v>5</v>
      </c>
      <c r="G622" t="s">
        <v>32</v>
      </c>
      <c r="H622">
        <v>349900</v>
      </c>
      <c r="I622">
        <v>299900</v>
      </c>
      <c r="J622">
        <v>269900</v>
      </c>
      <c r="K622">
        <v>299900</v>
      </c>
      <c r="L622">
        <v>5</v>
      </c>
      <c r="M622">
        <v>1349500</v>
      </c>
      <c r="N622" s="19">
        <v>1363181.8181818179</v>
      </c>
      <c r="O622" s="19">
        <v>1363181.8181818179</v>
      </c>
      <c r="P622" t="str">
        <f t="shared" si="2"/>
        <v>Ninja Motorized</v>
      </c>
      <c r="Q622" t="str">
        <f t="shared" si="3"/>
        <v>Icecream</v>
      </c>
    </row>
    <row r="623" spans="1:17" x14ac:dyDescent="0.35">
      <c r="A623" t="str">
        <f>_xlfn.XLOOKUP(B623,Mapping!C:C,Mapping!D:D)</f>
        <v>other Online malls</v>
      </c>
      <c r="B623" t="s">
        <v>293</v>
      </c>
      <c r="C623" t="s">
        <v>287</v>
      </c>
      <c r="D623" s="3">
        <v>46204</v>
      </c>
      <c r="E623" s="3">
        <v>46208</v>
      </c>
      <c r="F623">
        <v>5</v>
      </c>
      <c r="G623" t="s">
        <v>86</v>
      </c>
      <c r="H623">
        <v>149900</v>
      </c>
      <c r="I623">
        <v>139900</v>
      </c>
      <c r="J623">
        <v>109900</v>
      </c>
      <c r="K623">
        <v>109900</v>
      </c>
      <c r="L623">
        <v>4</v>
      </c>
      <c r="M623">
        <v>439600</v>
      </c>
      <c r="N623" s="19">
        <v>399636.36363636359</v>
      </c>
      <c r="O623" s="19">
        <v>399636.36363636359</v>
      </c>
      <c r="P623" t="str">
        <f t="shared" si="2"/>
        <v>Ninja Motorized</v>
      </c>
      <c r="Q623" t="str">
        <f t="shared" si="3"/>
        <v>Portable</v>
      </c>
    </row>
    <row r="624" spans="1:17" x14ac:dyDescent="0.35">
      <c r="A624" t="str">
        <f>_xlfn.XLOOKUP(B624,Mapping!C:C,Mapping!D:D)</f>
        <v>other Online malls</v>
      </c>
      <c r="B624" t="s">
        <v>293</v>
      </c>
      <c r="C624" t="s">
        <v>287</v>
      </c>
      <c r="D624" s="3">
        <v>46204</v>
      </c>
      <c r="E624" s="3">
        <v>46208</v>
      </c>
      <c r="F624">
        <v>5</v>
      </c>
      <c r="G624" t="s">
        <v>90</v>
      </c>
      <c r="H624">
        <v>149900</v>
      </c>
      <c r="I624">
        <v>139900</v>
      </c>
      <c r="J624">
        <v>109900</v>
      </c>
      <c r="K624">
        <v>109900</v>
      </c>
      <c r="L624">
        <v>3</v>
      </c>
      <c r="M624">
        <v>329700</v>
      </c>
      <c r="N624" s="19">
        <v>299727.27272727271</v>
      </c>
      <c r="O624" s="19">
        <v>299727.27272727271</v>
      </c>
      <c r="P624" t="str">
        <f t="shared" si="2"/>
        <v>Ninja Motorized</v>
      </c>
      <c r="Q624" t="str">
        <f t="shared" si="3"/>
        <v>Portable</v>
      </c>
    </row>
    <row r="625" spans="1:17" x14ac:dyDescent="0.35">
      <c r="A625" t="str">
        <f>_xlfn.XLOOKUP(B625,Mapping!C:C,Mapping!D:D)</f>
        <v>other Online malls</v>
      </c>
      <c r="B625" t="s">
        <v>293</v>
      </c>
      <c r="C625" t="s">
        <v>287</v>
      </c>
      <c r="D625" s="3">
        <v>46204</v>
      </c>
      <c r="E625" s="3">
        <v>46208</v>
      </c>
      <c r="F625">
        <v>5</v>
      </c>
      <c r="G625" t="s">
        <v>101</v>
      </c>
      <c r="H625">
        <v>149900</v>
      </c>
      <c r="I625">
        <v>139900</v>
      </c>
      <c r="J625">
        <v>109900</v>
      </c>
      <c r="K625">
        <v>109900</v>
      </c>
      <c r="L625">
        <v>3</v>
      </c>
      <c r="M625">
        <v>329700</v>
      </c>
      <c r="N625" s="19">
        <v>299727.27272727271</v>
      </c>
      <c r="O625" s="19">
        <v>299727.27272727271</v>
      </c>
      <c r="P625" t="str">
        <f t="shared" si="2"/>
        <v>Ninja Motorized</v>
      </c>
      <c r="Q625" t="str">
        <f t="shared" si="3"/>
        <v>Portable</v>
      </c>
    </row>
    <row r="626" spans="1:17" x14ac:dyDescent="0.35">
      <c r="A626" t="str">
        <f>_xlfn.XLOOKUP(B626,Mapping!C:C,Mapping!D:D)</f>
        <v>other Online malls</v>
      </c>
      <c r="B626" t="s">
        <v>293</v>
      </c>
      <c r="C626" t="s">
        <v>287</v>
      </c>
      <c r="D626" s="3">
        <v>46204</v>
      </c>
      <c r="E626" s="3">
        <v>46208</v>
      </c>
      <c r="F626">
        <v>5</v>
      </c>
      <c r="G626" t="s">
        <v>102</v>
      </c>
      <c r="H626">
        <v>149900</v>
      </c>
      <c r="I626">
        <v>139900</v>
      </c>
      <c r="J626">
        <v>109900</v>
      </c>
      <c r="K626">
        <v>109900</v>
      </c>
      <c r="L626">
        <v>3</v>
      </c>
      <c r="M626">
        <v>329700</v>
      </c>
      <c r="N626" s="19">
        <v>299727.27272727271</v>
      </c>
      <c r="O626" s="19">
        <v>299727.27272727271</v>
      </c>
      <c r="P626" t="str">
        <f t="shared" si="2"/>
        <v>Ninja Motorized</v>
      </c>
      <c r="Q626" t="str">
        <f t="shared" si="3"/>
        <v>Portable</v>
      </c>
    </row>
    <row r="627" spans="1:17" x14ac:dyDescent="0.35">
      <c r="A627" t="str">
        <f>_xlfn.XLOOKUP(B627,Mapping!C:C,Mapping!D:D)</f>
        <v>other Online malls</v>
      </c>
      <c r="B627" t="s">
        <v>293</v>
      </c>
      <c r="C627" t="s">
        <v>287</v>
      </c>
      <c r="D627" s="3">
        <v>46204</v>
      </c>
      <c r="E627" s="3">
        <v>46208</v>
      </c>
      <c r="F627">
        <v>5</v>
      </c>
      <c r="G627" t="s">
        <v>103</v>
      </c>
      <c r="H627">
        <v>149900</v>
      </c>
      <c r="I627">
        <v>139900</v>
      </c>
      <c r="J627">
        <v>109900</v>
      </c>
      <c r="K627">
        <v>109900</v>
      </c>
      <c r="L627">
        <v>3</v>
      </c>
      <c r="M627">
        <v>329700</v>
      </c>
      <c r="N627" s="19">
        <v>299727.27272727271</v>
      </c>
      <c r="O627" s="19">
        <v>299727.27272727271</v>
      </c>
      <c r="P627" t="str">
        <f t="shared" si="2"/>
        <v>Ninja Motorized</v>
      </c>
      <c r="Q627" t="str">
        <f t="shared" si="3"/>
        <v>Portable</v>
      </c>
    </row>
    <row r="628" spans="1:17" x14ac:dyDescent="0.35">
      <c r="A628" t="str">
        <f>_xlfn.XLOOKUP(B628,Mapping!C:C,Mapping!D:D)</f>
        <v>other Online malls</v>
      </c>
      <c r="B628" t="s">
        <v>293</v>
      </c>
      <c r="C628" t="s">
        <v>287</v>
      </c>
      <c r="D628" s="3">
        <v>46204</v>
      </c>
      <c r="E628" s="3">
        <v>46208</v>
      </c>
      <c r="F628">
        <v>5</v>
      </c>
      <c r="G628" t="s">
        <v>109</v>
      </c>
      <c r="H628">
        <v>249900</v>
      </c>
      <c r="I628">
        <v>219900</v>
      </c>
      <c r="J628">
        <v>199900</v>
      </c>
      <c r="K628">
        <v>199900</v>
      </c>
      <c r="L628">
        <v>3</v>
      </c>
      <c r="M628">
        <v>599700</v>
      </c>
      <c r="N628" s="19">
        <v>545181.81818181812</v>
      </c>
      <c r="O628" s="19">
        <v>545181.81818181812</v>
      </c>
      <c r="P628" t="str">
        <f t="shared" si="2"/>
        <v>Shark Fan</v>
      </c>
      <c r="Q628" t="str">
        <f t="shared" si="3"/>
        <v>Fan</v>
      </c>
    </row>
    <row r="629" spans="1:17" x14ac:dyDescent="0.35">
      <c r="A629" t="str">
        <f>_xlfn.XLOOKUP(B629,Mapping!C:C,Mapping!D:D)</f>
        <v>other Online malls</v>
      </c>
      <c r="B629" t="s">
        <v>293</v>
      </c>
      <c r="C629" t="s">
        <v>287</v>
      </c>
      <c r="D629" s="3">
        <v>46204</v>
      </c>
      <c r="E629" s="3">
        <v>46208</v>
      </c>
      <c r="F629">
        <v>5</v>
      </c>
      <c r="G629" t="s">
        <v>111</v>
      </c>
      <c r="H629">
        <v>249900</v>
      </c>
      <c r="I629">
        <v>219900</v>
      </c>
      <c r="J629">
        <v>199900</v>
      </c>
      <c r="K629">
        <v>199900</v>
      </c>
      <c r="L629">
        <v>3</v>
      </c>
      <c r="M629">
        <v>599700</v>
      </c>
      <c r="N629" s="19">
        <v>545181.81818181812</v>
      </c>
      <c r="O629" s="19">
        <v>545181.81818181812</v>
      </c>
      <c r="P629" t="str">
        <f t="shared" si="2"/>
        <v>Shark Fan</v>
      </c>
      <c r="Q629" t="str">
        <f t="shared" si="3"/>
        <v>Fan</v>
      </c>
    </row>
    <row r="630" spans="1:17" x14ac:dyDescent="0.35">
      <c r="A630" t="str">
        <f>_xlfn.XLOOKUP(B630,Mapping!C:C,Mapping!D:D)</f>
        <v>other Online malls</v>
      </c>
      <c r="B630" t="s">
        <v>293</v>
      </c>
      <c r="C630" t="s">
        <v>287</v>
      </c>
      <c r="D630" s="3">
        <v>46204</v>
      </c>
      <c r="E630" s="3">
        <v>46208</v>
      </c>
      <c r="F630">
        <v>5</v>
      </c>
      <c r="G630" t="s">
        <v>87</v>
      </c>
      <c r="H630">
        <v>219900</v>
      </c>
      <c r="I630">
        <v>199900</v>
      </c>
      <c r="J630">
        <v>179900</v>
      </c>
      <c r="K630">
        <v>149900</v>
      </c>
      <c r="L630">
        <v>4</v>
      </c>
      <c r="M630">
        <v>719600</v>
      </c>
      <c r="N630" s="19">
        <v>545090.90909090906</v>
      </c>
      <c r="O630" s="19">
        <v>545090.90909090906</v>
      </c>
      <c r="P630" t="str">
        <f t="shared" si="2"/>
        <v>Shark Fan</v>
      </c>
      <c r="Q630" t="str">
        <f t="shared" si="3"/>
        <v>Fan</v>
      </c>
    </row>
    <row r="631" spans="1:17" x14ac:dyDescent="0.35">
      <c r="A631" t="str">
        <f>_xlfn.XLOOKUP(B631,Mapping!C:C,Mapping!D:D)</f>
        <v>other Online malls</v>
      </c>
      <c r="B631" t="s">
        <v>293</v>
      </c>
      <c r="C631" t="s">
        <v>287</v>
      </c>
      <c r="D631" s="3">
        <v>46204</v>
      </c>
      <c r="E631" s="3">
        <v>46208</v>
      </c>
      <c r="F631">
        <v>5</v>
      </c>
      <c r="G631" t="s">
        <v>99</v>
      </c>
      <c r="H631">
        <v>219900</v>
      </c>
      <c r="I631">
        <v>199900</v>
      </c>
      <c r="J631">
        <v>179900</v>
      </c>
      <c r="K631">
        <v>149900</v>
      </c>
      <c r="L631">
        <v>4</v>
      </c>
      <c r="M631">
        <v>719600</v>
      </c>
      <c r="N631" s="19">
        <v>545090.90909090906</v>
      </c>
      <c r="O631" s="19">
        <v>545090.90909090906</v>
      </c>
      <c r="P631" t="str">
        <f t="shared" si="2"/>
        <v>Shark Fan</v>
      </c>
      <c r="Q631" t="str">
        <f t="shared" si="3"/>
        <v>Fan</v>
      </c>
    </row>
    <row r="632" spans="1:17" x14ac:dyDescent="0.35">
      <c r="A632" t="str">
        <f>_xlfn.XLOOKUP(B632,Mapping!C:C,Mapping!D:D)</f>
        <v>other Online malls</v>
      </c>
      <c r="B632" t="s">
        <v>293</v>
      </c>
      <c r="C632" t="s">
        <v>287</v>
      </c>
      <c r="D632" s="3">
        <v>46204</v>
      </c>
      <c r="E632" s="3">
        <v>46208</v>
      </c>
      <c r="F632">
        <v>5</v>
      </c>
      <c r="G632" t="s">
        <v>91</v>
      </c>
      <c r="H632">
        <v>219900</v>
      </c>
      <c r="I632">
        <v>199900</v>
      </c>
      <c r="J632">
        <v>179900</v>
      </c>
      <c r="K632">
        <v>149900</v>
      </c>
      <c r="L632">
        <v>4</v>
      </c>
      <c r="M632">
        <v>719600</v>
      </c>
      <c r="N632" s="19">
        <v>545090.90909090906</v>
      </c>
      <c r="O632" s="19">
        <v>545090.90909090906</v>
      </c>
      <c r="P632" t="str">
        <f t="shared" si="2"/>
        <v>Shark Fan</v>
      </c>
      <c r="Q632" t="str">
        <f t="shared" si="3"/>
        <v>Fan</v>
      </c>
    </row>
    <row r="633" spans="1:17" x14ac:dyDescent="0.35">
      <c r="A633" t="str">
        <f>_xlfn.XLOOKUP(B633,Mapping!C:C,Mapping!D:D)</f>
        <v>other Online malls</v>
      </c>
      <c r="B633" t="s">
        <v>293</v>
      </c>
      <c r="C633" t="s">
        <v>287</v>
      </c>
      <c r="D633" s="3">
        <v>46204</v>
      </c>
      <c r="E633" s="3">
        <v>46208</v>
      </c>
      <c r="F633">
        <v>5</v>
      </c>
      <c r="G633" t="s">
        <v>97</v>
      </c>
      <c r="H633">
        <v>349900</v>
      </c>
      <c r="I633">
        <v>299900</v>
      </c>
      <c r="J633">
        <v>249900</v>
      </c>
      <c r="K633">
        <v>299900</v>
      </c>
      <c r="L633">
        <v>1</v>
      </c>
      <c r="M633">
        <v>249900</v>
      </c>
      <c r="N633" s="19">
        <v>272636.36363636359</v>
      </c>
      <c r="O633" s="19">
        <v>272636.36363636359</v>
      </c>
      <c r="P633" t="str">
        <f t="shared" si="2"/>
        <v>Ninja Heated</v>
      </c>
      <c r="Q633" t="str">
        <f t="shared" si="3"/>
        <v>Grill</v>
      </c>
    </row>
    <row r="634" spans="1:17" x14ac:dyDescent="0.35">
      <c r="A634" t="str">
        <f>_xlfn.XLOOKUP(B634,Mapping!C:C,Mapping!D:D)</f>
        <v>other Online malls</v>
      </c>
      <c r="B634" t="s">
        <v>293</v>
      </c>
      <c r="C634" t="s">
        <v>287</v>
      </c>
      <c r="D634" s="3">
        <v>46204</v>
      </c>
      <c r="E634" s="3">
        <v>46208</v>
      </c>
      <c r="F634">
        <v>5</v>
      </c>
      <c r="G634" t="s">
        <v>39</v>
      </c>
      <c r="H634">
        <v>249900</v>
      </c>
      <c r="I634">
        <v>199900</v>
      </c>
      <c r="J634">
        <v>189900</v>
      </c>
      <c r="K634">
        <v>199900</v>
      </c>
      <c r="L634">
        <v>1</v>
      </c>
      <c r="M634">
        <v>189900</v>
      </c>
      <c r="N634" s="19">
        <v>181727.27272727271</v>
      </c>
      <c r="O634" s="19">
        <v>181727.27272727271</v>
      </c>
      <c r="P634" t="str">
        <f t="shared" si="2"/>
        <v>Ninja Motorized</v>
      </c>
      <c r="Q634" t="str">
        <f t="shared" si="3"/>
        <v>Trad</v>
      </c>
    </row>
    <row r="635" spans="1:17" x14ac:dyDescent="0.35">
      <c r="A635" t="str">
        <f>_xlfn.XLOOKUP(B635,Mapping!C:C,Mapping!D:D)</f>
        <v>other Online malls</v>
      </c>
      <c r="B635" t="s">
        <v>293</v>
      </c>
      <c r="C635" t="s">
        <v>287</v>
      </c>
      <c r="D635" s="3">
        <v>46204</v>
      </c>
      <c r="E635" s="3">
        <v>46208</v>
      </c>
      <c r="F635">
        <v>5</v>
      </c>
      <c r="G635" t="s">
        <v>84</v>
      </c>
      <c r="H635">
        <v>169900</v>
      </c>
      <c r="I635">
        <v>149900</v>
      </c>
      <c r="J635">
        <v>129900</v>
      </c>
      <c r="K635">
        <v>149900</v>
      </c>
      <c r="L635">
        <v>1</v>
      </c>
      <c r="M635">
        <v>129900</v>
      </c>
      <c r="N635" s="19">
        <v>136272.72727272726</v>
      </c>
      <c r="O635" s="19">
        <v>136272.72727272726</v>
      </c>
      <c r="P635" t="str">
        <f t="shared" si="2"/>
        <v>Ninja Motorized</v>
      </c>
      <c r="Q635" t="str">
        <f t="shared" si="3"/>
        <v>Trad</v>
      </c>
    </row>
    <row r="636" spans="1:17" x14ac:dyDescent="0.35">
      <c r="A636" t="str">
        <f>_xlfn.XLOOKUP(B636,Mapping!C:C,Mapping!D:D)</f>
        <v>other Online malls</v>
      </c>
      <c r="B636" t="s">
        <v>293</v>
      </c>
      <c r="C636" t="s">
        <v>287</v>
      </c>
      <c r="D636" s="3">
        <v>46204</v>
      </c>
      <c r="E636" s="3">
        <v>46208</v>
      </c>
      <c r="F636">
        <v>5</v>
      </c>
      <c r="G636" t="s">
        <v>26</v>
      </c>
      <c r="H636">
        <v>899000</v>
      </c>
      <c r="I636">
        <v>849000</v>
      </c>
      <c r="J636">
        <v>799000</v>
      </c>
      <c r="K636">
        <v>799000</v>
      </c>
      <c r="L636">
        <v>1</v>
      </c>
      <c r="M636">
        <v>799000</v>
      </c>
      <c r="N636" s="19">
        <v>726363.63636363635</v>
      </c>
      <c r="O636" s="19">
        <v>726363.63636363635</v>
      </c>
      <c r="P636" t="str">
        <f t="shared" si="2"/>
        <v>Shark Floorcare</v>
      </c>
      <c r="Q636" t="str">
        <f t="shared" si="3"/>
        <v>FW</v>
      </c>
    </row>
    <row r="637" spans="1:17" x14ac:dyDescent="0.35">
      <c r="A637" t="str">
        <f>_xlfn.XLOOKUP(B637,Mapping!C:C,Mapping!D:D)</f>
        <v>other Online malls</v>
      </c>
      <c r="B637" t="s">
        <v>293</v>
      </c>
      <c r="C637" t="s">
        <v>287</v>
      </c>
      <c r="D637" s="3">
        <v>46204</v>
      </c>
      <c r="E637" s="3">
        <v>46208</v>
      </c>
      <c r="F637">
        <v>5</v>
      </c>
      <c r="G637" t="s">
        <v>108</v>
      </c>
      <c r="H637">
        <v>199900</v>
      </c>
      <c r="I637">
        <v>179900</v>
      </c>
      <c r="J637">
        <v>169900</v>
      </c>
      <c r="K637">
        <v>179900</v>
      </c>
      <c r="L637">
        <v>5</v>
      </c>
      <c r="M637">
        <v>849500</v>
      </c>
      <c r="N637" s="19">
        <v>817727.27272727271</v>
      </c>
      <c r="O637" s="19">
        <v>817727.27272727271</v>
      </c>
      <c r="P637" t="str">
        <f t="shared" si="2"/>
        <v>Shark Floorcare</v>
      </c>
      <c r="Q637" t="str">
        <f t="shared" si="3"/>
        <v>WV</v>
      </c>
    </row>
    <row r="638" spans="1:17" x14ac:dyDescent="0.35">
      <c r="A638" t="str">
        <f>_xlfn.XLOOKUP(B638,Mapping!C:C,Mapping!D:D)</f>
        <v>other Online malls</v>
      </c>
      <c r="B638" t="s">
        <v>293</v>
      </c>
      <c r="C638" t="s">
        <v>287</v>
      </c>
      <c r="D638" s="3">
        <v>46204</v>
      </c>
      <c r="E638" s="3">
        <v>46208</v>
      </c>
      <c r="F638">
        <v>5</v>
      </c>
      <c r="G638" t="s">
        <v>96</v>
      </c>
      <c r="H638">
        <v>139900</v>
      </c>
      <c r="I638">
        <v>119900</v>
      </c>
      <c r="J638">
        <v>99900</v>
      </c>
      <c r="K638">
        <v>119900</v>
      </c>
      <c r="L638">
        <v>1</v>
      </c>
      <c r="M638">
        <v>99900</v>
      </c>
      <c r="N638" s="19">
        <v>108999.99999999999</v>
      </c>
      <c r="O638" s="19">
        <v>108999.99999999999</v>
      </c>
      <c r="P638" t="str">
        <f t="shared" si="2"/>
        <v>Shark Floorcare</v>
      </c>
      <c r="Q638" t="str">
        <f t="shared" si="3"/>
        <v>WV</v>
      </c>
    </row>
    <row r="639" spans="1:17" x14ac:dyDescent="0.35">
      <c r="A639" t="str">
        <f>_xlfn.XLOOKUP(B639,Mapping!C:C,Mapping!D:D)</f>
        <v>other Online malls</v>
      </c>
      <c r="B639" t="s">
        <v>293</v>
      </c>
      <c r="C639" t="s">
        <v>287</v>
      </c>
      <c r="D639" s="3">
        <v>46204</v>
      </c>
      <c r="E639" s="3">
        <v>46208</v>
      </c>
      <c r="F639">
        <v>5</v>
      </c>
      <c r="G639" t="s">
        <v>28</v>
      </c>
      <c r="H639">
        <v>299900</v>
      </c>
      <c r="I639">
        <v>219900</v>
      </c>
      <c r="J639">
        <v>219900</v>
      </c>
      <c r="K639">
        <v>219900</v>
      </c>
      <c r="L639">
        <v>1</v>
      </c>
      <c r="M639">
        <v>219900</v>
      </c>
      <c r="N639" s="19">
        <v>199909.09090909088</v>
      </c>
      <c r="O639" s="19">
        <v>199909.09090909088</v>
      </c>
      <c r="P639" t="str">
        <f t="shared" si="2"/>
        <v>Shark Floorcare</v>
      </c>
      <c r="Q639" t="str">
        <f t="shared" si="3"/>
        <v>WD</v>
      </c>
    </row>
    <row r="640" spans="1:17" x14ac:dyDescent="0.35">
      <c r="A640" t="str">
        <f>_xlfn.XLOOKUP(B640,Mapping!C:C,Mapping!D:D)</f>
        <v>other Online malls</v>
      </c>
      <c r="B640" t="s">
        <v>293</v>
      </c>
      <c r="C640" t="s">
        <v>287</v>
      </c>
      <c r="D640" s="3">
        <v>46204</v>
      </c>
      <c r="E640" s="3">
        <v>46208</v>
      </c>
      <c r="F640">
        <v>5</v>
      </c>
      <c r="G640" t="s">
        <v>36</v>
      </c>
      <c r="H640">
        <v>469900</v>
      </c>
      <c r="I640">
        <v>399900</v>
      </c>
      <c r="J640">
        <v>399000</v>
      </c>
      <c r="K640">
        <v>399000</v>
      </c>
      <c r="L640">
        <v>1</v>
      </c>
      <c r="M640">
        <v>399000</v>
      </c>
      <c r="N640" s="19">
        <v>362727.27272727271</v>
      </c>
      <c r="O640" s="19">
        <v>362727.27272727271</v>
      </c>
      <c r="P640" t="str">
        <f t="shared" si="2"/>
        <v>Shark Floorcare</v>
      </c>
      <c r="Q640" t="str">
        <f t="shared" si="3"/>
        <v>WD</v>
      </c>
    </row>
    <row r="641" spans="1:17" x14ac:dyDescent="0.35">
      <c r="A641" t="str">
        <f>_xlfn.XLOOKUP(B641,Mapping!C:C,Mapping!D:D)</f>
        <v>other Online malls</v>
      </c>
      <c r="B641" t="s">
        <v>293</v>
      </c>
      <c r="C641" t="s">
        <v>287</v>
      </c>
      <c r="D641" s="3">
        <v>46204</v>
      </c>
      <c r="E641" s="3">
        <v>46208</v>
      </c>
      <c r="F641">
        <v>5</v>
      </c>
      <c r="G641" t="s">
        <v>85</v>
      </c>
      <c r="H641">
        <v>349900</v>
      </c>
      <c r="I641">
        <v>319900</v>
      </c>
      <c r="J641">
        <v>299900</v>
      </c>
      <c r="K641">
        <v>299900</v>
      </c>
      <c r="L641">
        <v>1</v>
      </c>
      <c r="M641">
        <v>299900</v>
      </c>
      <c r="N641" s="19">
        <v>272636.36363636359</v>
      </c>
      <c r="O641" s="19">
        <v>272636.36363636359</v>
      </c>
      <c r="P641" t="str">
        <f t="shared" ref="P641:P704" si="4">_xlfn.XLOOKUP(G641,$G$2:$G$529,$P$2:$P$529,"Not Found")</f>
        <v>Ninja Motorized</v>
      </c>
      <c r="Q641" t="str">
        <f t="shared" ref="Q641:Q704" si="5">_xlfn.XLOOKUP(G641,$G$2:$G$529,$Q$2:$Q$529,"Not Found")</f>
        <v>Kitchen</v>
      </c>
    </row>
    <row r="642" spans="1:17" x14ac:dyDescent="0.35">
      <c r="A642" t="str">
        <f>_xlfn.XLOOKUP(B642,Mapping!C:C,Mapping!D:D)</f>
        <v>other Online malls</v>
      </c>
      <c r="B642" t="s">
        <v>292</v>
      </c>
      <c r="C642" t="s">
        <v>291</v>
      </c>
      <c r="D642" s="3">
        <v>46209</v>
      </c>
      <c r="E642" s="3">
        <v>46215</v>
      </c>
      <c r="F642">
        <v>7</v>
      </c>
      <c r="G642" t="s">
        <v>87</v>
      </c>
      <c r="H642">
        <v>219900</v>
      </c>
      <c r="I642">
        <v>199900</v>
      </c>
      <c r="J642">
        <v>179900</v>
      </c>
      <c r="K642">
        <v>129900</v>
      </c>
      <c r="L642">
        <v>50</v>
      </c>
      <c r="M642">
        <v>8995000</v>
      </c>
      <c r="N642" s="19">
        <v>5904545.4545454541</v>
      </c>
      <c r="O642" s="19">
        <v>5904545.4545454541</v>
      </c>
      <c r="P642" t="str">
        <f t="shared" si="4"/>
        <v>Shark Fan</v>
      </c>
      <c r="Q642" t="str">
        <f t="shared" si="5"/>
        <v>Fan</v>
      </c>
    </row>
    <row r="643" spans="1:17" x14ac:dyDescent="0.35">
      <c r="A643" t="str">
        <f>_xlfn.XLOOKUP(B643,Mapping!C:C,Mapping!D:D)</f>
        <v>other Online malls</v>
      </c>
      <c r="B643" t="s">
        <v>292</v>
      </c>
      <c r="C643" t="s">
        <v>291</v>
      </c>
      <c r="D643" s="3">
        <v>46209</v>
      </c>
      <c r="E643" s="3">
        <v>46215</v>
      </c>
      <c r="F643">
        <v>7</v>
      </c>
      <c r="G643" t="s">
        <v>290</v>
      </c>
      <c r="H643">
        <v>249900</v>
      </c>
      <c r="I643">
        <v>219900</v>
      </c>
      <c r="J643">
        <v>199900</v>
      </c>
      <c r="K643">
        <v>179900</v>
      </c>
      <c r="L643">
        <v>30</v>
      </c>
      <c r="M643">
        <v>5997000</v>
      </c>
      <c r="N643" s="19">
        <v>4906363.6363636358</v>
      </c>
      <c r="O643" s="19">
        <v>4906363.6363636358</v>
      </c>
      <c r="P643" t="str">
        <f t="shared" si="4"/>
        <v>Not Found</v>
      </c>
      <c r="Q643" t="str">
        <f t="shared" si="5"/>
        <v>Not Found</v>
      </c>
    </row>
    <row r="644" spans="1:17" x14ac:dyDescent="0.35">
      <c r="A644" t="str">
        <f>_xlfn.XLOOKUP(B644,Mapping!C:C,Mapping!D:D)</f>
        <v>other Online malls</v>
      </c>
      <c r="B644" t="s">
        <v>292</v>
      </c>
      <c r="C644" t="s">
        <v>291</v>
      </c>
      <c r="D644" s="3">
        <v>46209</v>
      </c>
      <c r="E644" s="3">
        <v>46215</v>
      </c>
      <c r="F644">
        <v>7</v>
      </c>
      <c r="G644" t="s">
        <v>33</v>
      </c>
      <c r="H644">
        <v>399900</v>
      </c>
      <c r="I644">
        <v>349900</v>
      </c>
      <c r="J644">
        <v>299900</v>
      </c>
      <c r="K644">
        <v>349900</v>
      </c>
      <c r="L644">
        <v>50</v>
      </c>
      <c r="M644">
        <v>14995000</v>
      </c>
      <c r="N644" s="19">
        <v>15904545.454545453</v>
      </c>
      <c r="O644" s="19">
        <v>15904545.454545453</v>
      </c>
      <c r="P644" t="str">
        <f t="shared" si="4"/>
        <v>Shark Fan</v>
      </c>
      <c r="Q644" t="str">
        <f t="shared" si="5"/>
        <v>Fan</v>
      </c>
    </row>
    <row r="645" spans="1:17" x14ac:dyDescent="0.35">
      <c r="A645" t="str">
        <f>_xlfn.XLOOKUP(B645,Mapping!C:C,Mapping!D:D)</f>
        <v>other Online malls</v>
      </c>
      <c r="B645" t="s">
        <v>292</v>
      </c>
      <c r="C645" t="s">
        <v>291</v>
      </c>
      <c r="D645" s="3">
        <v>46209</v>
      </c>
      <c r="E645" s="3">
        <v>46215</v>
      </c>
      <c r="F645">
        <v>7</v>
      </c>
      <c r="G645" t="s">
        <v>19</v>
      </c>
      <c r="H645">
        <v>249900</v>
      </c>
      <c r="I645">
        <v>219900</v>
      </c>
      <c r="J645">
        <v>199900</v>
      </c>
      <c r="K645">
        <v>219900</v>
      </c>
      <c r="L645">
        <v>100</v>
      </c>
      <c r="M645">
        <v>19990000</v>
      </c>
      <c r="N645" s="19">
        <v>19990909.09090909</v>
      </c>
      <c r="O645" s="19">
        <v>19990909.09090909</v>
      </c>
      <c r="P645" t="str">
        <f t="shared" si="4"/>
        <v>Ninja Heated</v>
      </c>
      <c r="Q645" t="str">
        <f t="shared" si="5"/>
        <v>Crispi</v>
      </c>
    </row>
    <row r="646" spans="1:17" x14ac:dyDescent="0.35">
      <c r="A646" t="str">
        <f>_xlfn.XLOOKUP(B646,Mapping!C:C,Mapping!D:D)</f>
        <v>other Online malls</v>
      </c>
      <c r="B646" t="s">
        <v>292</v>
      </c>
      <c r="C646" t="s">
        <v>291</v>
      </c>
      <c r="D646" s="3">
        <v>46209</v>
      </c>
      <c r="E646" s="3">
        <v>46215</v>
      </c>
      <c r="F646">
        <v>7</v>
      </c>
      <c r="G646" t="s">
        <v>86</v>
      </c>
      <c r="H646">
        <v>149900</v>
      </c>
      <c r="I646">
        <v>139900</v>
      </c>
      <c r="J646">
        <v>109900</v>
      </c>
      <c r="K646">
        <v>109900</v>
      </c>
      <c r="L646">
        <v>20</v>
      </c>
      <c r="M646">
        <v>2198000</v>
      </c>
      <c r="N646" s="19">
        <v>1998181.8181818179</v>
      </c>
      <c r="O646" s="19">
        <v>1998181.8181818179</v>
      </c>
      <c r="P646" t="str">
        <f t="shared" si="4"/>
        <v>Ninja Motorized</v>
      </c>
      <c r="Q646" t="str">
        <f t="shared" si="5"/>
        <v>Portable</v>
      </c>
    </row>
    <row r="647" spans="1:17" x14ac:dyDescent="0.35">
      <c r="A647" t="str">
        <f>_xlfn.XLOOKUP(B647,Mapping!C:C,Mapping!D:D)</f>
        <v>other Online malls</v>
      </c>
      <c r="B647" t="s">
        <v>292</v>
      </c>
      <c r="C647" t="s">
        <v>291</v>
      </c>
      <c r="D647" s="3">
        <v>46209</v>
      </c>
      <c r="E647" s="3">
        <v>46215</v>
      </c>
      <c r="F647">
        <v>7</v>
      </c>
      <c r="G647" t="s">
        <v>95</v>
      </c>
      <c r="H647">
        <v>79900</v>
      </c>
      <c r="I647">
        <v>54900</v>
      </c>
      <c r="J647">
        <v>54900</v>
      </c>
      <c r="K647">
        <v>54900</v>
      </c>
      <c r="L647">
        <v>3</v>
      </c>
      <c r="M647">
        <v>164700</v>
      </c>
      <c r="N647" s="19">
        <v>149727.27272727271</v>
      </c>
      <c r="O647" s="19">
        <v>149727.27272727271</v>
      </c>
      <c r="P647" t="str">
        <f t="shared" si="4"/>
        <v>Ninja Motorized</v>
      </c>
      <c r="Q647" t="str">
        <f t="shared" si="5"/>
        <v>Food process</v>
      </c>
    </row>
    <row r="648" spans="1:17" x14ac:dyDescent="0.35">
      <c r="A648" t="str">
        <f>_xlfn.XLOOKUP(B648,Mapping!C:C,Mapping!D:D)</f>
        <v>other Online malls</v>
      </c>
      <c r="B648" t="s">
        <v>292</v>
      </c>
      <c r="C648" t="s">
        <v>291</v>
      </c>
      <c r="D648" s="3">
        <v>46209</v>
      </c>
      <c r="E648" s="3">
        <v>46215</v>
      </c>
      <c r="F648">
        <v>7</v>
      </c>
      <c r="G648" t="s">
        <v>28</v>
      </c>
      <c r="H648">
        <v>299900</v>
      </c>
      <c r="I648">
        <v>219900</v>
      </c>
      <c r="J648">
        <v>219900</v>
      </c>
      <c r="K648">
        <v>219900</v>
      </c>
      <c r="L648">
        <v>5</v>
      </c>
      <c r="M648">
        <v>1099500</v>
      </c>
      <c r="N648" s="19">
        <v>999545.45454545435</v>
      </c>
      <c r="O648" s="19">
        <v>999545.45454545435</v>
      </c>
      <c r="P648" t="str">
        <f t="shared" si="4"/>
        <v>Shark Floorcare</v>
      </c>
      <c r="Q648" t="str">
        <f t="shared" si="5"/>
        <v>WD</v>
      </c>
    </row>
    <row r="649" spans="1:17" x14ac:dyDescent="0.35">
      <c r="A649" t="str">
        <f>_xlfn.XLOOKUP(B649,Mapping!C:C,Mapping!D:D)</f>
        <v>other Online malls</v>
      </c>
      <c r="B649" t="s">
        <v>292</v>
      </c>
      <c r="C649" t="s">
        <v>291</v>
      </c>
      <c r="D649" s="3">
        <v>46209</v>
      </c>
      <c r="E649" s="3">
        <v>46215</v>
      </c>
      <c r="F649">
        <v>7</v>
      </c>
      <c r="G649" t="s">
        <v>112</v>
      </c>
      <c r="H649">
        <v>799000</v>
      </c>
      <c r="I649">
        <v>599000</v>
      </c>
      <c r="J649">
        <v>599000</v>
      </c>
      <c r="K649">
        <v>599000</v>
      </c>
      <c r="L649">
        <v>2</v>
      </c>
      <c r="M649">
        <v>1198000</v>
      </c>
      <c r="N649" s="19">
        <v>1089090.9090909089</v>
      </c>
      <c r="O649" s="19">
        <v>1089090.9090909089</v>
      </c>
      <c r="P649" t="str">
        <f t="shared" si="4"/>
        <v>Shark Floorcare</v>
      </c>
      <c r="Q649" t="str">
        <f t="shared" si="5"/>
        <v>CS</v>
      </c>
    </row>
    <row r="650" spans="1:17" x14ac:dyDescent="0.35">
      <c r="A650" t="str">
        <f>_xlfn.XLOOKUP(B650,Mapping!C:C,Mapping!D:D)</f>
        <v>other Online malls</v>
      </c>
      <c r="B650" t="s">
        <v>292</v>
      </c>
      <c r="C650" t="s">
        <v>291</v>
      </c>
      <c r="D650" s="3">
        <v>46209</v>
      </c>
      <c r="E650" s="3">
        <v>46215</v>
      </c>
      <c r="F650">
        <v>7</v>
      </c>
      <c r="G650" t="s">
        <v>88</v>
      </c>
      <c r="H650">
        <v>599000</v>
      </c>
      <c r="I650">
        <v>499000</v>
      </c>
      <c r="J650">
        <v>399900</v>
      </c>
      <c r="K650">
        <v>499000</v>
      </c>
      <c r="L650">
        <v>2</v>
      </c>
      <c r="M650">
        <v>799800</v>
      </c>
      <c r="N650" s="19">
        <v>907272.72727272718</v>
      </c>
      <c r="O650" s="19">
        <v>907272.72727272718</v>
      </c>
      <c r="P650" t="str">
        <f t="shared" si="4"/>
        <v>Shark Floorcare</v>
      </c>
      <c r="Q650" t="str">
        <f t="shared" si="5"/>
        <v>CS</v>
      </c>
    </row>
    <row r="651" spans="1:17" x14ac:dyDescent="0.35">
      <c r="A651" t="str">
        <f>_xlfn.XLOOKUP(B651,Mapping!C:C,Mapping!D:D)</f>
        <v>other Online malls</v>
      </c>
      <c r="B651" t="s">
        <v>292</v>
      </c>
      <c r="C651" t="s">
        <v>291</v>
      </c>
      <c r="D651" s="3">
        <v>46209</v>
      </c>
      <c r="E651" s="3">
        <v>46215</v>
      </c>
      <c r="F651">
        <v>7</v>
      </c>
      <c r="G651" t="s">
        <v>105</v>
      </c>
      <c r="H651">
        <v>299900</v>
      </c>
      <c r="I651">
        <v>269900</v>
      </c>
      <c r="J651">
        <v>249900</v>
      </c>
      <c r="K651">
        <v>249900</v>
      </c>
      <c r="L651">
        <v>5</v>
      </c>
      <c r="M651">
        <v>1249500</v>
      </c>
      <c r="N651" s="19">
        <v>1135909.0909090908</v>
      </c>
      <c r="O651" s="19">
        <v>1135909.0909090908</v>
      </c>
      <c r="P651" t="str">
        <f t="shared" si="4"/>
        <v>Ninja Motorized</v>
      </c>
      <c r="Q651" t="str">
        <f t="shared" si="5"/>
        <v>Kitchen</v>
      </c>
    </row>
    <row r="652" spans="1:17" x14ac:dyDescent="0.35">
      <c r="A652" t="str">
        <f>_xlfn.XLOOKUP(B652,Mapping!C:C,Mapping!D:D)</f>
        <v>other Online malls</v>
      </c>
      <c r="B652" t="s">
        <v>292</v>
      </c>
      <c r="C652" t="s">
        <v>291</v>
      </c>
      <c r="D652" s="3">
        <v>46209</v>
      </c>
      <c r="E652" s="3">
        <v>46215</v>
      </c>
      <c r="F652">
        <v>7</v>
      </c>
      <c r="G652" t="s">
        <v>36</v>
      </c>
      <c r="H652">
        <v>469900</v>
      </c>
      <c r="I652">
        <v>399900</v>
      </c>
      <c r="J652">
        <v>399000</v>
      </c>
      <c r="K652">
        <v>399000</v>
      </c>
      <c r="L652">
        <v>3</v>
      </c>
      <c r="M652">
        <v>1197000</v>
      </c>
      <c r="N652" s="19">
        <v>1088181.8181818181</v>
      </c>
      <c r="O652" s="19">
        <v>1088181.8181818181</v>
      </c>
      <c r="P652" t="str">
        <f t="shared" si="4"/>
        <v>Shark Floorcare</v>
      </c>
      <c r="Q652" t="str">
        <f t="shared" si="5"/>
        <v>WD</v>
      </c>
    </row>
    <row r="653" spans="1:17" x14ac:dyDescent="0.35">
      <c r="A653" t="str">
        <f>_xlfn.XLOOKUP(B653,Mapping!C:C,Mapping!D:D)</f>
        <v>other Online malls</v>
      </c>
      <c r="B653" t="s">
        <v>292</v>
      </c>
      <c r="C653" t="s">
        <v>291</v>
      </c>
      <c r="D653" s="3">
        <v>46209</v>
      </c>
      <c r="E653" s="3">
        <v>46215</v>
      </c>
      <c r="F653">
        <v>7</v>
      </c>
      <c r="G653" t="s">
        <v>32</v>
      </c>
      <c r="H653">
        <v>349900</v>
      </c>
      <c r="I653">
        <v>299900</v>
      </c>
      <c r="J653">
        <v>269900</v>
      </c>
      <c r="K653">
        <v>299900</v>
      </c>
      <c r="L653">
        <v>20</v>
      </c>
      <c r="M653">
        <v>5398000</v>
      </c>
      <c r="N653" s="19">
        <v>5452727.2727272715</v>
      </c>
      <c r="O653" s="19">
        <v>5452727.2727272715</v>
      </c>
      <c r="P653" t="str">
        <f t="shared" si="4"/>
        <v>Ninja Motorized</v>
      </c>
      <c r="Q653" t="str">
        <f t="shared" si="5"/>
        <v>Icecream</v>
      </c>
    </row>
    <row r="654" spans="1:17" x14ac:dyDescent="0.35">
      <c r="A654" t="str">
        <f>_xlfn.XLOOKUP(B654,Mapping!C:C,Mapping!D:D)</f>
        <v>other Online malls</v>
      </c>
      <c r="B654" t="s">
        <v>292</v>
      </c>
      <c r="C654" t="s">
        <v>291</v>
      </c>
      <c r="D654" s="3">
        <v>46209</v>
      </c>
      <c r="E654" s="3">
        <v>46215</v>
      </c>
      <c r="F654">
        <v>7</v>
      </c>
      <c r="G654" t="s">
        <v>110</v>
      </c>
      <c r="H654">
        <v>129900</v>
      </c>
      <c r="I654">
        <v>114900</v>
      </c>
      <c r="J654">
        <v>99900</v>
      </c>
      <c r="K654">
        <v>114900</v>
      </c>
      <c r="L654">
        <v>2</v>
      </c>
      <c r="M654">
        <v>199800</v>
      </c>
      <c r="N654" s="19">
        <v>208909.09090909088</v>
      </c>
      <c r="O654" s="19">
        <v>208909.09090909088</v>
      </c>
      <c r="P654" t="str">
        <f t="shared" si="4"/>
        <v>Ninja Motorized</v>
      </c>
      <c r="Q654" t="str">
        <f t="shared" si="5"/>
        <v>Trad</v>
      </c>
    </row>
    <row r="655" spans="1:17" x14ac:dyDescent="0.35">
      <c r="A655" t="str">
        <f>_xlfn.XLOOKUP(B655,Mapping!C:C,Mapping!D:D)</f>
        <v>other Online malls</v>
      </c>
      <c r="B655" t="s">
        <v>292</v>
      </c>
      <c r="C655" t="s">
        <v>291</v>
      </c>
      <c r="D655" s="3">
        <v>46209</v>
      </c>
      <c r="E655" s="3">
        <v>46215</v>
      </c>
      <c r="F655">
        <v>7</v>
      </c>
      <c r="G655" t="s">
        <v>38</v>
      </c>
      <c r="H655">
        <v>429900</v>
      </c>
      <c r="I655">
        <v>399900</v>
      </c>
      <c r="J655">
        <v>349900</v>
      </c>
      <c r="K655">
        <v>399900</v>
      </c>
      <c r="L655">
        <v>5</v>
      </c>
      <c r="M655">
        <v>1749500</v>
      </c>
      <c r="N655" s="19">
        <v>1817727.2727272727</v>
      </c>
      <c r="O655" s="19">
        <v>1817727.2727272727</v>
      </c>
      <c r="P655" t="str">
        <f t="shared" si="4"/>
        <v>Ninja Heated</v>
      </c>
      <c r="Q655" t="str">
        <f t="shared" si="5"/>
        <v>Grill</v>
      </c>
    </row>
    <row r="656" spans="1:17" x14ac:dyDescent="0.35">
      <c r="A656" t="str">
        <f>_xlfn.XLOOKUP(B656,Mapping!C:C,Mapping!D:D)</f>
        <v>other Online malls</v>
      </c>
      <c r="B656" t="s">
        <v>292</v>
      </c>
      <c r="C656" t="s">
        <v>291</v>
      </c>
      <c r="D656" s="3">
        <v>46209</v>
      </c>
      <c r="E656" s="3">
        <v>46215</v>
      </c>
      <c r="F656">
        <v>7</v>
      </c>
      <c r="G656" t="s">
        <v>57</v>
      </c>
      <c r="H656">
        <v>699000</v>
      </c>
      <c r="I656">
        <v>499000</v>
      </c>
      <c r="J656">
        <v>499000</v>
      </c>
      <c r="K656">
        <v>699000</v>
      </c>
      <c r="L656">
        <v>1</v>
      </c>
      <c r="M656">
        <v>499000</v>
      </c>
      <c r="N656" s="19">
        <v>635454.54545454541</v>
      </c>
      <c r="O656" s="19">
        <v>635454.54545454541</v>
      </c>
      <c r="P656" t="str">
        <f t="shared" si="4"/>
        <v>Shark Floorcare</v>
      </c>
      <c r="Q656" t="str">
        <f t="shared" si="5"/>
        <v>Kion</v>
      </c>
    </row>
    <row r="657" spans="1:17" x14ac:dyDescent="0.35">
      <c r="A657" t="str">
        <f>_xlfn.XLOOKUP(B657,Mapping!C:C,Mapping!D:D)</f>
        <v>other Online malls</v>
      </c>
      <c r="B657" t="s">
        <v>292</v>
      </c>
      <c r="C657" t="s">
        <v>291</v>
      </c>
      <c r="D657" s="3">
        <v>46209</v>
      </c>
      <c r="E657" s="3">
        <v>46215</v>
      </c>
      <c r="F657">
        <v>7</v>
      </c>
      <c r="G657" t="s">
        <v>303</v>
      </c>
      <c r="H657">
        <v>249900</v>
      </c>
      <c r="I657">
        <v>229900</v>
      </c>
      <c r="J657" t="s">
        <v>115</v>
      </c>
      <c r="K657">
        <v>249900</v>
      </c>
      <c r="L657">
        <v>5</v>
      </c>
      <c r="M657">
        <v>0</v>
      </c>
      <c r="N657" s="19">
        <v>1135909.0909090908</v>
      </c>
      <c r="O657" s="19">
        <v>1135909.0909090908</v>
      </c>
      <c r="P657" t="str">
        <f t="shared" si="4"/>
        <v>Not Found</v>
      </c>
      <c r="Q657" t="str">
        <f t="shared" si="5"/>
        <v>Not Found</v>
      </c>
    </row>
    <row r="658" spans="1:17" x14ac:dyDescent="0.35">
      <c r="A658" t="str">
        <f>_xlfn.XLOOKUP(B658,Mapping!C:C,Mapping!D:D)</f>
        <v>other Online malls</v>
      </c>
      <c r="B658" t="s">
        <v>293</v>
      </c>
      <c r="C658" t="s">
        <v>291</v>
      </c>
      <c r="D658" s="3">
        <v>46209</v>
      </c>
      <c r="E658" s="3">
        <v>46215</v>
      </c>
      <c r="F658">
        <v>7</v>
      </c>
      <c r="G658" t="s">
        <v>87</v>
      </c>
      <c r="H658">
        <v>219900</v>
      </c>
      <c r="I658">
        <v>199900</v>
      </c>
      <c r="J658">
        <v>179900</v>
      </c>
      <c r="K658">
        <v>129900</v>
      </c>
      <c r="L658">
        <v>5</v>
      </c>
      <c r="M658">
        <v>899500</v>
      </c>
      <c r="N658" s="19">
        <v>590454.54545454541</v>
      </c>
      <c r="O658" s="19">
        <v>590454.54545454541</v>
      </c>
      <c r="P658" t="str">
        <f t="shared" si="4"/>
        <v>Shark Fan</v>
      </c>
      <c r="Q658" t="str">
        <f t="shared" si="5"/>
        <v>Fan</v>
      </c>
    </row>
    <row r="659" spans="1:17" x14ac:dyDescent="0.35">
      <c r="A659" t="str">
        <f>_xlfn.XLOOKUP(B659,Mapping!C:C,Mapping!D:D)</f>
        <v>other Online malls</v>
      </c>
      <c r="B659" t="s">
        <v>293</v>
      </c>
      <c r="C659" t="s">
        <v>291</v>
      </c>
      <c r="D659" s="3">
        <v>46209</v>
      </c>
      <c r="E659" s="3">
        <v>46215</v>
      </c>
      <c r="F659">
        <v>7</v>
      </c>
      <c r="G659" t="s">
        <v>290</v>
      </c>
      <c r="H659">
        <v>249900</v>
      </c>
      <c r="I659">
        <v>219900</v>
      </c>
      <c r="J659">
        <v>199900</v>
      </c>
      <c r="K659">
        <v>179900</v>
      </c>
      <c r="L659">
        <v>3</v>
      </c>
      <c r="M659">
        <v>599700</v>
      </c>
      <c r="N659" s="19">
        <v>490636.36363636359</v>
      </c>
      <c r="O659" s="19">
        <v>490636.36363636359</v>
      </c>
      <c r="P659" t="str">
        <f t="shared" si="4"/>
        <v>Not Found</v>
      </c>
      <c r="Q659" t="str">
        <f t="shared" si="5"/>
        <v>Not Found</v>
      </c>
    </row>
    <row r="660" spans="1:17" x14ac:dyDescent="0.35">
      <c r="A660" t="str">
        <f>_xlfn.XLOOKUP(B660,Mapping!C:C,Mapping!D:D)</f>
        <v>other Online malls</v>
      </c>
      <c r="B660" t="s">
        <v>293</v>
      </c>
      <c r="C660" t="s">
        <v>291</v>
      </c>
      <c r="D660" s="3">
        <v>46209</v>
      </c>
      <c r="E660" s="3">
        <v>46215</v>
      </c>
      <c r="F660">
        <v>7</v>
      </c>
      <c r="G660" t="s">
        <v>33</v>
      </c>
      <c r="H660">
        <v>399900</v>
      </c>
      <c r="I660">
        <v>349900</v>
      </c>
      <c r="J660">
        <v>299900</v>
      </c>
      <c r="K660">
        <v>349900</v>
      </c>
      <c r="L660">
        <v>5</v>
      </c>
      <c r="M660">
        <v>1499500</v>
      </c>
      <c r="N660" s="19">
        <v>1590454.5454545454</v>
      </c>
      <c r="O660" s="19">
        <v>1590454.5454545454</v>
      </c>
      <c r="P660" t="str">
        <f t="shared" si="4"/>
        <v>Shark Fan</v>
      </c>
      <c r="Q660" t="str">
        <f t="shared" si="5"/>
        <v>Fan</v>
      </c>
    </row>
    <row r="661" spans="1:17" x14ac:dyDescent="0.35">
      <c r="A661" t="str">
        <f>_xlfn.XLOOKUP(B661,Mapping!C:C,Mapping!D:D)</f>
        <v>other Online malls</v>
      </c>
      <c r="B661" t="s">
        <v>293</v>
      </c>
      <c r="C661" t="s">
        <v>291</v>
      </c>
      <c r="D661" s="3">
        <v>46209</v>
      </c>
      <c r="E661" s="3">
        <v>46215</v>
      </c>
      <c r="F661">
        <v>7</v>
      </c>
      <c r="G661" t="s">
        <v>19</v>
      </c>
      <c r="H661">
        <v>249900</v>
      </c>
      <c r="I661">
        <v>219900</v>
      </c>
      <c r="J661">
        <v>199900</v>
      </c>
      <c r="K661">
        <v>219900</v>
      </c>
      <c r="L661">
        <v>5</v>
      </c>
      <c r="M661">
        <v>999500</v>
      </c>
      <c r="N661" s="19">
        <v>999545.45454545435</v>
      </c>
      <c r="O661" s="19">
        <v>999545.45454545435</v>
      </c>
      <c r="P661" t="str">
        <f t="shared" si="4"/>
        <v>Ninja Heated</v>
      </c>
      <c r="Q661" t="str">
        <f t="shared" si="5"/>
        <v>Crispi</v>
      </c>
    </row>
    <row r="662" spans="1:17" x14ac:dyDescent="0.35">
      <c r="A662" t="str">
        <f>_xlfn.XLOOKUP(B662,Mapping!C:C,Mapping!D:D)</f>
        <v>other Online malls</v>
      </c>
      <c r="B662" t="s">
        <v>293</v>
      </c>
      <c r="C662" t="s">
        <v>291</v>
      </c>
      <c r="D662" s="3">
        <v>46209</v>
      </c>
      <c r="E662" s="3">
        <v>46215</v>
      </c>
      <c r="F662">
        <v>7</v>
      </c>
      <c r="G662" t="s">
        <v>86</v>
      </c>
      <c r="H662">
        <v>149900</v>
      </c>
      <c r="I662">
        <v>139900</v>
      </c>
      <c r="J662">
        <v>109900</v>
      </c>
      <c r="K662">
        <v>109900</v>
      </c>
      <c r="L662">
        <v>5</v>
      </c>
      <c r="M662">
        <v>549500</v>
      </c>
      <c r="N662" s="19">
        <v>499545.45454545447</v>
      </c>
      <c r="O662" s="19">
        <v>499545.45454545447</v>
      </c>
      <c r="P662" t="str">
        <f t="shared" si="4"/>
        <v>Ninja Motorized</v>
      </c>
      <c r="Q662" t="str">
        <f t="shared" si="5"/>
        <v>Portable</v>
      </c>
    </row>
    <row r="663" spans="1:17" x14ac:dyDescent="0.35">
      <c r="A663" t="str">
        <f>_xlfn.XLOOKUP(B663,Mapping!C:C,Mapping!D:D)</f>
        <v>other Online malls</v>
      </c>
      <c r="B663" t="s">
        <v>293</v>
      </c>
      <c r="C663" t="s">
        <v>291</v>
      </c>
      <c r="D663" s="3">
        <v>46209</v>
      </c>
      <c r="E663" s="3">
        <v>46215</v>
      </c>
      <c r="F663">
        <v>7</v>
      </c>
      <c r="G663" t="s">
        <v>95</v>
      </c>
      <c r="H663">
        <v>79900</v>
      </c>
      <c r="I663">
        <v>54900</v>
      </c>
      <c r="J663">
        <v>54900</v>
      </c>
      <c r="K663">
        <v>54900</v>
      </c>
      <c r="L663">
        <v>1</v>
      </c>
      <c r="M663">
        <v>54900</v>
      </c>
      <c r="N663" s="19">
        <v>49909.090909090904</v>
      </c>
      <c r="O663" s="19">
        <v>49909.090909090904</v>
      </c>
      <c r="P663" t="str">
        <f t="shared" si="4"/>
        <v>Ninja Motorized</v>
      </c>
      <c r="Q663" t="str">
        <f t="shared" si="5"/>
        <v>Food process</v>
      </c>
    </row>
    <row r="664" spans="1:17" x14ac:dyDescent="0.35">
      <c r="A664" t="str">
        <f>_xlfn.XLOOKUP(B664,Mapping!C:C,Mapping!D:D)</f>
        <v>other Online malls</v>
      </c>
      <c r="B664" t="s">
        <v>293</v>
      </c>
      <c r="C664" t="s">
        <v>291</v>
      </c>
      <c r="D664" s="3">
        <v>46209</v>
      </c>
      <c r="E664" s="3">
        <v>46215</v>
      </c>
      <c r="F664">
        <v>7</v>
      </c>
      <c r="G664" t="s">
        <v>28</v>
      </c>
      <c r="H664">
        <v>299900</v>
      </c>
      <c r="I664">
        <v>219900</v>
      </c>
      <c r="J664">
        <v>219900</v>
      </c>
      <c r="K664">
        <v>219900</v>
      </c>
      <c r="L664">
        <v>2</v>
      </c>
      <c r="M664">
        <v>439800</v>
      </c>
      <c r="N664" s="19">
        <v>399818.18181818177</v>
      </c>
      <c r="O664" s="19">
        <v>399818.18181818177</v>
      </c>
      <c r="P664" t="str">
        <f t="shared" si="4"/>
        <v>Shark Floorcare</v>
      </c>
      <c r="Q664" t="str">
        <f t="shared" si="5"/>
        <v>WD</v>
      </c>
    </row>
    <row r="665" spans="1:17" x14ac:dyDescent="0.35">
      <c r="A665" t="str">
        <f>_xlfn.XLOOKUP(B665,Mapping!C:C,Mapping!D:D)</f>
        <v>other Online malls</v>
      </c>
      <c r="B665" t="s">
        <v>293</v>
      </c>
      <c r="C665" t="s">
        <v>291</v>
      </c>
      <c r="D665" s="3">
        <v>46209</v>
      </c>
      <c r="E665" s="3">
        <v>46215</v>
      </c>
      <c r="F665">
        <v>7</v>
      </c>
      <c r="G665" t="s">
        <v>112</v>
      </c>
      <c r="H665">
        <v>799000</v>
      </c>
      <c r="I665">
        <v>599000</v>
      </c>
      <c r="J665">
        <v>599000</v>
      </c>
      <c r="K665">
        <v>599000</v>
      </c>
      <c r="L665">
        <v>1</v>
      </c>
      <c r="M665">
        <v>599000</v>
      </c>
      <c r="N665" s="19">
        <v>544545.45454545447</v>
      </c>
      <c r="O665" s="19">
        <v>544545.45454545447</v>
      </c>
      <c r="P665" t="str">
        <f t="shared" si="4"/>
        <v>Shark Floorcare</v>
      </c>
      <c r="Q665" t="str">
        <f t="shared" si="5"/>
        <v>CS</v>
      </c>
    </row>
    <row r="666" spans="1:17" x14ac:dyDescent="0.35">
      <c r="A666" t="str">
        <f>_xlfn.XLOOKUP(B666,Mapping!C:C,Mapping!D:D)</f>
        <v>other Online malls</v>
      </c>
      <c r="B666" t="s">
        <v>293</v>
      </c>
      <c r="C666" t="s">
        <v>291</v>
      </c>
      <c r="D666" s="3">
        <v>46209</v>
      </c>
      <c r="E666" s="3">
        <v>46215</v>
      </c>
      <c r="F666">
        <v>7</v>
      </c>
      <c r="G666" t="s">
        <v>88</v>
      </c>
      <c r="H666">
        <v>599000</v>
      </c>
      <c r="I666">
        <v>499000</v>
      </c>
      <c r="J666">
        <v>399900</v>
      </c>
      <c r="K666">
        <v>499000</v>
      </c>
      <c r="L666">
        <v>1</v>
      </c>
      <c r="M666">
        <v>399900</v>
      </c>
      <c r="N666" s="19">
        <v>453636.36363636359</v>
      </c>
      <c r="O666" s="19">
        <v>453636.36363636359</v>
      </c>
      <c r="P666" t="str">
        <f t="shared" si="4"/>
        <v>Shark Floorcare</v>
      </c>
      <c r="Q666" t="str">
        <f t="shared" si="5"/>
        <v>CS</v>
      </c>
    </row>
    <row r="667" spans="1:17" x14ac:dyDescent="0.35">
      <c r="A667" t="str">
        <f>_xlfn.XLOOKUP(B667,Mapping!C:C,Mapping!D:D)</f>
        <v>other Online malls</v>
      </c>
      <c r="B667" t="s">
        <v>293</v>
      </c>
      <c r="C667" t="s">
        <v>291</v>
      </c>
      <c r="D667" s="3">
        <v>46209</v>
      </c>
      <c r="E667" s="3">
        <v>46215</v>
      </c>
      <c r="F667">
        <v>7</v>
      </c>
      <c r="G667" t="s">
        <v>105</v>
      </c>
      <c r="H667">
        <v>299900</v>
      </c>
      <c r="I667">
        <v>269900</v>
      </c>
      <c r="J667">
        <v>249900</v>
      </c>
      <c r="K667">
        <v>249900</v>
      </c>
      <c r="L667">
        <v>2</v>
      </c>
      <c r="M667">
        <v>499800</v>
      </c>
      <c r="N667" s="19">
        <v>454363.63636363635</v>
      </c>
      <c r="O667" s="19">
        <v>454363.63636363635</v>
      </c>
      <c r="P667" t="str">
        <f t="shared" si="4"/>
        <v>Ninja Motorized</v>
      </c>
      <c r="Q667" t="str">
        <f t="shared" si="5"/>
        <v>Kitchen</v>
      </c>
    </row>
    <row r="668" spans="1:17" x14ac:dyDescent="0.35">
      <c r="A668" t="str">
        <f>_xlfn.XLOOKUP(B668,Mapping!C:C,Mapping!D:D)</f>
        <v>other Online malls</v>
      </c>
      <c r="B668" t="s">
        <v>293</v>
      </c>
      <c r="C668" t="s">
        <v>291</v>
      </c>
      <c r="D668" s="3">
        <v>46209</v>
      </c>
      <c r="E668" s="3">
        <v>46215</v>
      </c>
      <c r="F668">
        <v>7</v>
      </c>
      <c r="G668" t="s">
        <v>36</v>
      </c>
      <c r="H668">
        <v>469900</v>
      </c>
      <c r="I668">
        <v>399900</v>
      </c>
      <c r="J668">
        <v>399000</v>
      </c>
      <c r="K668">
        <v>399000</v>
      </c>
      <c r="L668">
        <v>1</v>
      </c>
      <c r="M668">
        <v>399000</v>
      </c>
      <c r="N668" s="19">
        <v>362727.27272727271</v>
      </c>
      <c r="O668" s="19">
        <v>362727.27272727271</v>
      </c>
      <c r="P668" t="str">
        <f t="shared" si="4"/>
        <v>Shark Floorcare</v>
      </c>
      <c r="Q668" t="str">
        <f t="shared" si="5"/>
        <v>WD</v>
      </c>
    </row>
    <row r="669" spans="1:17" x14ac:dyDescent="0.35">
      <c r="A669" t="str">
        <f>_xlfn.XLOOKUP(B669,Mapping!C:C,Mapping!D:D)</f>
        <v>other Online malls</v>
      </c>
      <c r="B669" t="s">
        <v>293</v>
      </c>
      <c r="C669" t="s">
        <v>291</v>
      </c>
      <c r="D669" s="3">
        <v>46209</v>
      </c>
      <c r="E669" s="3">
        <v>46215</v>
      </c>
      <c r="F669">
        <v>7</v>
      </c>
      <c r="G669" t="s">
        <v>32</v>
      </c>
      <c r="H669">
        <v>349900</v>
      </c>
      <c r="I669">
        <v>299900</v>
      </c>
      <c r="J669">
        <v>269900</v>
      </c>
      <c r="K669">
        <v>299900</v>
      </c>
      <c r="L669">
        <v>5</v>
      </c>
      <c r="M669">
        <v>1349500</v>
      </c>
      <c r="N669" s="19">
        <v>1363181.8181818179</v>
      </c>
      <c r="O669" s="19">
        <v>1363181.8181818179</v>
      </c>
      <c r="P669" t="str">
        <f t="shared" si="4"/>
        <v>Ninja Motorized</v>
      </c>
      <c r="Q669" t="str">
        <f t="shared" si="5"/>
        <v>Icecream</v>
      </c>
    </row>
    <row r="670" spans="1:17" x14ac:dyDescent="0.35">
      <c r="A670" t="str">
        <f>_xlfn.XLOOKUP(B670,Mapping!C:C,Mapping!D:D)</f>
        <v>other Online malls</v>
      </c>
      <c r="B670" t="s">
        <v>293</v>
      </c>
      <c r="C670" t="s">
        <v>291</v>
      </c>
      <c r="D670" s="3">
        <v>46209</v>
      </c>
      <c r="E670" s="3">
        <v>46215</v>
      </c>
      <c r="F670">
        <v>7</v>
      </c>
      <c r="G670" t="s">
        <v>110</v>
      </c>
      <c r="H670">
        <v>129900</v>
      </c>
      <c r="I670">
        <v>114900</v>
      </c>
      <c r="J670">
        <v>99900</v>
      </c>
      <c r="K670">
        <v>114900</v>
      </c>
      <c r="L670">
        <v>1</v>
      </c>
      <c r="M670">
        <v>99900</v>
      </c>
      <c r="N670" s="19">
        <v>104454.54545454544</v>
      </c>
      <c r="O670" s="19">
        <v>104454.54545454544</v>
      </c>
      <c r="P670" t="str">
        <f t="shared" si="4"/>
        <v>Ninja Motorized</v>
      </c>
      <c r="Q670" t="str">
        <f t="shared" si="5"/>
        <v>Trad</v>
      </c>
    </row>
    <row r="671" spans="1:17" x14ac:dyDescent="0.35">
      <c r="A671" t="str">
        <f>_xlfn.XLOOKUP(B671,Mapping!C:C,Mapping!D:D)</f>
        <v>other Online malls</v>
      </c>
      <c r="B671" t="s">
        <v>293</v>
      </c>
      <c r="C671" t="s">
        <v>291</v>
      </c>
      <c r="D671" s="3">
        <v>46209</v>
      </c>
      <c r="E671" s="3">
        <v>46215</v>
      </c>
      <c r="F671">
        <v>7</v>
      </c>
      <c r="G671" t="s">
        <v>38</v>
      </c>
      <c r="H671">
        <v>429900</v>
      </c>
      <c r="I671">
        <v>399900</v>
      </c>
      <c r="J671">
        <v>349900</v>
      </c>
      <c r="K671">
        <v>399900</v>
      </c>
      <c r="L671">
        <v>3</v>
      </c>
      <c r="M671">
        <v>1049700</v>
      </c>
      <c r="N671" s="19">
        <v>1090636.3636363635</v>
      </c>
      <c r="O671" s="19">
        <v>1090636.3636363635</v>
      </c>
      <c r="P671" t="str">
        <f t="shared" si="4"/>
        <v>Ninja Heated</v>
      </c>
      <c r="Q671" t="str">
        <f t="shared" si="5"/>
        <v>Grill</v>
      </c>
    </row>
    <row r="672" spans="1:17" x14ac:dyDescent="0.35">
      <c r="A672" t="str">
        <f>_xlfn.XLOOKUP(B672,Mapping!C:C,Mapping!D:D)</f>
        <v>other Online malls</v>
      </c>
      <c r="B672" t="s">
        <v>293</v>
      </c>
      <c r="C672" t="s">
        <v>291</v>
      </c>
      <c r="D672" s="3">
        <v>46209</v>
      </c>
      <c r="E672" s="3">
        <v>46215</v>
      </c>
      <c r="F672">
        <v>7</v>
      </c>
      <c r="G672" t="s">
        <v>57</v>
      </c>
      <c r="H672">
        <v>699000</v>
      </c>
      <c r="I672">
        <v>499000</v>
      </c>
      <c r="J672">
        <v>499000</v>
      </c>
      <c r="K672">
        <v>699000</v>
      </c>
      <c r="L672">
        <v>1</v>
      </c>
      <c r="M672">
        <v>499000</v>
      </c>
      <c r="N672" s="19">
        <v>635454.54545454541</v>
      </c>
      <c r="O672" s="19">
        <v>635454.54545454541</v>
      </c>
      <c r="P672" t="str">
        <f t="shared" si="4"/>
        <v>Shark Floorcare</v>
      </c>
      <c r="Q672" t="str">
        <f t="shared" si="5"/>
        <v>Kion</v>
      </c>
    </row>
    <row r="673" spans="1:17" x14ac:dyDescent="0.35">
      <c r="A673" t="str">
        <f>_xlfn.XLOOKUP(B673,Mapping!C:C,Mapping!D:D)</f>
        <v>other Online malls</v>
      </c>
      <c r="B673" t="s">
        <v>293</v>
      </c>
      <c r="C673" t="s">
        <v>291</v>
      </c>
      <c r="D673" s="3">
        <v>46209</v>
      </c>
      <c r="E673" s="3">
        <v>46215</v>
      </c>
      <c r="F673">
        <v>7</v>
      </c>
      <c r="G673" t="s">
        <v>303</v>
      </c>
      <c r="H673">
        <v>249900</v>
      </c>
      <c r="I673">
        <v>229900</v>
      </c>
      <c r="J673" t="s">
        <v>115</v>
      </c>
      <c r="K673">
        <v>249900</v>
      </c>
      <c r="L673">
        <v>3</v>
      </c>
      <c r="M673">
        <v>0</v>
      </c>
      <c r="N673" s="19">
        <v>681545.45454545459</v>
      </c>
      <c r="O673" s="19">
        <v>681545.45454545459</v>
      </c>
      <c r="P673" t="str">
        <f t="shared" si="4"/>
        <v>Not Found</v>
      </c>
      <c r="Q673" t="str">
        <f t="shared" si="5"/>
        <v>Not Found</v>
      </c>
    </row>
    <row r="674" spans="1:17" x14ac:dyDescent="0.35">
      <c r="A674" t="str">
        <f>_xlfn.XLOOKUP(B674,Mapping!C:C,Mapping!D:D)</f>
        <v>other Online malls</v>
      </c>
      <c r="B674" t="s">
        <v>294</v>
      </c>
      <c r="C674" t="s">
        <v>288</v>
      </c>
      <c r="D674" s="3">
        <v>46216</v>
      </c>
      <c r="E674" s="3">
        <v>46222</v>
      </c>
      <c r="F674">
        <v>7</v>
      </c>
      <c r="G674" t="s">
        <v>289</v>
      </c>
      <c r="H674">
        <v>149900</v>
      </c>
      <c r="I674">
        <v>139900</v>
      </c>
      <c r="J674">
        <v>109900</v>
      </c>
      <c r="K674">
        <v>119900</v>
      </c>
      <c r="L674">
        <v>5</v>
      </c>
      <c r="M674">
        <v>549500</v>
      </c>
      <c r="N674" s="19">
        <v>544999.99999999988</v>
      </c>
      <c r="O674" s="19">
        <v>544999.99999999988</v>
      </c>
      <c r="P674" t="str">
        <f t="shared" si="4"/>
        <v>Not Found</v>
      </c>
      <c r="Q674" t="str">
        <f t="shared" si="5"/>
        <v>Not Found</v>
      </c>
    </row>
    <row r="675" spans="1:17" x14ac:dyDescent="0.35">
      <c r="A675" t="str">
        <f>_xlfn.XLOOKUP(B675,Mapping!C:C,Mapping!D:D)</f>
        <v>other Online malls</v>
      </c>
      <c r="B675" t="s">
        <v>294</v>
      </c>
      <c r="C675" t="s">
        <v>288</v>
      </c>
      <c r="D675" s="3">
        <v>46216</v>
      </c>
      <c r="E675" s="3">
        <v>46222</v>
      </c>
      <c r="F675">
        <v>7</v>
      </c>
      <c r="G675" t="s">
        <v>40</v>
      </c>
      <c r="H675">
        <v>349900</v>
      </c>
      <c r="I675">
        <v>319900</v>
      </c>
      <c r="J675">
        <v>299900</v>
      </c>
      <c r="K675">
        <v>299900</v>
      </c>
      <c r="L675">
        <v>2</v>
      </c>
      <c r="M675">
        <v>599800</v>
      </c>
      <c r="N675" s="19">
        <v>545272.72727272718</v>
      </c>
      <c r="O675" s="19">
        <v>545272.72727272718</v>
      </c>
      <c r="P675" t="str">
        <f t="shared" si="4"/>
        <v>Ninja Motorized</v>
      </c>
      <c r="Q675" t="str">
        <f t="shared" si="5"/>
        <v>Hot</v>
      </c>
    </row>
    <row r="676" spans="1:17" x14ac:dyDescent="0.35">
      <c r="A676" t="str">
        <f>_xlfn.XLOOKUP(B676,Mapping!C:C,Mapping!D:D)</f>
        <v>other Online malls</v>
      </c>
      <c r="B676" t="s">
        <v>294</v>
      </c>
      <c r="C676" t="s">
        <v>288</v>
      </c>
      <c r="D676" s="3">
        <v>46216</v>
      </c>
      <c r="E676" s="3">
        <v>46222</v>
      </c>
      <c r="F676">
        <v>7</v>
      </c>
      <c r="G676" t="s">
        <v>87</v>
      </c>
      <c r="H676">
        <v>219900</v>
      </c>
      <c r="I676">
        <v>199900</v>
      </c>
      <c r="J676">
        <v>179900</v>
      </c>
      <c r="K676">
        <v>199900</v>
      </c>
      <c r="L676">
        <v>5</v>
      </c>
      <c r="M676">
        <v>899500</v>
      </c>
      <c r="N676" s="19">
        <v>908636.36363636353</v>
      </c>
      <c r="O676" s="19">
        <v>908636.36363636353</v>
      </c>
      <c r="P676" t="str">
        <f t="shared" si="4"/>
        <v>Shark Fan</v>
      </c>
      <c r="Q676" t="str">
        <f t="shared" si="5"/>
        <v>Fan</v>
      </c>
    </row>
    <row r="677" spans="1:17" x14ac:dyDescent="0.35">
      <c r="A677" t="str">
        <f>_xlfn.XLOOKUP(B677,Mapping!C:C,Mapping!D:D)</f>
        <v>other Online malls</v>
      </c>
      <c r="B677" t="s">
        <v>294</v>
      </c>
      <c r="C677" t="s">
        <v>288</v>
      </c>
      <c r="D677" s="3">
        <v>46216</v>
      </c>
      <c r="E677" s="3">
        <v>46222</v>
      </c>
      <c r="F677">
        <v>7</v>
      </c>
      <c r="G677" t="s">
        <v>32</v>
      </c>
      <c r="H677">
        <v>349900</v>
      </c>
      <c r="I677">
        <v>299900</v>
      </c>
      <c r="J677">
        <v>269900</v>
      </c>
      <c r="K677">
        <v>299000</v>
      </c>
      <c r="L677">
        <v>5</v>
      </c>
      <c r="M677">
        <v>1349500</v>
      </c>
      <c r="N677" s="19">
        <v>1359090.9090909092</v>
      </c>
      <c r="O677" s="19">
        <v>1359090.9090909092</v>
      </c>
      <c r="P677" t="str">
        <f t="shared" si="4"/>
        <v>Ninja Motorized</v>
      </c>
      <c r="Q677" t="str">
        <f t="shared" si="5"/>
        <v>Icecream</v>
      </c>
    </row>
    <row r="678" spans="1:17" x14ac:dyDescent="0.35">
      <c r="A678" t="str">
        <f>_xlfn.XLOOKUP(B678,Mapping!C:C,Mapping!D:D)</f>
        <v>other Online malls</v>
      </c>
      <c r="B678" t="s">
        <v>294</v>
      </c>
      <c r="C678" t="s">
        <v>288</v>
      </c>
      <c r="D678" s="3">
        <v>46216</v>
      </c>
      <c r="E678" s="3">
        <v>46222</v>
      </c>
      <c r="F678">
        <v>7</v>
      </c>
      <c r="G678" t="s">
        <v>290</v>
      </c>
      <c r="H678">
        <v>249900</v>
      </c>
      <c r="I678">
        <v>219900</v>
      </c>
      <c r="J678">
        <v>199900</v>
      </c>
      <c r="K678">
        <v>219900</v>
      </c>
      <c r="L678">
        <v>5</v>
      </c>
      <c r="M678">
        <v>999500</v>
      </c>
      <c r="N678" s="19">
        <v>999545.45454545435</v>
      </c>
      <c r="O678" s="19">
        <v>999545.45454545435</v>
      </c>
      <c r="P678" t="str">
        <f t="shared" si="4"/>
        <v>Not Found</v>
      </c>
      <c r="Q678" t="str">
        <f t="shared" si="5"/>
        <v>Not Found</v>
      </c>
    </row>
    <row r="679" spans="1:17" x14ac:dyDescent="0.35">
      <c r="A679" t="str">
        <f>_xlfn.XLOOKUP(B679,Mapping!C:C,Mapping!D:D)</f>
        <v>other Online malls</v>
      </c>
      <c r="B679" t="s">
        <v>294</v>
      </c>
      <c r="C679" t="s">
        <v>288</v>
      </c>
      <c r="D679" s="3">
        <v>46216</v>
      </c>
      <c r="E679" s="3">
        <v>46222</v>
      </c>
      <c r="F679">
        <v>7</v>
      </c>
      <c r="G679" t="s">
        <v>39</v>
      </c>
      <c r="H679">
        <v>249900</v>
      </c>
      <c r="I679">
        <v>199900</v>
      </c>
      <c r="J679">
        <v>189900</v>
      </c>
      <c r="K679">
        <v>199900</v>
      </c>
      <c r="L679">
        <v>2</v>
      </c>
      <c r="M679">
        <v>379800</v>
      </c>
      <c r="N679" s="19">
        <v>363454.54545454541</v>
      </c>
      <c r="O679" s="19">
        <v>363454.54545454541</v>
      </c>
      <c r="P679" t="str">
        <f t="shared" si="4"/>
        <v>Ninja Motorized</v>
      </c>
      <c r="Q679" t="str">
        <f t="shared" si="5"/>
        <v>Trad</v>
      </c>
    </row>
    <row r="680" spans="1:17" x14ac:dyDescent="0.35">
      <c r="A680" t="str">
        <f>_xlfn.XLOOKUP(B680,Mapping!C:C,Mapping!D:D)</f>
        <v>other Online malls</v>
      </c>
      <c r="B680" t="s">
        <v>294</v>
      </c>
      <c r="C680" t="s">
        <v>288</v>
      </c>
      <c r="D680" s="3">
        <v>46216</v>
      </c>
      <c r="E680" s="3">
        <v>46222</v>
      </c>
      <c r="F680">
        <v>7</v>
      </c>
      <c r="G680" t="s">
        <v>110</v>
      </c>
      <c r="H680">
        <v>129900</v>
      </c>
      <c r="I680">
        <v>114900</v>
      </c>
      <c r="J680">
        <v>99900</v>
      </c>
      <c r="K680">
        <v>114900</v>
      </c>
      <c r="L680">
        <v>2</v>
      </c>
      <c r="M680">
        <v>199800</v>
      </c>
      <c r="N680" s="19">
        <v>208909.09090909088</v>
      </c>
      <c r="O680" s="19">
        <v>208909.09090909088</v>
      </c>
      <c r="P680" t="str">
        <f t="shared" si="4"/>
        <v>Ninja Motorized</v>
      </c>
      <c r="Q680" t="str">
        <f t="shared" si="5"/>
        <v>Trad</v>
      </c>
    </row>
    <row r="681" spans="1:17" x14ac:dyDescent="0.35">
      <c r="A681" t="str">
        <f>_xlfn.XLOOKUP(B681,Mapping!C:C,Mapping!D:D)</f>
        <v>other Online malls</v>
      </c>
      <c r="B681" t="s">
        <v>294</v>
      </c>
      <c r="C681" t="s">
        <v>288</v>
      </c>
      <c r="D681" s="3">
        <v>46216</v>
      </c>
      <c r="E681" s="3">
        <v>46222</v>
      </c>
      <c r="F681">
        <v>7</v>
      </c>
      <c r="G681" t="s">
        <v>108</v>
      </c>
      <c r="H681">
        <v>199900</v>
      </c>
      <c r="I681">
        <v>179900</v>
      </c>
      <c r="J681">
        <v>169900</v>
      </c>
      <c r="K681">
        <v>179900</v>
      </c>
      <c r="L681">
        <v>2</v>
      </c>
      <c r="M681">
        <v>339800</v>
      </c>
      <c r="N681" s="19">
        <v>327090.90909090906</v>
      </c>
      <c r="O681" s="19">
        <v>327090.90909090906</v>
      </c>
      <c r="P681" t="str">
        <f t="shared" si="4"/>
        <v>Shark Floorcare</v>
      </c>
      <c r="Q681" t="str">
        <f t="shared" si="5"/>
        <v>WV</v>
      </c>
    </row>
    <row r="682" spans="1:17" x14ac:dyDescent="0.35">
      <c r="A682" t="str">
        <f>_xlfn.XLOOKUP(B682,Mapping!C:C,Mapping!D:D)</f>
        <v>other Online malls</v>
      </c>
      <c r="B682" t="s">
        <v>294</v>
      </c>
      <c r="C682" t="s">
        <v>288</v>
      </c>
      <c r="D682" s="3">
        <v>46216</v>
      </c>
      <c r="E682" s="3">
        <v>46222</v>
      </c>
      <c r="F682">
        <v>7</v>
      </c>
      <c r="G682" t="s">
        <v>96</v>
      </c>
      <c r="H682">
        <v>139900</v>
      </c>
      <c r="I682">
        <v>119900</v>
      </c>
      <c r="J682">
        <v>99900</v>
      </c>
      <c r="K682">
        <v>119900</v>
      </c>
      <c r="L682">
        <v>2</v>
      </c>
      <c r="M682">
        <v>199800</v>
      </c>
      <c r="N682" s="19">
        <v>217999.99999999997</v>
      </c>
      <c r="O682" s="19">
        <v>217999.99999999997</v>
      </c>
      <c r="P682" t="str">
        <f t="shared" si="4"/>
        <v>Shark Floorcare</v>
      </c>
      <c r="Q682" t="str">
        <f t="shared" si="5"/>
        <v>WV</v>
      </c>
    </row>
    <row r="683" spans="1:17" x14ac:dyDescent="0.35">
      <c r="A683" t="str">
        <f>_xlfn.XLOOKUP(B683,Mapping!C:C,Mapping!D:D)</f>
        <v>other Online malls</v>
      </c>
      <c r="B683" t="s">
        <v>294</v>
      </c>
      <c r="C683" t="s">
        <v>288</v>
      </c>
      <c r="D683" s="3">
        <v>46216</v>
      </c>
      <c r="E683" s="3">
        <v>46222</v>
      </c>
      <c r="F683">
        <v>7</v>
      </c>
      <c r="G683" t="s">
        <v>88</v>
      </c>
      <c r="H683">
        <v>599000</v>
      </c>
      <c r="I683">
        <v>499000</v>
      </c>
      <c r="J683">
        <v>399900</v>
      </c>
      <c r="K683">
        <v>499000</v>
      </c>
      <c r="L683">
        <v>2</v>
      </c>
      <c r="M683">
        <v>799800</v>
      </c>
      <c r="N683" s="19">
        <v>907272.72727272718</v>
      </c>
      <c r="O683" s="19">
        <v>907272.72727272718</v>
      </c>
      <c r="P683" t="str">
        <f t="shared" si="4"/>
        <v>Shark Floorcare</v>
      </c>
      <c r="Q683" t="str">
        <f t="shared" si="5"/>
        <v>CS</v>
      </c>
    </row>
    <row r="684" spans="1:17" x14ac:dyDescent="0.35">
      <c r="A684" t="str">
        <f>_xlfn.XLOOKUP(B684,Mapping!C:C,Mapping!D:D)</f>
        <v>other Online malls</v>
      </c>
      <c r="B684" t="s">
        <v>294</v>
      </c>
      <c r="C684" t="s">
        <v>288</v>
      </c>
      <c r="D684" s="3">
        <v>46216</v>
      </c>
      <c r="E684" s="3">
        <v>46222</v>
      </c>
      <c r="F684">
        <v>7</v>
      </c>
      <c r="G684" t="s">
        <v>112</v>
      </c>
      <c r="H684">
        <v>799000</v>
      </c>
      <c r="I684">
        <v>599000</v>
      </c>
      <c r="J684">
        <v>599000</v>
      </c>
      <c r="K684">
        <v>599000</v>
      </c>
      <c r="L684">
        <v>2</v>
      </c>
      <c r="M684">
        <v>1198000</v>
      </c>
      <c r="N684" s="19">
        <v>1089090.9090909089</v>
      </c>
      <c r="O684" s="19">
        <v>1089090.9090909089</v>
      </c>
      <c r="P684" t="str">
        <f t="shared" si="4"/>
        <v>Shark Floorcare</v>
      </c>
      <c r="Q684" t="str">
        <f t="shared" si="5"/>
        <v>CS</v>
      </c>
    </row>
    <row r="685" spans="1:17" x14ac:dyDescent="0.35">
      <c r="A685" t="str">
        <f>_xlfn.XLOOKUP(B685,Mapping!C:C,Mapping!D:D)</f>
        <v>other Online malls</v>
      </c>
      <c r="B685" t="s">
        <v>294</v>
      </c>
      <c r="C685" t="s">
        <v>288</v>
      </c>
      <c r="D685" s="3">
        <v>46216</v>
      </c>
      <c r="E685" s="3">
        <v>46222</v>
      </c>
      <c r="F685">
        <v>7</v>
      </c>
      <c r="G685" t="s">
        <v>104</v>
      </c>
      <c r="H685">
        <v>799000</v>
      </c>
      <c r="I685">
        <v>699000</v>
      </c>
      <c r="J685">
        <v>649000</v>
      </c>
      <c r="K685">
        <v>699000</v>
      </c>
      <c r="L685">
        <v>2</v>
      </c>
      <c r="M685">
        <v>1298000</v>
      </c>
      <c r="N685" s="19">
        <v>1270909.0909090908</v>
      </c>
      <c r="O685" s="19">
        <v>1270909.0909090908</v>
      </c>
      <c r="P685" t="str">
        <f t="shared" si="4"/>
        <v>Shark Floorcare</v>
      </c>
      <c r="Q685" t="str">
        <f t="shared" si="5"/>
        <v>FW</v>
      </c>
    </row>
    <row r="686" spans="1:17" x14ac:dyDescent="0.35">
      <c r="A686" t="str">
        <f>_xlfn.XLOOKUP(B686,Mapping!C:C,Mapping!D:D)</f>
        <v>other Online malls</v>
      </c>
      <c r="B686" t="s">
        <v>294</v>
      </c>
      <c r="C686" t="s">
        <v>288</v>
      </c>
      <c r="D686" s="3">
        <v>46216</v>
      </c>
      <c r="E686" s="3">
        <v>46222</v>
      </c>
      <c r="F686">
        <v>7</v>
      </c>
      <c r="G686" t="s">
        <v>28</v>
      </c>
      <c r="H686">
        <v>299900</v>
      </c>
      <c r="I686">
        <v>219900</v>
      </c>
      <c r="J686">
        <v>219900</v>
      </c>
      <c r="K686">
        <v>219900</v>
      </c>
      <c r="L686">
        <v>2</v>
      </c>
      <c r="M686">
        <v>439800</v>
      </c>
      <c r="N686" s="19">
        <v>399818.18181818177</v>
      </c>
      <c r="O686" s="19">
        <v>399818.18181818177</v>
      </c>
      <c r="P686" t="str">
        <f t="shared" si="4"/>
        <v>Shark Floorcare</v>
      </c>
      <c r="Q686" t="str">
        <f t="shared" si="5"/>
        <v>WD</v>
      </c>
    </row>
    <row r="687" spans="1:17" x14ac:dyDescent="0.35">
      <c r="A687" t="str">
        <f>_xlfn.XLOOKUP(B687,Mapping!C:C,Mapping!D:D)</f>
        <v>other Online malls</v>
      </c>
      <c r="B687" t="s">
        <v>294</v>
      </c>
      <c r="C687" t="s">
        <v>288</v>
      </c>
      <c r="D687" s="3">
        <v>46216</v>
      </c>
      <c r="E687" s="3">
        <v>46222</v>
      </c>
      <c r="F687">
        <v>7</v>
      </c>
      <c r="G687" t="s">
        <v>36</v>
      </c>
      <c r="H687">
        <v>469900</v>
      </c>
      <c r="I687">
        <v>399900</v>
      </c>
      <c r="J687">
        <v>399000</v>
      </c>
      <c r="K687">
        <v>399900</v>
      </c>
      <c r="L687">
        <v>2</v>
      </c>
      <c r="M687">
        <v>798000</v>
      </c>
      <c r="N687" s="19">
        <v>727090.90909090906</v>
      </c>
      <c r="O687" s="19">
        <v>727090.90909090906</v>
      </c>
      <c r="P687" t="str">
        <f t="shared" si="4"/>
        <v>Shark Floorcare</v>
      </c>
      <c r="Q687" t="str">
        <f t="shared" si="5"/>
        <v>WD</v>
      </c>
    </row>
    <row r="688" spans="1:17" x14ac:dyDescent="0.35">
      <c r="A688" t="str">
        <f>_xlfn.XLOOKUP(B688,Mapping!C:C,Mapping!D:D)</f>
        <v>other Online malls</v>
      </c>
      <c r="B688" t="s">
        <v>294</v>
      </c>
      <c r="C688" t="s">
        <v>288</v>
      </c>
      <c r="D688" s="3">
        <v>46216</v>
      </c>
      <c r="E688" s="3">
        <v>46222</v>
      </c>
      <c r="F688">
        <v>7</v>
      </c>
      <c r="G688" t="s">
        <v>33</v>
      </c>
      <c r="H688">
        <v>399900</v>
      </c>
      <c r="I688">
        <v>349900</v>
      </c>
      <c r="J688">
        <v>299900</v>
      </c>
      <c r="K688">
        <v>399900</v>
      </c>
      <c r="L688">
        <v>25</v>
      </c>
      <c r="M688">
        <v>7497500</v>
      </c>
      <c r="N688" s="19">
        <v>9088636.3636363633</v>
      </c>
      <c r="O688" s="19">
        <v>9088636.3636363633</v>
      </c>
      <c r="P688" t="str">
        <f t="shared" si="4"/>
        <v>Shark Fan</v>
      </c>
      <c r="Q688" t="str">
        <f t="shared" si="5"/>
        <v>Fan</v>
      </c>
    </row>
    <row r="689" spans="1:17" x14ac:dyDescent="0.35">
      <c r="A689" t="str">
        <f>_xlfn.XLOOKUP(B689,Mapping!C:C,Mapping!D:D)</f>
        <v>other Online malls</v>
      </c>
      <c r="B689" t="s">
        <v>294</v>
      </c>
      <c r="C689" t="s">
        <v>288</v>
      </c>
      <c r="D689" s="3">
        <v>46216</v>
      </c>
      <c r="E689" s="3">
        <v>46222</v>
      </c>
      <c r="F689">
        <v>7</v>
      </c>
      <c r="G689" t="s">
        <v>54</v>
      </c>
      <c r="H689">
        <v>699000</v>
      </c>
      <c r="I689">
        <v>499000</v>
      </c>
      <c r="J689">
        <v>499000</v>
      </c>
      <c r="K689">
        <v>499000</v>
      </c>
      <c r="L689">
        <v>2</v>
      </c>
      <c r="M689">
        <v>998000</v>
      </c>
      <c r="N689" s="19">
        <v>907272.72727272718</v>
      </c>
      <c r="O689" s="19">
        <v>907272.72727272718</v>
      </c>
      <c r="P689" t="str">
        <f t="shared" si="4"/>
        <v>Shark Floorcare</v>
      </c>
      <c r="Q689" t="str">
        <f t="shared" si="5"/>
        <v>FW</v>
      </c>
    </row>
    <row r="690" spans="1:17" x14ac:dyDescent="0.35">
      <c r="A690" t="str">
        <f>_xlfn.XLOOKUP(B690,Mapping!C:C,Mapping!D:D)</f>
        <v>other Online malls</v>
      </c>
      <c r="B690" t="s">
        <v>294</v>
      </c>
      <c r="C690" t="s">
        <v>288</v>
      </c>
      <c r="D690" s="3">
        <v>46216</v>
      </c>
      <c r="E690" s="3">
        <v>46222</v>
      </c>
      <c r="F690">
        <v>7</v>
      </c>
      <c r="G690" t="s">
        <v>304</v>
      </c>
      <c r="H690">
        <v>249900</v>
      </c>
      <c r="I690" t="s">
        <v>115</v>
      </c>
      <c r="J690" t="s">
        <v>115</v>
      </c>
      <c r="K690">
        <v>249900</v>
      </c>
      <c r="L690">
        <v>20</v>
      </c>
      <c r="M690">
        <v>0</v>
      </c>
      <c r="N690" s="19">
        <v>4543636.3636363633</v>
      </c>
      <c r="O690" s="19">
        <v>4543636.3636363633</v>
      </c>
      <c r="P690" t="str">
        <f t="shared" si="4"/>
        <v>Not Found</v>
      </c>
      <c r="Q690" t="str">
        <f t="shared" si="5"/>
        <v>Not Found</v>
      </c>
    </row>
    <row r="691" spans="1:17" x14ac:dyDescent="0.35">
      <c r="A691" t="str">
        <f>_xlfn.XLOOKUP(B691,Mapping!C:C,Mapping!D:D)</f>
        <v>other Online malls</v>
      </c>
      <c r="B691" t="s">
        <v>294</v>
      </c>
      <c r="C691" t="s">
        <v>288</v>
      </c>
      <c r="D691" s="3">
        <v>46216</v>
      </c>
      <c r="E691" s="3">
        <v>46222</v>
      </c>
      <c r="F691">
        <v>7</v>
      </c>
      <c r="G691" t="s">
        <v>29</v>
      </c>
      <c r="H691">
        <v>349900</v>
      </c>
      <c r="I691">
        <v>299900</v>
      </c>
      <c r="J691">
        <v>279900</v>
      </c>
      <c r="K691">
        <v>299900</v>
      </c>
      <c r="L691">
        <v>2</v>
      </c>
      <c r="M691">
        <v>559800</v>
      </c>
      <c r="N691" s="19">
        <v>545272.72727272718</v>
      </c>
      <c r="O691" s="19">
        <v>545272.72727272718</v>
      </c>
      <c r="P691" t="str">
        <f t="shared" si="4"/>
        <v>Ninja Heated</v>
      </c>
      <c r="Q691" t="str">
        <f t="shared" si="5"/>
        <v>Airfry</v>
      </c>
    </row>
    <row r="692" spans="1:17" x14ac:dyDescent="0.35">
      <c r="A692" t="str">
        <f>_xlfn.XLOOKUP(B692,Mapping!C:C,Mapping!D:D)</f>
        <v>other Online malls</v>
      </c>
      <c r="B692" t="s">
        <v>294</v>
      </c>
      <c r="C692" t="s">
        <v>288</v>
      </c>
      <c r="D692" s="3">
        <v>46216</v>
      </c>
      <c r="E692" s="3">
        <v>46222</v>
      </c>
      <c r="F692">
        <v>7</v>
      </c>
      <c r="G692" t="s">
        <v>105</v>
      </c>
      <c r="H692">
        <v>299900</v>
      </c>
      <c r="I692">
        <v>269900</v>
      </c>
      <c r="J692">
        <v>249900</v>
      </c>
      <c r="K692">
        <v>269900</v>
      </c>
      <c r="L692">
        <v>2</v>
      </c>
      <c r="M692">
        <v>499800</v>
      </c>
      <c r="N692" s="19">
        <v>490727.27272727271</v>
      </c>
      <c r="O692" s="19">
        <v>490727.27272727271</v>
      </c>
      <c r="P692" t="str">
        <f t="shared" si="4"/>
        <v>Ninja Motorized</v>
      </c>
      <c r="Q692" t="str">
        <f t="shared" si="5"/>
        <v>Kitchen</v>
      </c>
    </row>
    <row r="693" spans="1:17" x14ac:dyDescent="0.35">
      <c r="A693" t="str">
        <f>_xlfn.XLOOKUP(B693,Mapping!C:C,Mapping!D:D)</f>
        <v>other Online malls</v>
      </c>
      <c r="B693" t="s">
        <v>294</v>
      </c>
      <c r="C693" t="s">
        <v>288</v>
      </c>
      <c r="D693" s="3">
        <v>46216</v>
      </c>
      <c r="E693" s="3">
        <v>46222</v>
      </c>
      <c r="F693">
        <v>7</v>
      </c>
      <c r="G693" t="s">
        <v>85</v>
      </c>
      <c r="H693">
        <v>349900</v>
      </c>
      <c r="I693">
        <v>319900</v>
      </c>
      <c r="J693">
        <v>299900</v>
      </c>
      <c r="K693">
        <v>319900</v>
      </c>
      <c r="L693">
        <v>2</v>
      </c>
      <c r="M693">
        <v>599800</v>
      </c>
      <c r="N693" s="19">
        <v>581636.36363636365</v>
      </c>
      <c r="O693" s="19">
        <v>581636.36363636365</v>
      </c>
      <c r="P693" t="str">
        <f t="shared" si="4"/>
        <v>Ninja Motorized</v>
      </c>
      <c r="Q693" t="str">
        <f t="shared" si="5"/>
        <v>Kitchen</v>
      </c>
    </row>
    <row r="694" spans="1:17" x14ac:dyDescent="0.35">
      <c r="A694" t="str">
        <f>_xlfn.XLOOKUP(B694,Mapping!C:C,Mapping!D:D)</f>
        <v>other Online malls</v>
      </c>
      <c r="B694" t="s">
        <v>294</v>
      </c>
      <c r="C694" t="s">
        <v>288</v>
      </c>
      <c r="D694" s="3">
        <v>46216</v>
      </c>
      <c r="E694" s="3">
        <v>46222</v>
      </c>
      <c r="F694">
        <v>7</v>
      </c>
      <c r="G694" t="s">
        <v>16</v>
      </c>
      <c r="H694">
        <v>199900</v>
      </c>
      <c r="I694">
        <v>129900</v>
      </c>
      <c r="J694">
        <v>129900</v>
      </c>
      <c r="K694">
        <v>129900</v>
      </c>
      <c r="L694">
        <v>3</v>
      </c>
      <c r="M694">
        <v>389700</v>
      </c>
      <c r="N694" s="19">
        <v>354272.72727272729</v>
      </c>
      <c r="O694" s="19">
        <v>354272.72727272729</v>
      </c>
      <c r="P694" t="str">
        <f t="shared" si="4"/>
        <v>Ninja Motorized</v>
      </c>
      <c r="Q694" t="str">
        <f t="shared" si="5"/>
        <v>Trad</v>
      </c>
    </row>
    <row r="695" spans="1:17" x14ac:dyDescent="0.35">
      <c r="A695" t="str">
        <f>_xlfn.XLOOKUP(B695,Mapping!C:C,Mapping!D:D)</f>
        <v>other Online malls</v>
      </c>
      <c r="B695" t="s">
        <v>294</v>
      </c>
      <c r="C695" t="s">
        <v>288</v>
      </c>
      <c r="D695" s="3">
        <v>46216</v>
      </c>
      <c r="E695" s="3">
        <v>46222</v>
      </c>
      <c r="F695">
        <v>7</v>
      </c>
      <c r="G695" t="s">
        <v>84</v>
      </c>
      <c r="H695">
        <v>169900</v>
      </c>
      <c r="I695">
        <v>149900</v>
      </c>
      <c r="J695">
        <v>129900</v>
      </c>
      <c r="K695">
        <v>149900</v>
      </c>
      <c r="L695">
        <v>3</v>
      </c>
      <c r="M695">
        <v>389700</v>
      </c>
      <c r="N695" s="19">
        <v>408818.18181818177</v>
      </c>
      <c r="O695" s="19">
        <v>408818.18181818177</v>
      </c>
      <c r="P695" t="str">
        <f t="shared" si="4"/>
        <v>Ninja Motorized</v>
      </c>
      <c r="Q695" t="str">
        <f t="shared" si="5"/>
        <v>Trad</v>
      </c>
    </row>
    <row r="696" spans="1:17" x14ac:dyDescent="0.35">
      <c r="A696" t="str">
        <f>_xlfn.XLOOKUP(B696,Mapping!C:C,Mapping!D:D)</f>
        <v>other Online malls</v>
      </c>
      <c r="B696" t="s">
        <v>294</v>
      </c>
      <c r="C696" t="s">
        <v>288</v>
      </c>
      <c r="D696" s="3">
        <v>46216</v>
      </c>
      <c r="E696" s="3">
        <v>46222</v>
      </c>
      <c r="F696">
        <v>7</v>
      </c>
      <c r="G696" t="s">
        <v>73</v>
      </c>
      <c r="H696">
        <v>139900</v>
      </c>
      <c r="I696">
        <v>129900</v>
      </c>
      <c r="J696">
        <v>119900</v>
      </c>
      <c r="K696">
        <v>129900</v>
      </c>
      <c r="L696">
        <v>3</v>
      </c>
      <c r="M696">
        <v>359700</v>
      </c>
      <c r="N696" s="19">
        <v>354272.72727272729</v>
      </c>
      <c r="O696" s="19">
        <v>354272.72727272729</v>
      </c>
      <c r="P696" t="str">
        <f t="shared" si="4"/>
        <v>Ninja Motorized</v>
      </c>
      <c r="Q696" t="str">
        <f t="shared" si="5"/>
        <v>Hand</v>
      </c>
    </row>
    <row r="697" spans="1:17" x14ac:dyDescent="0.35">
      <c r="A697" t="str">
        <f>_xlfn.XLOOKUP(B697,Mapping!C:C,Mapping!D:D)</f>
        <v>Dept Store</v>
      </c>
      <c r="B697" t="s">
        <v>167</v>
      </c>
      <c r="C697" t="s">
        <v>307</v>
      </c>
      <c r="D697" s="3">
        <v>46209</v>
      </c>
      <c r="E697" s="3">
        <v>46234</v>
      </c>
      <c r="F697">
        <f>E697-D697+1</f>
        <v>26</v>
      </c>
      <c r="G697" t="s">
        <v>25</v>
      </c>
      <c r="H697">
        <v>899000</v>
      </c>
      <c r="I697">
        <v>779000</v>
      </c>
      <c r="J697">
        <v>779000</v>
      </c>
      <c r="K697">
        <v>779000</v>
      </c>
      <c r="L697">
        <v>40</v>
      </c>
      <c r="M697">
        <v>31160000</v>
      </c>
      <c r="N697" s="19">
        <v>32690909.090909086</v>
      </c>
      <c r="O697" s="19">
        <v>32690909.090909086</v>
      </c>
      <c r="P697" t="str">
        <f t="shared" si="4"/>
        <v>Shark Floorcare</v>
      </c>
      <c r="Q697" t="str">
        <f t="shared" si="5"/>
        <v>FW</v>
      </c>
    </row>
    <row r="698" spans="1:17" x14ac:dyDescent="0.35">
      <c r="A698" t="str">
        <f>_xlfn.XLOOKUP(B698,Mapping!C:C,Mapping!D:D)</f>
        <v>Dept Store</v>
      </c>
      <c r="B698" t="s">
        <v>167</v>
      </c>
      <c r="C698" t="s">
        <v>307</v>
      </c>
      <c r="D698" s="3">
        <v>46209</v>
      </c>
      <c r="E698" s="3">
        <v>46215</v>
      </c>
      <c r="F698">
        <f t="shared" ref="F698:F761" si="6">E698-D698+1</f>
        <v>7</v>
      </c>
      <c r="G698" t="s">
        <v>31</v>
      </c>
      <c r="H698">
        <v>849000</v>
      </c>
      <c r="I698">
        <v>749000</v>
      </c>
      <c r="J698">
        <v>699000</v>
      </c>
      <c r="K698">
        <v>749000</v>
      </c>
      <c r="L698">
        <v>35</v>
      </c>
      <c r="M698">
        <v>26215000</v>
      </c>
      <c r="N698" s="19">
        <v>27013636.363636363</v>
      </c>
      <c r="O698" s="19">
        <v>27013636.363636363</v>
      </c>
      <c r="P698" t="str">
        <f t="shared" si="4"/>
        <v>Shark Floorcare</v>
      </c>
      <c r="Q698" t="str">
        <f t="shared" si="5"/>
        <v>FW</v>
      </c>
    </row>
    <row r="699" spans="1:17" x14ac:dyDescent="0.35">
      <c r="A699" t="str">
        <f>_xlfn.XLOOKUP(B699,Mapping!C:C,Mapping!D:D)</f>
        <v>Dept Store</v>
      </c>
      <c r="B699" t="s">
        <v>167</v>
      </c>
      <c r="C699" t="s">
        <v>307</v>
      </c>
      <c r="D699" s="3">
        <v>46216</v>
      </c>
      <c r="E699" s="3">
        <v>46234</v>
      </c>
      <c r="F699">
        <f t="shared" si="6"/>
        <v>19</v>
      </c>
      <c r="G699" t="s">
        <v>31</v>
      </c>
      <c r="H699">
        <v>849000</v>
      </c>
      <c r="I699">
        <v>749000</v>
      </c>
      <c r="J699">
        <v>699000</v>
      </c>
      <c r="K699">
        <v>849000</v>
      </c>
      <c r="L699">
        <v>5</v>
      </c>
      <c r="M699">
        <v>4245000</v>
      </c>
      <c r="N699" s="19">
        <v>3859090.9090909087</v>
      </c>
      <c r="O699" s="19">
        <v>3859090.9090909087</v>
      </c>
      <c r="P699" t="str">
        <f t="shared" si="4"/>
        <v>Shark Floorcare</v>
      </c>
      <c r="Q699" t="str">
        <f t="shared" si="5"/>
        <v>FW</v>
      </c>
    </row>
    <row r="700" spans="1:17" x14ac:dyDescent="0.35">
      <c r="A700" t="str">
        <f>_xlfn.XLOOKUP(B700,Mapping!C:C,Mapping!D:D)</f>
        <v>Dept Store</v>
      </c>
      <c r="B700" t="s">
        <v>167</v>
      </c>
      <c r="C700" t="s">
        <v>307</v>
      </c>
      <c r="D700" s="3">
        <v>46209</v>
      </c>
      <c r="E700" s="3">
        <v>46234</v>
      </c>
      <c r="F700">
        <f t="shared" si="6"/>
        <v>26</v>
      </c>
      <c r="G700" t="s">
        <v>26</v>
      </c>
      <c r="H700">
        <v>899000</v>
      </c>
      <c r="I700">
        <v>849000</v>
      </c>
      <c r="J700">
        <v>799000</v>
      </c>
      <c r="K700">
        <v>899000</v>
      </c>
      <c r="L700">
        <v>150</v>
      </c>
      <c r="M700">
        <v>134850000</v>
      </c>
      <c r="N700" s="19">
        <v>122590909.09090908</v>
      </c>
      <c r="O700" s="19">
        <v>122590909.09090908</v>
      </c>
      <c r="P700" t="str">
        <f t="shared" si="4"/>
        <v>Shark Floorcare</v>
      </c>
      <c r="Q700" t="str">
        <f t="shared" si="5"/>
        <v>FW</v>
      </c>
    </row>
    <row r="701" spans="1:17" x14ac:dyDescent="0.35">
      <c r="A701" t="str">
        <f>_xlfn.XLOOKUP(B701,Mapping!C:C,Mapping!D:D)</f>
        <v>Dept Store</v>
      </c>
      <c r="B701" t="s">
        <v>167</v>
      </c>
      <c r="C701" t="s">
        <v>307</v>
      </c>
      <c r="D701" s="3">
        <v>46209</v>
      </c>
      <c r="E701" s="3">
        <v>46234</v>
      </c>
      <c r="F701">
        <f t="shared" si="6"/>
        <v>26</v>
      </c>
      <c r="G701" t="s">
        <v>23</v>
      </c>
      <c r="H701">
        <v>899000</v>
      </c>
      <c r="I701">
        <v>849000</v>
      </c>
      <c r="J701">
        <v>799000</v>
      </c>
      <c r="K701">
        <v>849000</v>
      </c>
      <c r="L701">
        <v>10</v>
      </c>
      <c r="M701">
        <v>8490000</v>
      </c>
      <c r="N701" s="19">
        <v>8172727.2727272715</v>
      </c>
      <c r="O701" s="19">
        <v>8172727.2727272715</v>
      </c>
      <c r="P701" t="str">
        <f t="shared" si="4"/>
        <v>Shark Floorcare</v>
      </c>
      <c r="Q701" t="str">
        <f t="shared" si="5"/>
        <v>Kion</v>
      </c>
    </row>
    <row r="702" spans="1:17" x14ac:dyDescent="0.35">
      <c r="A702" t="str">
        <f>_xlfn.XLOOKUP(B702,Mapping!C:C,Mapping!D:D)</f>
        <v>Dept Store</v>
      </c>
      <c r="B702" t="s">
        <v>167</v>
      </c>
      <c r="C702" t="s">
        <v>307</v>
      </c>
      <c r="D702" s="3">
        <v>46209</v>
      </c>
      <c r="E702" s="3">
        <v>46234</v>
      </c>
      <c r="F702">
        <f t="shared" si="6"/>
        <v>26</v>
      </c>
      <c r="G702" t="s">
        <v>48</v>
      </c>
      <c r="H702">
        <v>899000</v>
      </c>
      <c r="I702">
        <v>849000</v>
      </c>
      <c r="J702">
        <v>799000</v>
      </c>
      <c r="K702">
        <v>849000</v>
      </c>
      <c r="L702">
        <v>10</v>
      </c>
      <c r="M702">
        <v>8490000</v>
      </c>
      <c r="N702" s="19">
        <v>8172727.2727272715</v>
      </c>
      <c r="O702" s="19">
        <v>8172727.2727272715</v>
      </c>
      <c r="P702" t="str">
        <f t="shared" si="4"/>
        <v>Shark Floorcare</v>
      </c>
      <c r="Q702" t="str">
        <f t="shared" si="5"/>
        <v>Kion</v>
      </c>
    </row>
    <row r="703" spans="1:17" x14ac:dyDescent="0.35">
      <c r="A703" t="str">
        <f>_xlfn.XLOOKUP(B703,Mapping!C:C,Mapping!D:D)</f>
        <v>Dept Store</v>
      </c>
      <c r="B703" t="s">
        <v>167</v>
      </c>
      <c r="C703" t="s">
        <v>307</v>
      </c>
      <c r="D703" s="3">
        <v>46209</v>
      </c>
      <c r="E703" s="3">
        <v>46234</v>
      </c>
      <c r="F703">
        <f t="shared" si="6"/>
        <v>26</v>
      </c>
      <c r="G703" t="s">
        <v>28</v>
      </c>
      <c r="H703">
        <v>299900</v>
      </c>
      <c r="I703">
        <v>219900</v>
      </c>
      <c r="J703">
        <v>219900</v>
      </c>
      <c r="K703">
        <v>299900</v>
      </c>
      <c r="L703">
        <v>10</v>
      </c>
      <c r="M703">
        <v>2999000</v>
      </c>
      <c r="N703" s="19">
        <v>2726363.6363636358</v>
      </c>
      <c r="O703" s="19">
        <v>2726363.6363636358</v>
      </c>
      <c r="P703" t="str">
        <f t="shared" si="4"/>
        <v>Shark Floorcare</v>
      </c>
      <c r="Q703" t="str">
        <f t="shared" si="5"/>
        <v>WD</v>
      </c>
    </row>
    <row r="704" spans="1:17" x14ac:dyDescent="0.35">
      <c r="A704" t="str">
        <f>_xlfn.XLOOKUP(B704,Mapping!C:C,Mapping!D:D)</f>
        <v>Dept Store</v>
      </c>
      <c r="B704" t="s">
        <v>167</v>
      </c>
      <c r="C704" t="s">
        <v>307</v>
      </c>
      <c r="D704" s="3">
        <v>46209</v>
      </c>
      <c r="E704" s="3">
        <v>46234</v>
      </c>
      <c r="F704">
        <f t="shared" si="6"/>
        <v>26</v>
      </c>
      <c r="G704" t="s">
        <v>108</v>
      </c>
      <c r="H704">
        <v>199900</v>
      </c>
      <c r="I704">
        <v>179900</v>
      </c>
      <c r="J704">
        <v>169900</v>
      </c>
      <c r="K704">
        <v>199900</v>
      </c>
      <c r="L704">
        <v>10</v>
      </c>
      <c r="M704">
        <v>1999000</v>
      </c>
      <c r="N704" s="19">
        <v>1817272.7272727271</v>
      </c>
      <c r="O704" s="19">
        <v>1817272.7272727271</v>
      </c>
      <c r="P704" t="str">
        <f t="shared" si="4"/>
        <v>Shark Floorcare</v>
      </c>
      <c r="Q704" t="str">
        <f t="shared" si="5"/>
        <v>WV</v>
      </c>
    </row>
    <row r="705" spans="1:17" x14ac:dyDescent="0.35">
      <c r="A705" t="str">
        <f>_xlfn.XLOOKUP(B705,Mapping!C:C,Mapping!D:D)</f>
        <v>Dept Store</v>
      </c>
      <c r="B705" t="s">
        <v>167</v>
      </c>
      <c r="C705" t="s">
        <v>307</v>
      </c>
      <c r="D705" s="3">
        <v>46209</v>
      </c>
      <c r="E705" s="3">
        <v>46234</v>
      </c>
      <c r="F705">
        <f t="shared" si="6"/>
        <v>26</v>
      </c>
      <c r="G705" t="s">
        <v>36</v>
      </c>
      <c r="H705">
        <v>469900</v>
      </c>
      <c r="I705">
        <v>399900</v>
      </c>
      <c r="J705">
        <v>399000</v>
      </c>
      <c r="K705">
        <v>469900</v>
      </c>
      <c r="L705">
        <v>10</v>
      </c>
      <c r="M705">
        <v>4699000</v>
      </c>
      <c r="N705" s="19">
        <v>4271818.1818181816</v>
      </c>
      <c r="O705" s="19">
        <v>4271818.1818181816</v>
      </c>
      <c r="P705" t="str">
        <f t="shared" ref="P705:P753" si="7">_xlfn.XLOOKUP(G705,$G$2:$G$529,$P$2:$P$529,"Not Found")</f>
        <v>Shark Floorcare</v>
      </c>
      <c r="Q705" t="str">
        <f t="shared" ref="Q705:Q753" si="8">_xlfn.XLOOKUP(G705,$G$2:$G$529,$Q$2:$Q$529,"Not Found")</f>
        <v>WD</v>
      </c>
    </row>
    <row r="706" spans="1:17" x14ac:dyDescent="0.35">
      <c r="A706" t="str">
        <f>_xlfn.XLOOKUP(B706,Mapping!C:C,Mapping!D:D)</f>
        <v>Dept Store</v>
      </c>
      <c r="B706" t="s">
        <v>167</v>
      </c>
      <c r="C706" t="s">
        <v>307</v>
      </c>
      <c r="D706" s="3">
        <v>46209</v>
      </c>
      <c r="E706" s="3">
        <v>46222</v>
      </c>
      <c r="F706">
        <f t="shared" si="6"/>
        <v>14</v>
      </c>
      <c r="G706" t="s">
        <v>87</v>
      </c>
      <c r="H706">
        <v>219900</v>
      </c>
      <c r="I706">
        <v>199900</v>
      </c>
      <c r="J706">
        <v>179900</v>
      </c>
      <c r="K706">
        <v>219900</v>
      </c>
      <c r="L706">
        <v>5</v>
      </c>
      <c r="M706">
        <v>1099500</v>
      </c>
      <c r="N706" s="19">
        <v>999545.45454545435</v>
      </c>
      <c r="O706" s="19">
        <v>999545.45454545435</v>
      </c>
      <c r="P706" t="str">
        <f t="shared" si="7"/>
        <v>Shark Fan</v>
      </c>
      <c r="Q706" t="str">
        <f t="shared" si="8"/>
        <v>Fan</v>
      </c>
    </row>
    <row r="707" spans="1:17" x14ac:dyDescent="0.35">
      <c r="A707" t="str">
        <f>_xlfn.XLOOKUP(B707,Mapping!C:C,Mapping!D:D)</f>
        <v>Dept Store</v>
      </c>
      <c r="B707" t="s">
        <v>167</v>
      </c>
      <c r="C707" t="s">
        <v>307</v>
      </c>
      <c r="D707" s="3">
        <v>46223</v>
      </c>
      <c r="E707" s="3">
        <v>46234</v>
      </c>
      <c r="F707">
        <f t="shared" si="6"/>
        <v>12</v>
      </c>
      <c r="G707" t="s">
        <v>87</v>
      </c>
      <c r="H707">
        <v>219900</v>
      </c>
      <c r="I707">
        <v>199900</v>
      </c>
      <c r="J707">
        <v>179900</v>
      </c>
      <c r="K707">
        <v>179900</v>
      </c>
      <c r="L707">
        <v>15</v>
      </c>
      <c r="M707">
        <v>2698500</v>
      </c>
      <c r="N707" s="19">
        <v>2998636.3636363633</v>
      </c>
      <c r="O707" s="19">
        <v>2998636.3636363633</v>
      </c>
      <c r="P707" t="str">
        <f t="shared" si="7"/>
        <v>Shark Fan</v>
      </c>
      <c r="Q707" t="str">
        <f t="shared" si="8"/>
        <v>Fan</v>
      </c>
    </row>
    <row r="708" spans="1:17" x14ac:dyDescent="0.35">
      <c r="A708" t="str">
        <f>_xlfn.XLOOKUP(B708,Mapping!C:C,Mapping!D:D)</f>
        <v>Dept Store</v>
      </c>
      <c r="B708" t="s">
        <v>167</v>
      </c>
      <c r="C708" t="s">
        <v>307</v>
      </c>
      <c r="D708" s="3">
        <v>46209</v>
      </c>
      <c r="E708" s="3">
        <v>46222</v>
      </c>
      <c r="F708">
        <f t="shared" si="6"/>
        <v>14</v>
      </c>
      <c r="G708" t="s">
        <v>98</v>
      </c>
      <c r="H708">
        <v>219900</v>
      </c>
      <c r="I708">
        <v>199900</v>
      </c>
      <c r="J708">
        <v>179900</v>
      </c>
      <c r="K708">
        <v>219900</v>
      </c>
      <c r="L708">
        <v>5</v>
      </c>
      <c r="M708">
        <v>1099500</v>
      </c>
      <c r="N708" s="19">
        <v>999545.45454545435</v>
      </c>
      <c r="O708" s="19">
        <v>999545.45454545435</v>
      </c>
      <c r="P708" t="str">
        <f t="shared" si="7"/>
        <v>Shark Fan</v>
      </c>
      <c r="Q708" t="str">
        <f t="shared" si="8"/>
        <v>Fan</v>
      </c>
    </row>
    <row r="709" spans="1:17" x14ac:dyDescent="0.35">
      <c r="A709" t="str">
        <f>_xlfn.XLOOKUP(B709,Mapping!C:C,Mapping!D:D)</f>
        <v>Dept Store</v>
      </c>
      <c r="B709" t="s">
        <v>167</v>
      </c>
      <c r="C709" t="s">
        <v>307</v>
      </c>
      <c r="D709" s="3">
        <v>46223</v>
      </c>
      <c r="E709" s="3">
        <v>46234</v>
      </c>
      <c r="F709">
        <f t="shared" si="6"/>
        <v>12</v>
      </c>
      <c r="G709" t="s">
        <v>98</v>
      </c>
      <c r="H709">
        <v>219900</v>
      </c>
      <c r="I709">
        <v>199900</v>
      </c>
      <c r="J709">
        <v>179900</v>
      </c>
      <c r="K709">
        <v>179900</v>
      </c>
      <c r="L709">
        <v>15</v>
      </c>
      <c r="M709">
        <v>2698500</v>
      </c>
      <c r="N709" s="19">
        <v>2998636.3636363633</v>
      </c>
      <c r="O709" s="19">
        <v>2998636.3636363633</v>
      </c>
      <c r="P709" t="str">
        <f t="shared" si="7"/>
        <v>Shark Fan</v>
      </c>
      <c r="Q709" t="str">
        <f t="shared" si="8"/>
        <v>Fan</v>
      </c>
    </row>
    <row r="710" spans="1:17" x14ac:dyDescent="0.35">
      <c r="A710" t="str">
        <f>_xlfn.XLOOKUP(B710,Mapping!C:C,Mapping!D:D)</f>
        <v>Dept Store</v>
      </c>
      <c r="B710" t="s">
        <v>167</v>
      </c>
      <c r="C710" t="s">
        <v>307</v>
      </c>
      <c r="D710" s="3">
        <v>46209</v>
      </c>
      <c r="E710" s="3">
        <v>46222</v>
      </c>
      <c r="F710">
        <f t="shared" si="6"/>
        <v>14</v>
      </c>
      <c r="G710" t="s">
        <v>99</v>
      </c>
      <c r="H710">
        <v>219900</v>
      </c>
      <c r="I710">
        <v>199900</v>
      </c>
      <c r="J710">
        <v>179900</v>
      </c>
      <c r="K710">
        <v>219900</v>
      </c>
      <c r="L710">
        <v>5</v>
      </c>
      <c r="M710">
        <v>1099500</v>
      </c>
      <c r="N710" s="19">
        <v>999545.45454545435</v>
      </c>
      <c r="O710" s="19">
        <v>999545.45454545435</v>
      </c>
      <c r="P710" t="str">
        <f t="shared" si="7"/>
        <v>Shark Fan</v>
      </c>
      <c r="Q710" t="str">
        <f t="shared" si="8"/>
        <v>Fan</v>
      </c>
    </row>
    <row r="711" spans="1:17" x14ac:dyDescent="0.35">
      <c r="A711" t="str">
        <f>_xlfn.XLOOKUP(B711,Mapping!C:C,Mapping!D:D)</f>
        <v>Dept Store</v>
      </c>
      <c r="B711" t="s">
        <v>167</v>
      </c>
      <c r="C711" t="s">
        <v>307</v>
      </c>
      <c r="D711" s="3">
        <v>46223</v>
      </c>
      <c r="E711" s="3">
        <v>46234</v>
      </c>
      <c r="F711">
        <f t="shared" si="6"/>
        <v>12</v>
      </c>
      <c r="G711" t="s">
        <v>99</v>
      </c>
      <c r="H711">
        <v>219900</v>
      </c>
      <c r="I711">
        <v>199900</v>
      </c>
      <c r="J711">
        <v>179900</v>
      </c>
      <c r="K711">
        <v>179900</v>
      </c>
      <c r="L711">
        <v>15</v>
      </c>
      <c r="M711">
        <v>2698500</v>
      </c>
      <c r="N711" s="19">
        <v>2998636.3636363633</v>
      </c>
      <c r="O711" s="19">
        <v>2998636.3636363633</v>
      </c>
      <c r="P711" t="str">
        <f t="shared" si="7"/>
        <v>Shark Fan</v>
      </c>
      <c r="Q711" t="str">
        <f t="shared" si="8"/>
        <v>Fan</v>
      </c>
    </row>
    <row r="712" spans="1:17" x14ac:dyDescent="0.35">
      <c r="A712" t="str">
        <f>_xlfn.XLOOKUP(B712,Mapping!C:C,Mapping!D:D)</f>
        <v>Dept Store</v>
      </c>
      <c r="B712" t="s">
        <v>167</v>
      </c>
      <c r="C712" t="s">
        <v>307</v>
      </c>
      <c r="D712" s="3">
        <v>46209</v>
      </c>
      <c r="E712" s="3">
        <v>46222</v>
      </c>
      <c r="F712">
        <f t="shared" si="6"/>
        <v>14</v>
      </c>
      <c r="G712" t="s">
        <v>109</v>
      </c>
      <c r="H712">
        <v>249900</v>
      </c>
      <c r="I712">
        <v>219900</v>
      </c>
      <c r="J712">
        <v>199900</v>
      </c>
      <c r="K712">
        <v>249900</v>
      </c>
      <c r="L712">
        <v>30</v>
      </c>
      <c r="M712">
        <v>7497000</v>
      </c>
      <c r="N712" s="19">
        <v>6815454.5454545449</v>
      </c>
      <c r="O712" s="19">
        <v>6815454.5454545449</v>
      </c>
      <c r="P712" t="str">
        <f t="shared" si="7"/>
        <v>Shark Fan</v>
      </c>
      <c r="Q712" t="str">
        <f t="shared" si="8"/>
        <v>Fan</v>
      </c>
    </row>
    <row r="713" spans="1:17" x14ac:dyDescent="0.35">
      <c r="A713" t="str">
        <f>_xlfn.XLOOKUP(B713,Mapping!C:C,Mapping!D:D)</f>
        <v>Dept Store</v>
      </c>
      <c r="B713" t="s">
        <v>167</v>
      </c>
      <c r="C713" t="s">
        <v>307</v>
      </c>
      <c r="D713" s="3">
        <v>46223</v>
      </c>
      <c r="E713" s="3">
        <v>46234</v>
      </c>
      <c r="F713">
        <f t="shared" si="6"/>
        <v>12</v>
      </c>
      <c r="G713" t="s">
        <v>109</v>
      </c>
      <c r="H713">
        <v>249900</v>
      </c>
      <c r="I713">
        <v>219900</v>
      </c>
      <c r="J713">
        <v>199900</v>
      </c>
      <c r="K713">
        <v>199900</v>
      </c>
      <c r="L713">
        <v>30</v>
      </c>
      <c r="M713">
        <v>5997000</v>
      </c>
      <c r="N713" s="19">
        <v>6815454.5454545449</v>
      </c>
      <c r="O713" s="19">
        <v>6815454.5454545449</v>
      </c>
      <c r="P713" t="str">
        <f t="shared" si="7"/>
        <v>Shark Fan</v>
      </c>
      <c r="Q713" t="str">
        <f t="shared" si="8"/>
        <v>Fan</v>
      </c>
    </row>
    <row r="714" spans="1:17" x14ac:dyDescent="0.35">
      <c r="A714" t="str">
        <f>_xlfn.XLOOKUP(B714,Mapping!C:C,Mapping!D:D)</f>
        <v>Dept Store</v>
      </c>
      <c r="B714" t="s">
        <v>167</v>
      </c>
      <c r="C714" t="s">
        <v>307</v>
      </c>
      <c r="D714" s="3">
        <v>46209</v>
      </c>
      <c r="E714" s="3">
        <v>46222</v>
      </c>
      <c r="F714">
        <f t="shared" si="6"/>
        <v>14</v>
      </c>
      <c r="G714" t="s">
        <v>111</v>
      </c>
      <c r="H714">
        <v>249900</v>
      </c>
      <c r="I714">
        <v>219900</v>
      </c>
      <c r="J714">
        <v>199900</v>
      </c>
      <c r="K714">
        <v>249900</v>
      </c>
      <c r="L714">
        <v>30</v>
      </c>
      <c r="M714">
        <v>7497000</v>
      </c>
      <c r="N714" s="19">
        <v>6815454.5454545449</v>
      </c>
      <c r="O714" s="19">
        <v>6815454.5454545449</v>
      </c>
      <c r="P714" t="str">
        <f t="shared" si="7"/>
        <v>Shark Fan</v>
      </c>
      <c r="Q714" t="str">
        <f t="shared" si="8"/>
        <v>Fan</v>
      </c>
    </row>
    <row r="715" spans="1:17" x14ac:dyDescent="0.35">
      <c r="A715" t="str">
        <f>_xlfn.XLOOKUP(B715,Mapping!C:C,Mapping!D:D)</f>
        <v>Dept Store</v>
      </c>
      <c r="B715" t="s">
        <v>167</v>
      </c>
      <c r="C715" t="s">
        <v>307</v>
      </c>
      <c r="D715" s="3">
        <v>46223</v>
      </c>
      <c r="E715" s="3">
        <v>46234</v>
      </c>
      <c r="F715">
        <f t="shared" si="6"/>
        <v>12</v>
      </c>
      <c r="G715" t="s">
        <v>111</v>
      </c>
      <c r="H715">
        <v>249900</v>
      </c>
      <c r="I715">
        <v>219900</v>
      </c>
      <c r="J715">
        <v>199900</v>
      </c>
      <c r="K715">
        <v>199900</v>
      </c>
      <c r="L715">
        <v>30</v>
      </c>
      <c r="M715">
        <v>5997000</v>
      </c>
      <c r="N715" s="19">
        <v>6815454.5454545449</v>
      </c>
      <c r="O715" s="19">
        <v>6815454.5454545449</v>
      </c>
      <c r="P715" t="str">
        <f t="shared" si="7"/>
        <v>Shark Fan</v>
      </c>
      <c r="Q715" t="str">
        <f t="shared" si="8"/>
        <v>Fan</v>
      </c>
    </row>
    <row r="716" spans="1:17" x14ac:dyDescent="0.35">
      <c r="A716" t="str">
        <f>_xlfn.XLOOKUP(B716,Mapping!C:C,Mapping!D:D)</f>
        <v>Dept Store</v>
      </c>
      <c r="B716" t="s">
        <v>167</v>
      </c>
      <c r="C716" t="s">
        <v>307</v>
      </c>
      <c r="D716" s="3">
        <v>46223</v>
      </c>
      <c r="E716" s="3">
        <v>46229</v>
      </c>
      <c r="F716">
        <f t="shared" si="6"/>
        <v>7</v>
      </c>
      <c r="G716" t="s">
        <v>41</v>
      </c>
      <c r="H716">
        <v>299900</v>
      </c>
      <c r="I716">
        <v>269900</v>
      </c>
      <c r="J716">
        <v>249900</v>
      </c>
      <c r="K716">
        <v>299900</v>
      </c>
      <c r="L716">
        <v>30</v>
      </c>
      <c r="M716">
        <v>8997000</v>
      </c>
      <c r="N716" s="19">
        <v>8179090.9090909073</v>
      </c>
      <c r="O716" s="19">
        <v>8179090.9090909073</v>
      </c>
      <c r="P716" t="str">
        <f t="shared" si="7"/>
        <v>Shark Fan</v>
      </c>
      <c r="Q716" t="str">
        <f t="shared" si="8"/>
        <v>Fan</v>
      </c>
    </row>
    <row r="717" spans="1:17" x14ac:dyDescent="0.35">
      <c r="A717" t="str">
        <f>_xlfn.XLOOKUP(B717,Mapping!C:C,Mapping!D:D)</f>
        <v>Dept Store</v>
      </c>
      <c r="B717" t="s">
        <v>167</v>
      </c>
      <c r="C717" t="s">
        <v>307</v>
      </c>
      <c r="D717" s="3">
        <v>46230</v>
      </c>
      <c r="E717" s="3">
        <v>46234</v>
      </c>
      <c r="F717">
        <f t="shared" si="6"/>
        <v>5</v>
      </c>
      <c r="G717" t="s">
        <v>41</v>
      </c>
      <c r="H717">
        <v>299900</v>
      </c>
      <c r="I717">
        <v>269900</v>
      </c>
      <c r="J717">
        <v>249900</v>
      </c>
      <c r="K717">
        <v>249900</v>
      </c>
      <c r="L717">
        <v>100</v>
      </c>
      <c r="M717">
        <v>24990000</v>
      </c>
      <c r="N717" s="19">
        <v>27263636.36363636</v>
      </c>
      <c r="O717" s="19">
        <v>27263636.36363636</v>
      </c>
      <c r="P717" t="str">
        <f t="shared" si="7"/>
        <v>Shark Fan</v>
      </c>
      <c r="Q717" t="str">
        <f t="shared" si="8"/>
        <v>Fan</v>
      </c>
    </row>
    <row r="718" spans="1:17" x14ac:dyDescent="0.35">
      <c r="A718" t="str">
        <f>_xlfn.XLOOKUP(B718,Mapping!C:C,Mapping!D:D)</f>
        <v>Dept Store</v>
      </c>
      <c r="B718" t="s">
        <v>167</v>
      </c>
      <c r="C718" t="s">
        <v>307</v>
      </c>
      <c r="D718" s="3">
        <v>46209</v>
      </c>
      <c r="E718" s="3">
        <v>46229</v>
      </c>
      <c r="F718">
        <f t="shared" si="6"/>
        <v>21</v>
      </c>
      <c r="G718" t="s">
        <v>32</v>
      </c>
      <c r="H718">
        <v>349900</v>
      </c>
      <c r="I718">
        <v>299900</v>
      </c>
      <c r="J718">
        <v>269900</v>
      </c>
      <c r="K718">
        <v>349900</v>
      </c>
      <c r="L718">
        <v>50</v>
      </c>
      <c r="M718">
        <v>17495000</v>
      </c>
      <c r="N718" s="19">
        <v>15904545.454545453</v>
      </c>
      <c r="O718" s="19">
        <v>15904545.454545453</v>
      </c>
      <c r="P718" t="str">
        <f t="shared" si="7"/>
        <v>Ninja Motorized</v>
      </c>
      <c r="Q718" t="str">
        <f t="shared" si="8"/>
        <v>Icecream</v>
      </c>
    </row>
    <row r="719" spans="1:17" x14ac:dyDescent="0.35">
      <c r="A719" t="str">
        <f>_xlfn.XLOOKUP(B719,Mapping!C:C,Mapping!D:D)</f>
        <v>Dept Store</v>
      </c>
      <c r="B719" t="s">
        <v>167</v>
      </c>
      <c r="C719" t="s">
        <v>307</v>
      </c>
      <c r="D719" s="3">
        <v>46230</v>
      </c>
      <c r="E719" s="3">
        <v>46234</v>
      </c>
      <c r="F719">
        <f t="shared" si="6"/>
        <v>5</v>
      </c>
      <c r="G719" t="s">
        <v>32</v>
      </c>
      <c r="H719">
        <v>349900</v>
      </c>
      <c r="I719">
        <v>299900</v>
      </c>
      <c r="J719">
        <v>269900</v>
      </c>
      <c r="K719">
        <v>299000</v>
      </c>
      <c r="L719">
        <v>100</v>
      </c>
      <c r="M719">
        <v>29900000</v>
      </c>
      <c r="N719" s="19">
        <v>31809090.909090906</v>
      </c>
      <c r="O719" s="19">
        <v>31809090.909090906</v>
      </c>
      <c r="P719" t="str">
        <f t="shared" si="7"/>
        <v>Ninja Motorized</v>
      </c>
      <c r="Q719" t="str">
        <f t="shared" si="8"/>
        <v>Icecream</v>
      </c>
    </row>
    <row r="720" spans="1:17" x14ac:dyDescent="0.35">
      <c r="A720" t="str">
        <f>_xlfn.XLOOKUP(B720,Mapping!C:C,Mapping!D:D)</f>
        <v>Dept Store</v>
      </c>
      <c r="B720" t="s">
        <v>167</v>
      </c>
      <c r="C720" t="s">
        <v>307</v>
      </c>
      <c r="D720" s="3">
        <v>46209</v>
      </c>
      <c r="E720" s="3">
        <v>46222</v>
      </c>
      <c r="F720">
        <f t="shared" si="6"/>
        <v>14</v>
      </c>
      <c r="G720" t="s">
        <v>92</v>
      </c>
      <c r="H720">
        <v>119900</v>
      </c>
      <c r="I720">
        <v>99900</v>
      </c>
      <c r="J720">
        <v>84900</v>
      </c>
      <c r="K720">
        <v>119900</v>
      </c>
      <c r="L720">
        <v>5</v>
      </c>
      <c r="M720">
        <v>599500</v>
      </c>
      <c r="N720" s="19">
        <v>544999.99999999988</v>
      </c>
      <c r="O720" s="19">
        <v>544999.99999999988</v>
      </c>
      <c r="P720" t="str">
        <f t="shared" si="7"/>
        <v>Ninja Motorized</v>
      </c>
      <c r="Q720" t="str">
        <f t="shared" si="8"/>
        <v>Portable</v>
      </c>
    </row>
    <row r="721" spans="1:17" x14ac:dyDescent="0.35">
      <c r="A721" t="str">
        <f>_xlfn.XLOOKUP(B721,Mapping!C:C,Mapping!D:D)</f>
        <v>Dept Store</v>
      </c>
      <c r="B721" t="s">
        <v>167</v>
      </c>
      <c r="C721" t="s">
        <v>307</v>
      </c>
      <c r="D721" s="3">
        <v>46223</v>
      </c>
      <c r="E721" s="3">
        <v>46229</v>
      </c>
      <c r="F721">
        <f t="shared" si="6"/>
        <v>7</v>
      </c>
      <c r="G721" t="s">
        <v>92</v>
      </c>
      <c r="H721">
        <v>119900</v>
      </c>
      <c r="I721">
        <v>99900</v>
      </c>
      <c r="J721">
        <v>84900</v>
      </c>
      <c r="K721">
        <v>99900</v>
      </c>
      <c r="L721">
        <v>15</v>
      </c>
      <c r="M721">
        <v>1498500</v>
      </c>
      <c r="N721" s="19">
        <v>1634999.9999999998</v>
      </c>
      <c r="O721" s="19">
        <v>1634999.9999999998</v>
      </c>
      <c r="P721" t="str">
        <f t="shared" si="7"/>
        <v>Ninja Motorized</v>
      </c>
      <c r="Q721" t="str">
        <f t="shared" si="8"/>
        <v>Portable</v>
      </c>
    </row>
    <row r="722" spans="1:17" x14ac:dyDescent="0.35">
      <c r="A722" t="str">
        <f>_xlfn.XLOOKUP(B722,Mapping!C:C,Mapping!D:D)</f>
        <v>Dept Store</v>
      </c>
      <c r="B722" t="s">
        <v>167</v>
      </c>
      <c r="C722" t="s">
        <v>307</v>
      </c>
      <c r="D722" s="3">
        <v>46230</v>
      </c>
      <c r="E722" s="3">
        <v>46234</v>
      </c>
      <c r="F722">
        <f t="shared" si="6"/>
        <v>5</v>
      </c>
      <c r="G722" t="s">
        <v>92</v>
      </c>
      <c r="H722">
        <v>119900</v>
      </c>
      <c r="I722">
        <v>99900</v>
      </c>
      <c r="J722">
        <v>84900</v>
      </c>
      <c r="K722">
        <v>119900</v>
      </c>
      <c r="L722">
        <v>5</v>
      </c>
      <c r="M722">
        <v>599500</v>
      </c>
      <c r="N722" s="19">
        <v>544999.99999999988</v>
      </c>
      <c r="O722" s="19">
        <v>544999.99999999988</v>
      </c>
      <c r="P722" t="str">
        <f t="shared" si="7"/>
        <v>Ninja Motorized</v>
      </c>
      <c r="Q722" t="str">
        <f t="shared" si="8"/>
        <v>Portable</v>
      </c>
    </row>
    <row r="723" spans="1:17" x14ac:dyDescent="0.35">
      <c r="A723" t="str">
        <f>_xlfn.XLOOKUP(B723,Mapping!C:C,Mapping!D:D)</f>
        <v>Dept Store</v>
      </c>
      <c r="B723" t="s">
        <v>167</v>
      </c>
      <c r="C723" t="s">
        <v>307</v>
      </c>
      <c r="D723" s="3">
        <v>46209</v>
      </c>
      <c r="E723" s="3">
        <v>46222</v>
      </c>
      <c r="F723">
        <f t="shared" si="6"/>
        <v>14</v>
      </c>
      <c r="G723" t="s">
        <v>93</v>
      </c>
      <c r="H723">
        <v>119900</v>
      </c>
      <c r="I723">
        <v>99900</v>
      </c>
      <c r="J723">
        <v>84900</v>
      </c>
      <c r="K723">
        <v>119900</v>
      </c>
      <c r="L723">
        <v>5</v>
      </c>
      <c r="M723">
        <v>599500</v>
      </c>
      <c r="N723" s="19">
        <v>544999.99999999988</v>
      </c>
      <c r="O723" s="19">
        <v>544999.99999999988</v>
      </c>
      <c r="P723" t="str">
        <f t="shared" si="7"/>
        <v>Ninja Motorized</v>
      </c>
      <c r="Q723" t="str">
        <f t="shared" si="8"/>
        <v>Portable</v>
      </c>
    </row>
    <row r="724" spans="1:17" x14ac:dyDescent="0.35">
      <c r="A724" t="str">
        <f>_xlfn.XLOOKUP(B724,Mapping!C:C,Mapping!D:D)</f>
        <v>Dept Store</v>
      </c>
      <c r="B724" t="s">
        <v>167</v>
      </c>
      <c r="C724" t="s">
        <v>307</v>
      </c>
      <c r="D724" s="3">
        <v>46223</v>
      </c>
      <c r="E724" s="3">
        <v>46229</v>
      </c>
      <c r="F724">
        <f t="shared" si="6"/>
        <v>7</v>
      </c>
      <c r="G724" t="s">
        <v>93</v>
      </c>
      <c r="H724">
        <v>119900</v>
      </c>
      <c r="I724">
        <v>99900</v>
      </c>
      <c r="J724">
        <v>84900</v>
      </c>
      <c r="K724">
        <v>99900</v>
      </c>
      <c r="L724">
        <v>15</v>
      </c>
      <c r="M724">
        <v>1498500</v>
      </c>
      <c r="N724" s="19">
        <v>1634999.9999999998</v>
      </c>
      <c r="O724" s="19">
        <v>1634999.9999999998</v>
      </c>
      <c r="P724" t="str">
        <f t="shared" si="7"/>
        <v>Ninja Motorized</v>
      </c>
      <c r="Q724" t="str">
        <f t="shared" si="8"/>
        <v>Portable</v>
      </c>
    </row>
    <row r="725" spans="1:17" x14ac:dyDescent="0.35">
      <c r="A725" t="str">
        <f>_xlfn.XLOOKUP(B725,Mapping!C:C,Mapping!D:D)</f>
        <v>Dept Store</v>
      </c>
      <c r="B725" t="s">
        <v>167</v>
      </c>
      <c r="C725" t="s">
        <v>307</v>
      </c>
      <c r="D725" s="3">
        <v>46230</v>
      </c>
      <c r="E725" s="3">
        <v>46234</v>
      </c>
      <c r="F725">
        <f t="shared" si="6"/>
        <v>5</v>
      </c>
      <c r="G725" t="s">
        <v>93</v>
      </c>
      <c r="H725">
        <v>119900</v>
      </c>
      <c r="I725">
        <v>99900</v>
      </c>
      <c r="J725">
        <v>84900</v>
      </c>
      <c r="K725">
        <v>119900</v>
      </c>
      <c r="L725">
        <v>5</v>
      </c>
      <c r="M725">
        <v>599500</v>
      </c>
      <c r="N725" s="19">
        <v>544999.99999999988</v>
      </c>
      <c r="O725" s="19">
        <v>544999.99999999988</v>
      </c>
      <c r="P725" t="str">
        <f t="shared" si="7"/>
        <v>Ninja Motorized</v>
      </c>
      <c r="Q725" t="str">
        <f t="shared" si="8"/>
        <v>Portable</v>
      </c>
    </row>
    <row r="726" spans="1:17" x14ac:dyDescent="0.35">
      <c r="A726" t="str">
        <f>_xlfn.XLOOKUP(B726,Mapping!C:C,Mapping!D:D)</f>
        <v>Dept Store</v>
      </c>
      <c r="B726" t="s">
        <v>167</v>
      </c>
      <c r="C726" t="s">
        <v>307</v>
      </c>
      <c r="D726" s="3">
        <v>46209</v>
      </c>
      <c r="E726" s="3">
        <v>46222</v>
      </c>
      <c r="F726">
        <f t="shared" si="6"/>
        <v>14</v>
      </c>
      <c r="G726" t="s">
        <v>94</v>
      </c>
      <c r="H726">
        <v>119900</v>
      </c>
      <c r="I726">
        <v>99900</v>
      </c>
      <c r="J726">
        <v>84900</v>
      </c>
      <c r="K726">
        <v>119900</v>
      </c>
      <c r="L726">
        <v>5</v>
      </c>
      <c r="M726">
        <v>599500</v>
      </c>
      <c r="N726" s="19">
        <v>544999.99999999988</v>
      </c>
      <c r="O726" s="19">
        <v>544999.99999999988</v>
      </c>
      <c r="P726" t="str">
        <f t="shared" si="7"/>
        <v>Ninja Motorized</v>
      </c>
      <c r="Q726" t="str">
        <f t="shared" si="8"/>
        <v>Portable</v>
      </c>
    </row>
    <row r="727" spans="1:17" x14ac:dyDescent="0.35">
      <c r="A727" t="str">
        <f>_xlfn.XLOOKUP(B727,Mapping!C:C,Mapping!D:D)</f>
        <v>Dept Store</v>
      </c>
      <c r="B727" t="s">
        <v>167</v>
      </c>
      <c r="C727" t="s">
        <v>307</v>
      </c>
      <c r="D727" s="3">
        <v>46223</v>
      </c>
      <c r="E727" s="3">
        <v>46229</v>
      </c>
      <c r="F727">
        <f t="shared" si="6"/>
        <v>7</v>
      </c>
      <c r="G727" t="s">
        <v>94</v>
      </c>
      <c r="H727">
        <v>119900</v>
      </c>
      <c r="I727">
        <v>99900</v>
      </c>
      <c r="J727">
        <v>84900</v>
      </c>
      <c r="K727">
        <v>99900</v>
      </c>
      <c r="L727">
        <v>15</v>
      </c>
      <c r="M727">
        <v>1498500</v>
      </c>
      <c r="N727" s="19">
        <v>1634999.9999999998</v>
      </c>
      <c r="O727" s="19">
        <v>1634999.9999999998</v>
      </c>
      <c r="P727" t="str">
        <f t="shared" si="7"/>
        <v>Ninja Motorized</v>
      </c>
      <c r="Q727" t="str">
        <f t="shared" si="8"/>
        <v>Portable</v>
      </c>
    </row>
    <row r="728" spans="1:17" x14ac:dyDescent="0.35">
      <c r="A728" t="str">
        <f>_xlfn.XLOOKUP(B728,Mapping!C:C,Mapping!D:D)</f>
        <v>Dept Store</v>
      </c>
      <c r="B728" t="s">
        <v>167</v>
      </c>
      <c r="C728" t="s">
        <v>307</v>
      </c>
      <c r="D728" s="3">
        <v>46230</v>
      </c>
      <c r="E728" s="3">
        <v>46234</v>
      </c>
      <c r="F728">
        <f t="shared" si="6"/>
        <v>5</v>
      </c>
      <c r="G728" t="s">
        <v>94</v>
      </c>
      <c r="H728">
        <v>119900</v>
      </c>
      <c r="I728">
        <v>99900</v>
      </c>
      <c r="J728">
        <v>84900</v>
      </c>
      <c r="K728">
        <v>119900</v>
      </c>
      <c r="L728">
        <v>5</v>
      </c>
      <c r="M728">
        <v>599500</v>
      </c>
      <c r="N728" s="19">
        <v>544999.99999999988</v>
      </c>
      <c r="O728" s="19">
        <v>544999.99999999988</v>
      </c>
      <c r="P728" t="str">
        <f t="shared" si="7"/>
        <v>Ninja Motorized</v>
      </c>
      <c r="Q728" t="str">
        <f t="shared" si="8"/>
        <v>Portable</v>
      </c>
    </row>
    <row r="729" spans="1:17" x14ac:dyDescent="0.35">
      <c r="A729" t="str">
        <f>_xlfn.XLOOKUP(B729,Mapping!C:C,Mapping!D:D)</f>
        <v>Dept Store</v>
      </c>
      <c r="B729" t="s">
        <v>167</v>
      </c>
      <c r="C729" t="s">
        <v>307</v>
      </c>
      <c r="D729" s="3">
        <v>46209</v>
      </c>
      <c r="E729" s="3">
        <v>46229</v>
      </c>
      <c r="F729">
        <f t="shared" si="6"/>
        <v>21</v>
      </c>
      <c r="G729" t="s">
        <v>101</v>
      </c>
      <c r="H729">
        <v>149900</v>
      </c>
      <c r="I729">
        <v>139900</v>
      </c>
      <c r="J729">
        <v>109900</v>
      </c>
      <c r="K729">
        <v>149900</v>
      </c>
      <c r="L729">
        <v>10</v>
      </c>
      <c r="M729">
        <v>1499000</v>
      </c>
      <c r="N729" s="19">
        <v>1362727.2727272727</v>
      </c>
      <c r="O729" s="19">
        <v>1362727.2727272727</v>
      </c>
      <c r="P729" t="str">
        <f t="shared" si="7"/>
        <v>Ninja Motorized</v>
      </c>
      <c r="Q729" t="str">
        <f t="shared" si="8"/>
        <v>Portable</v>
      </c>
    </row>
    <row r="730" spans="1:17" x14ac:dyDescent="0.35">
      <c r="A730" t="str">
        <f>_xlfn.XLOOKUP(B730,Mapping!C:C,Mapping!D:D)</f>
        <v>Dept Store</v>
      </c>
      <c r="B730" t="s">
        <v>167</v>
      </c>
      <c r="C730" t="s">
        <v>307</v>
      </c>
      <c r="D730" s="3">
        <v>46230</v>
      </c>
      <c r="E730" s="3">
        <v>46234</v>
      </c>
      <c r="F730">
        <f t="shared" si="6"/>
        <v>5</v>
      </c>
      <c r="G730" t="s">
        <v>101</v>
      </c>
      <c r="H730">
        <v>149900</v>
      </c>
      <c r="I730">
        <v>139900</v>
      </c>
      <c r="J730">
        <v>109900</v>
      </c>
      <c r="K730">
        <v>139900</v>
      </c>
      <c r="L730">
        <v>30</v>
      </c>
      <c r="M730">
        <v>4197000</v>
      </c>
      <c r="N730" s="19">
        <v>4088181.8181818179</v>
      </c>
      <c r="O730" s="19">
        <v>4088181.8181818179</v>
      </c>
      <c r="P730" t="str">
        <f t="shared" si="7"/>
        <v>Ninja Motorized</v>
      </c>
      <c r="Q730" t="str">
        <f t="shared" si="8"/>
        <v>Portable</v>
      </c>
    </row>
    <row r="731" spans="1:17" x14ac:dyDescent="0.35">
      <c r="A731" t="str">
        <f>_xlfn.XLOOKUP(B731,Mapping!C:C,Mapping!D:D)</f>
        <v>Dept Store</v>
      </c>
      <c r="B731" t="s">
        <v>167</v>
      </c>
      <c r="C731" t="s">
        <v>307</v>
      </c>
      <c r="D731" s="3">
        <v>46209</v>
      </c>
      <c r="E731" s="3">
        <v>46229</v>
      </c>
      <c r="F731">
        <f t="shared" si="6"/>
        <v>21</v>
      </c>
      <c r="G731" t="s">
        <v>86</v>
      </c>
      <c r="H731">
        <v>149900</v>
      </c>
      <c r="I731">
        <v>139900</v>
      </c>
      <c r="J731">
        <v>109900</v>
      </c>
      <c r="K731">
        <v>149900</v>
      </c>
      <c r="L731">
        <v>10</v>
      </c>
      <c r="M731">
        <v>1499000</v>
      </c>
      <c r="N731" s="19">
        <v>1362727.2727272727</v>
      </c>
      <c r="O731" s="19">
        <v>1362727.2727272727</v>
      </c>
      <c r="P731" t="str">
        <f t="shared" si="7"/>
        <v>Ninja Motorized</v>
      </c>
      <c r="Q731" t="str">
        <f t="shared" si="8"/>
        <v>Portable</v>
      </c>
    </row>
    <row r="732" spans="1:17" x14ac:dyDescent="0.35">
      <c r="A732" t="str">
        <f>_xlfn.XLOOKUP(B732,Mapping!C:C,Mapping!D:D)</f>
        <v>Dept Store</v>
      </c>
      <c r="B732" t="s">
        <v>167</v>
      </c>
      <c r="C732" t="s">
        <v>307</v>
      </c>
      <c r="D732" s="3">
        <v>46230</v>
      </c>
      <c r="E732" s="3">
        <v>46234</v>
      </c>
      <c r="F732">
        <f t="shared" si="6"/>
        <v>5</v>
      </c>
      <c r="G732" t="s">
        <v>86</v>
      </c>
      <c r="H732">
        <v>149900</v>
      </c>
      <c r="I732">
        <v>139900</v>
      </c>
      <c r="J732">
        <v>109900</v>
      </c>
      <c r="K732">
        <v>139900</v>
      </c>
      <c r="L732">
        <v>30</v>
      </c>
      <c r="M732">
        <v>4197000</v>
      </c>
      <c r="N732" s="19">
        <v>4088181.8181818179</v>
      </c>
      <c r="O732" s="19">
        <v>4088181.8181818179</v>
      </c>
      <c r="P732" t="str">
        <f t="shared" si="7"/>
        <v>Ninja Motorized</v>
      </c>
      <c r="Q732" t="str">
        <f t="shared" si="8"/>
        <v>Portable</v>
      </c>
    </row>
    <row r="733" spans="1:17" x14ac:dyDescent="0.35">
      <c r="A733" t="str">
        <f>_xlfn.XLOOKUP(B733,Mapping!C:C,Mapping!D:D)</f>
        <v>Dept Store</v>
      </c>
      <c r="B733" t="s">
        <v>167</v>
      </c>
      <c r="C733" t="s">
        <v>307</v>
      </c>
      <c r="D733" s="3">
        <v>46209</v>
      </c>
      <c r="E733" s="3">
        <v>46229</v>
      </c>
      <c r="F733">
        <f t="shared" si="6"/>
        <v>21</v>
      </c>
      <c r="G733" t="s">
        <v>90</v>
      </c>
      <c r="H733">
        <v>149900</v>
      </c>
      <c r="I733">
        <v>139900</v>
      </c>
      <c r="J733">
        <v>109900</v>
      </c>
      <c r="K733">
        <v>149900</v>
      </c>
      <c r="L733">
        <v>10</v>
      </c>
      <c r="M733">
        <v>1499000</v>
      </c>
      <c r="N733" s="19">
        <v>1362727.2727272727</v>
      </c>
      <c r="O733" s="19">
        <v>1362727.2727272727</v>
      </c>
      <c r="P733" t="str">
        <f t="shared" si="7"/>
        <v>Ninja Motorized</v>
      </c>
      <c r="Q733" t="str">
        <f t="shared" si="8"/>
        <v>Portable</v>
      </c>
    </row>
    <row r="734" spans="1:17" x14ac:dyDescent="0.35">
      <c r="A734" t="str">
        <f>_xlfn.XLOOKUP(B734,Mapping!C:C,Mapping!D:D)</f>
        <v>Dept Store</v>
      </c>
      <c r="B734" t="s">
        <v>167</v>
      </c>
      <c r="C734" t="s">
        <v>307</v>
      </c>
      <c r="D734" s="3">
        <v>46230</v>
      </c>
      <c r="E734" s="3">
        <v>46234</v>
      </c>
      <c r="F734">
        <f t="shared" si="6"/>
        <v>5</v>
      </c>
      <c r="G734" t="s">
        <v>90</v>
      </c>
      <c r="H734">
        <v>149900</v>
      </c>
      <c r="I734">
        <v>139900</v>
      </c>
      <c r="J734">
        <v>109900</v>
      </c>
      <c r="K734">
        <v>139900</v>
      </c>
      <c r="L734">
        <v>30</v>
      </c>
      <c r="M734">
        <v>4197000</v>
      </c>
      <c r="N734" s="19">
        <v>4088181.8181818179</v>
      </c>
      <c r="O734" s="19">
        <v>4088181.8181818179</v>
      </c>
      <c r="P734" t="str">
        <f t="shared" si="7"/>
        <v>Ninja Motorized</v>
      </c>
      <c r="Q734" t="str">
        <f t="shared" si="8"/>
        <v>Portable</v>
      </c>
    </row>
    <row r="735" spans="1:17" x14ac:dyDescent="0.35">
      <c r="A735" t="str">
        <f>_xlfn.XLOOKUP(B735,Mapping!C:C,Mapping!D:D)</f>
        <v>Dept Store</v>
      </c>
      <c r="B735" t="s">
        <v>167</v>
      </c>
      <c r="C735" t="s">
        <v>307</v>
      </c>
      <c r="D735" s="3">
        <v>46209</v>
      </c>
      <c r="E735" s="3">
        <v>46215</v>
      </c>
      <c r="F735">
        <f t="shared" si="6"/>
        <v>7</v>
      </c>
      <c r="G735" t="s">
        <v>84</v>
      </c>
      <c r="H735">
        <v>169900</v>
      </c>
      <c r="I735">
        <v>149900</v>
      </c>
      <c r="J735">
        <v>129900</v>
      </c>
      <c r="K735">
        <v>149900</v>
      </c>
      <c r="L735">
        <v>25</v>
      </c>
      <c r="M735">
        <v>3747500</v>
      </c>
      <c r="N735" s="19">
        <v>3861363.6363636362</v>
      </c>
      <c r="O735" s="19">
        <v>3861363.6363636362</v>
      </c>
      <c r="P735" t="str">
        <f t="shared" si="7"/>
        <v>Ninja Motorized</v>
      </c>
      <c r="Q735" t="str">
        <f t="shared" si="8"/>
        <v>Trad</v>
      </c>
    </row>
    <row r="736" spans="1:17" x14ac:dyDescent="0.35">
      <c r="A736" t="str">
        <f>_xlfn.XLOOKUP(B736,Mapping!C:C,Mapping!D:D)</f>
        <v>Dept Store</v>
      </c>
      <c r="B736" t="s">
        <v>167</v>
      </c>
      <c r="C736" t="s">
        <v>307</v>
      </c>
      <c r="D736" s="3">
        <v>46216</v>
      </c>
      <c r="E736" s="3">
        <v>46229</v>
      </c>
      <c r="F736">
        <f t="shared" si="6"/>
        <v>14</v>
      </c>
      <c r="G736" t="s">
        <v>84</v>
      </c>
      <c r="H736">
        <v>169900</v>
      </c>
      <c r="I736">
        <v>149900</v>
      </c>
      <c r="J736">
        <v>129900</v>
      </c>
      <c r="K736">
        <v>169900</v>
      </c>
      <c r="L736">
        <v>5</v>
      </c>
      <c r="M736">
        <v>849500</v>
      </c>
      <c r="N736" s="19">
        <v>772272.72727272718</v>
      </c>
      <c r="O736" s="19">
        <v>772272.72727272718</v>
      </c>
      <c r="P736" t="str">
        <f t="shared" si="7"/>
        <v>Ninja Motorized</v>
      </c>
      <c r="Q736" t="str">
        <f t="shared" si="8"/>
        <v>Trad</v>
      </c>
    </row>
    <row r="737" spans="1:17" x14ac:dyDescent="0.35">
      <c r="A737" t="str">
        <f>_xlfn.XLOOKUP(B737,Mapping!C:C,Mapping!D:D)</f>
        <v>Dept Store</v>
      </c>
      <c r="B737" t="s">
        <v>167</v>
      </c>
      <c r="C737" t="s">
        <v>307</v>
      </c>
      <c r="D737" s="3">
        <v>46230</v>
      </c>
      <c r="E737" s="3">
        <v>46234</v>
      </c>
      <c r="F737">
        <f t="shared" si="6"/>
        <v>5</v>
      </c>
      <c r="G737" t="s">
        <v>84</v>
      </c>
      <c r="H737">
        <v>169900</v>
      </c>
      <c r="I737">
        <v>149900</v>
      </c>
      <c r="J737">
        <v>129900</v>
      </c>
      <c r="K737">
        <v>129900</v>
      </c>
      <c r="L737">
        <v>25</v>
      </c>
      <c r="M737">
        <v>3247500</v>
      </c>
      <c r="N737" s="19">
        <v>3861363.6363636362</v>
      </c>
      <c r="O737" s="19">
        <v>3861363.6363636362</v>
      </c>
      <c r="P737" t="str">
        <f t="shared" si="7"/>
        <v>Ninja Motorized</v>
      </c>
      <c r="Q737" t="str">
        <f t="shared" si="8"/>
        <v>Trad</v>
      </c>
    </row>
    <row r="738" spans="1:17" x14ac:dyDescent="0.35">
      <c r="A738" t="str">
        <f>_xlfn.XLOOKUP(B738,Mapping!C:C,Mapping!D:D)</f>
        <v>Dept Store</v>
      </c>
      <c r="B738" t="s">
        <v>167</v>
      </c>
      <c r="C738" t="s">
        <v>307</v>
      </c>
      <c r="D738" s="3">
        <v>46209</v>
      </c>
      <c r="E738" s="3">
        <v>46222</v>
      </c>
      <c r="F738">
        <f t="shared" si="6"/>
        <v>14</v>
      </c>
      <c r="G738" t="s">
        <v>39</v>
      </c>
      <c r="H738">
        <v>249900</v>
      </c>
      <c r="I738">
        <v>199900</v>
      </c>
      <c r="J738">
        <v>189900</v>
      </c>
      <c r="K738">
        <v>249900</v>
      </c>
      <c r="L738">
        <v>5</v>
      </c>
      <c r="M738">
        <v>1249500</v>
      </c>
      <c r="N738" s="19">
        <v>1135909.0909090908</v>
      </c>
      <c r="O738" s="19">
        <v>1135909.0909090908</v>
      </c>
      <c r="P738" t="str">
        <f t="shared" si="7"/>
        <v>Ninja Motorized</v>
      </c>
      <c r="Q738" t="str">
        <f t="shared" si="8"/>
        <v>Trad</v>
      </c>
    </row>
    <row r="739" spans="1:17" x14ac:dyDescent="0.35">
      <c r="A739" t="str">
        <f>_xlfn.XLOOKUP(B739,Mapping!C:C,Mapping!D:D)</f>
        <v>Dept Store</v>
      </c>
      <c r="B739" t="s">
        <v>167</v>
      </c>
      <c r="C739" t="s">
        <v>307</v>
      </c>
      <c r="D739" s="3">
        <v>46223</v>
      </c>
      <c r="E739" s="3">
        <v>46229</v>
      </c>
      <c r="F739">
        <f t="shared" si="6"/>
        <v>7</v>
      </c>
      <c r="G739" t="s">
        <v>39</v>
      </c>
      <c r="H739">
        <v>249900</v>
      </c>
      <c r="I739">
        <v>199900</v>
      </c>
      <c r="J739">
        <v>189900</v>
      </c>
      <c r="K739">
        <v>199900</v>
      </c>
      <c r="L739">
        <v>25</v>
      </c>
      <c r="M739">
        <v>4997500</v>
      </c>
      <c r="N739" s="19">
        <v>5679545.4545454541</v>
      </c>
      <c r="O739" s="19">
        <v>5679545.4545454541</v>
      </c>
      <c r="P739" t="str">
        <f t="shared" si="7"/>
        <v>Ninja Motorized</v>
      </c>
      <c r="Q739" t="str">
        <f t="shared" si="8"/>
        <v>Trad</v>
      </c>
    </row>
    <row r="740" spans="1:17" x14ac:dyDescent="0.35">
      <c r="A740" t="str">
        <f>_xlfn.XLOOKUP(B740,Mapping!C:C,Mapping!D:D)</f>
        <v>Dept Store</v>
      </c>
      <c r="B740" t="s">
        <v>167</v>
      </c>
      <c r="C740" t="s">
        <v>307</v>
      </c>
      <c r="D740" s="3">
        <v>46230</v>
      </c>
      <c r="E740" s="3">
        <v>46234</v>
      </c>
      <c r="F740">
        <f t="shared" si="6"/>
        <v>5</v>
      </c>
      <c r="G740" t="s">
        <v>39</v>
      </c>
      <c r="H740">
        <v>249900</v>
      </c>
      <c r="I740">
        <v>199900</v>
      </c>
      <c r="J740">
        <v>189900</v>
      </c>
      <c r="K740">
        <v>249900</v>
      </c>
      <c r="L740">
        <v>5</v>
      </c>
      <c r="M740">
        <v>1249500</v>
      </c>
      <c r="N740" s="19">
        <v>1135909.0909090908</v>
      </c>
      <c r="O740" s="19">
        <v>1135909.0909090908</v>
      </c>
      <c r="P740" t="str">
        <f t="shared" si="7"/>
        <v>Ninja Motorized</v>
      </c>
      <c r="Q740" t="str">
        <f t="shared" si="8"/>
        <v>Trad</v>
      </c>
    </row>
    <row r="741" spans="1:17" x14ac:dyDescent="0.35">
      <c r="A741" t="str">
        <f>_xlfn.XLOOKUP(B741,Mapping!C:C,Mapping!D:D)</f>
        <v>Dept Store</v>
      </c>
      <c r="B741" t="s">
        <v>167</v>
      </c>
      <c r="C741" t="s">
        <v>307</v>
      </c>
      <c r="D741" s="3">
        <v>46209</v>
      </c>
      <c r="E741" s="3">
        <v>46215</v>
      </c>
      <c r="F741">
        <f t="shared" si="6"/>
        <v>7</v>
      </c>
      <c r="G741" t="s">
        <v>27</v>
      </c>
      <c r="H741">
        <v>329900</v>
      </c>
      <c r="I741">
        <v>299900</v>
      </c>
      <c r="J741">
        <v>279900</v>
      </c>
      <c r="K741">
        <v>279900</v>
      </c>
      <c r="L741">
        <v>50</v>
      </c>
      <c r="M741">
        <v>13995000</v>
      </c>
      <c r="N741" s="19">
        <v>14995454.545454545</v>
      </c>
      <c r="O741" s="19">
        <v>14995454.545454545</v>
      </c>
      <c r="P741" t="str">
        <f t="shared" si="7"/>
        <v>Ninja Motorized</v>
      </c>
      <c r="Q741" t="str">
        <f t="shared" si="8"/>
        <v>Trad</v>
      </c>
    </row>
    <row r="742" spans="1:17" x14ac:dyDescent="0.35">
      <c r="A742" t="str">
        <f>_xlfn.XLOOKUP(B742,Mapping!C:C,Mapping!D:D)</f>
        <v>Dept Store</v>
      </c>
      <c r="B742" t="s">
        <v>167</v>
      </c>
      <c r="C742" t="s">
        <v>307</v>
      </c>
      <c r="D742" s="3">
        <v>46216</v>
      </c>
      <c r="E742" s="3">
        <v>46222</v>
      </c>
      <c r="F742">
        <f t="shared" si="6"/>
        <v>7</v>
      </c>
      <c r="G742" t="s">
        <v>27</v>
      </c>
      <c r="H742">
        <v>329900</v>
      </c>
      <c r="I742">
        <v>299900</v>
      </c>
      <c r="J742">
        <v>279900</v>
      </c>
      <c r="K742">
        <v>329000</v>
      </c>
      <c r="L742">
        <v>10</v>
      </c>
      <c r="M742">
        <v>3290000</v>
      </c>
      <c r="N742" s="19">
        <v>2999090.9090909087</v>
      </c>
      <c r="O742" s="19">
        <v>2999090.9090909087</v>
      </c>
      <c r="P742" t="str">
        <f t="shared" si="7"/>
        <v>Ninja Motorized</v>
      </c>
      <c r="Q742" t="str">
        <f t="shared" si="8"/>
        <v>Trad</v>
      </c>
    </row>
    <row r="743" spans="1:17" x14ac:dyDescent="0.35">
      <c r="A743" t="str">
        <f>_xlfn.XLOOKUP(B743,Mapping!C:C,Mapping!D:D)</f>
        <v>Dept Store</v>
      </c>
      <c r="B743" t="s">
        <v>167</v>
      </c>
      <c r="C743" t="s">
        <v>307</v>
      </c>
      <c r="D743" s="3">
        <v>46223</v>
      </c>
      <c r="E743" s="3">
        <v>46229</v>
      </c>
      <c r="F743">
        <f t="shared" si="6"/>
        <v>7</v>
      </c>
      <c r="G743" t="s">
        <v>27</v>
      </c>
      <c r="H743">
        <v>329900</v>
      </c>
      <c r="I743">
        <v>299900</v>
      </c>
      <c r="J743">
        <v>279900</v>
      </c>
      <c r="K743">
        <v>299900</v>
      </c>
      <c r="L743">
        <v>30</v>
      </c>
      <c r="M743">
        <v>8997000</v>
      </c>
      <c r="N743" s="19">
        <v>8997272.7272727266</v>
      </c>
      <c r="O743" s="19">
        <v>8997272.7272727266</v>
      </c>
      <c r="P743" t="str">
        <f t="shared" si="7"/>
        <v>Ninja Motorized</v>
      </c>
      <c r="Q743" t="str">
        <f t="shared" si="8"/>
        <v>Trad</v>
      </c>
    </row>
    <row r="744" spans="1:17" x14ac:dyDescent="0.35">
      <c r="A744" t="str">
        <f>_xlfn.XLOOKUP(B744,Mapping!C:C,Mapping!D:D)</f>
        <v>Dept Store</v>
      </c>
      <c r="B744" t="s">
        <v>167</v>
      </c>
      <c r="C744" t="s">
        <v>307</v>
      </c>
      <c r="D744" s="3">
        <v>46230</v>
      </c>
      <c r="E744" s="3">
        <v>46234</v>
      </c>
      <c r="F744">
        <f t="shared" si="6"/>
        <v>5</v>
      </c>
      <c r="G744" t="s">
        <v>27</v>
      </c>
      <c r="H744">
        <v>329900</v>
      </c>
      <c r="I744">
        <v>299900</v>
      </c>
      <c r="J744">
        <v>279900</v>
      </c>
      <c r="K744">
        <v>329000</v>
      </c>
      <c r="L744">
        <v>10</v>
      </c>
      <c r="M744">
        <v>3290000</v>
      </c>
      <c r="N744" s="19">
        <v>2999090.9090909087</v>
      </c>
      <c r="O744" s="19">
        <v>2999090.9090909087</v>
      </c>
      <c r="P744" t="str">
        <f t="shared" si="7"/>
        <v>Ninja Motorized</v>
      </c>
      <c r="Q744" t="str">
        <f t="shared" si="8"/>
        <v>Trad</v>
      </c>
    </row>
    <row r="745" spans="1:17" x14ac:dyDescent="0.35">
      <c r="A745" t="str">
        <f>_xlfn.XLOOKUP(B745,Mapping!C:C,Mapping!D:D)</f>
        <v>Dept Store</v>
      </c>
      <c r="B745" t="s">
        <v>167</v>
      </c>
      <c r="C745" t="s">
        <v>307</v>
      </c>
      <c r="D745" s="3">
        <v>46209</v>
      </c>
      <c r="E745" s="3">
        <v>46229</v>
      </c>
      <c r="F745">
        <f t="shared" si="6"/>
        <v>21</v>
      </c>
      <c r="G745" t="s">
        <v>85</v>
      </c>
      <c r="H745">
        <v>349900</v>
      </c>
      <c r="I745">
        <v>319900</v>
      </c>
      <c r="J745">
        <v>299900</v>
      </c>
      <c r="K745">
        <v>349900</v>
      </c>
      <c r="L745">
        <v>10</v>
      </c>
      <c r="M745">
        <v>3499000</v>
      </c>
      <c r="N745" s="19">
        <v>3180909.0909090908</v>
      </c>
      <c r="O745" s="19">
        <v>3180909.0909090908</v>
      </c>
      <c r="P745" t="str">
        <f t="shared" si="7"/>
        <v>Ninja Motorized</v>
      </c>
      <c r="Q745" t="str">
        <f t="shared" si="8"/>
        <v>Kitchen</v>
      </c>
    </row>
    <row r="746" spans="1:17" x14ac:dyDescent="0.35">
      <c r="A746" t="str">
        <f>_xlfn.XLOOKUP(B746,Mapping!C:C,Mapping!D:D)</f>
        <v>Dept Store</v>
      </c>
      <c r="B746" t="s">
        <v>167</v>
      </c>
      <c r="C746" t="s">
        <v>307</v>
      </c>
      <c r="D746" s="3">
        <v>46230</v>
      </c>
      <c r="E746" s="3">
        <v>46234</v>
      </c>
      <c r="F746">
        <f t="shared" si="6"/>
        <v>5</v>
      </c>
      <c r="G746" t="s">
        <v>85</v>
      </c>
      <c r="H746">
        <v>349900</v>
      </c>
      <c r="I746">
        <v>319900</v>
      </c>
      <c r="J746">
        <v>299900</v>
      </c>
      <c r="K746">
        <v>319900</v>
      </c>
      <c r="L746">
        <v>30</v>
      </c>
      <c r="M746">
        <v>9597000</v>
      </c>
      <c r="N746" s="19">
        <v>9542727.2727272715</v>
      </c>
      <c r="O746" s="19">
        <v>9542727.2727272715</v>
      </c>
      <c r="P746" t="str">
        <f t="shared" si="7"/>
        <v>Ninja Motorized</v>
      </c>
      <c r="Q746" t="str">
        <f t="shared" si="8"/>
        <v>Kitchen</v>
      </c>
    </row>
    <row r="747" spans="1:17" x14ac:dyDescent="0.35">
      <c r="A747" t="str">
        <f>_xlfn.XLOOKUP(B747,Mapping!C:C,Mapping!D:D)</f>
        <v>Dept Store</v>
      </c>
      <c r="B747" t="s">
        <v>167</v>
      </c>
      <c r="C747" t="s">
        <v>307</v>
      </c>
      <c r="D747" s="3">
        <v>46209</v>
      </c>
      <c r="E747" s="3">
        <v>46215</v>
      </c>
      <c r="F747">
        <f t="shared" si="6"/>
        <v>7</v>
      </c>
      <c r="G747" t="s">
        <v>20</v>
      </c>
      <c r="H747">
        <v>249900</v>
      </c>
      <c r="I747">
        <v>219900</v>
      </c>
      <c r="J747">
        <v>199900</v>
      </c>
      <c r="K747">
        <v>219900</v>
      </c>
      <c r="L747">
        <v>20</v>
      </c>
      <c r="M747">
        <v>4398000</v>
      </c>
      <c r="N747" s="19">
        <v>4543636.3636363633</v>
      </c>
      <c r="O747" s="19">
        <v>4543636.3636363633</v>
      </c>
      <c r="P747" t="str">
        <f t="shared" si="7"/>
        <v>Ninja Heated</v>
      </c>
      <c r="Q747" t="str">
        <f t="shared" si="8"/>
        <v>Crispi</v>
      </c>
    </row>
    <row r="748" spans="1:17" x14ac:dyDescent="0.35">
      <c r="A748" t="str">
        <f>_xlfn.XLOOKUP(B748,Mapping!C:C,Mapping!D:D)</f>
        <v>Dept Store</v>
      </c>
      <c r="B748" t="s">
        <v>167</v>
      </c>
      <c r="C748" t="s">
        <v>307</v>
      </c>
      <c r="D748" s="3">
        <v>46216</v>
      </c>
      <c r="E748" s="3">
        <v>46234</v>
      </c>
      <c r="F748">
        <f t="shared" si="6"/>
        <v>19</v>
      </c>
      <c r="G748" t="s">
        <v>20</v>
      </c>
      <c r="H748">
        <v>249900</v>
      </c>
      <c r="I748">
        <v>219900</v>
      </c>
      <c r="J748">
        <v>199900</v>
      </c>
      <c r="K748">
        <v>249900</v>
      </c>
      <c r="L748">
        <v>5</v>
      </c>
      <c r="M748">
        <v>1249500</v>
      </c>
      <c r="N748" s="19">
        <v>1135909.0909090908</v>
      </c>
      <c r="O748" s="19">
        <v>1135909.0909090908</v>
      </c>
      <c r="P748" t="str">
        <f t="shared" si="7"/>
        <v>Ninja Heated</v>
      </c>
      <c r="Q748" t="str">
        <f t="shared" si="8"/>
        <v>Crispi</v>
      </c>
    </row>
    <row r="749" spans="1:17" x14ac:dyDescent="0.35">
      <c r="A749" t="str">
        <f>_xlfn.XLOOKUP(B749,Mapping!C:C,Mapping!D:D)</f>
        <v>Dept Store</v>
      </c>
      <c r="B749" t="s">
        <v>167</v>
      </c>
      <c r="C749" t="s">
        <v>307</v>
      </c>
      <c r="D749" s="3">
        <v>46209</v>
      </c>
      <c r="E749" s="3">
        <v>46215</v>
      </c>
      <c r="F749">
        <f t="shared" si="6"/>
        <v>7</v>
      </c>
      <c r="G749" t="s">
        <v>19</v>
      </c>
      <c r="H749">
        <v>249900</v>
      </c>
      <c r="I749">
        <v>219900</v>
      </c>
      <c r="J749">
        <v>199900</v>
      </c>
      <c r="K749">
        <v>219900</v>
      </c>
      <c r="L749">
        <v>20</v>
      </c>
      <c r="M749">
        <v>4398000</v>
      </c>
      <c r="N749" s="19">
        <v>4543636.3636363633</v>
      </c>
      <c r="O749" s="19">
        <v>4543636.3636363633</v>
      </c>
      <c r="P749" t="str">
        <f t="shared" si="7"/>
        <v>Ninja Heated</v>
      </c>
      <c r="Q749" t="str">
        <f t="shared" si="8"/>
        <v>Crispi</v>
      </c>
    </row>
    <row r="750" spans="1:17" x14ac:dyDescent="0.35">
      <c r="A750" t="str">
        <f>_xlfn.XLOOKUP(B750,Mapping!C:C,Mapping!D:D)</f>
        <v>Dept Store</v>
      </c>
      <c r="B750" t="s">
        <v>167</v>
      </c>
      <c r="C750" t="s">
        <v>307</v>
      </c>
      <c r="D750" s="3">
        <v>46216</v>
      </c>
      <c r="E750" s="3">
        <v>46234</v>
      </c>
      <c r="F750">
        <f t="shared" si="6"/>
        <v>19</v>
      </c>
      <c r="G750" t="s">
        <v>19</v>
      </c>
      <c r="H750">
        <v>249900</v>
      </c>
      <c r="I750">
        <v>219900</v>
      </c>
      <c r="J750">
        <v>199900</v>
      </c>
      <c r="K750">
        <v>249900</v>
      </c>
      <c r="L750">
        <v>5</v>
      </c>
      <c r="M750">
        <v>1249500</v>
      </c>
      <c r="N750" s="19">
        <v>1135909.0909090908</v>
      </c>
      <c r="O750" s="19">
        <v>1135909.0909090908</v>
      </c>
      <c r="P750" t="str">
        <f t="shared" si="7"/>
        <v>Ninja Heated</v>
      </c>
      <c r="Q750" t="str">
        <f t="shared" si="8"/>
        <v>Crispi</v>
      </c>
    </row>
    <row r="751" spans="1:17" x14ac:dyDescent="0.35">
      <c r="A751" t="str">
        <f>_xlfn.XLOOKUP(B751,Mapping!C:C,Mapping!D:D)</f>
        <v>Dept Store</v>
      </c>
      <c r="B751" t="s">
        <v>167</v>
      </c>
      <c r="C751" t="s">
        <v>307</v>
      </c>
      <c r="D751" s="3">
        <v>46209</v>
      </c>
      <c r="E751" s="3">
        <v>46234</v>
      </c>
      <c r="F751">
        <f t="shared" si="6"/>
        <v>26</v>
      </c>
      <c r="G751" t="s">
        <v>38</v>
      </c>
      <c r="H751">
        <v>429900</v>
      </c>
      <c r="I751">
        <v>399900</v>
      </c>
      <c r="J751">
        <v>349900</v>
      </c>
      <c r="K751">
        <v>429900</v>
      </c>
      <c r="L751">
        <v>10</v>
      </c>
      <c r="M751">
        <v>4299000</v>
      </c>
      <c r="N751" s="19">
        <v>3908181.8181818174</v>
      </c>
      <c r="O751" s="19">
        <v>3908181.8181818174</v>
      </c>
      <c r="P751" t="str">
        <f t="shared" si="7"/>
        <v>Ninja Heated</v>
      </c>
      <c r="Q751" t="str">
        <f t="shared" si="8"/>
        <v>Grill</v>
      </c>
    </row>
    <row r="752" spans="1:17" x14ac:dyDescent="0.35">
      <c r="A752" t="str">
        <f>_xlfn.XLOOKUP(B752,Mapping!C:C,Mapping!D:D)</f>
        <v>Dept Store</v>
      </c>
      <c r="B752" t="s">
        <v>167</v>
      </c>
      <c r="C752" t="s">
        <v>307</v>
      </c>
      <c r="D752" s="3">
        <v>46216</v>
      </c>
      <c r="E752" s="3">
        <v>46222</v>
      </c>
      <c r="F752">
        <f t="shared" si="6"/>
        <v>7</v>
      </c>
      <c r="G752" t="s">
        <v>106</v>
      </c>
      <c r="H752">
        <v>399900</v>
      </c>
      <c r="I752">
        <v>349900</v>
      </c>
      <c r="J752">
        <v>299900</v>
      </c>
      <c r="K752">
        <v>349900</v>
      </c>
      <c r="L752">
        <v>30</v>
      </c>
      <c r="M752">
        <v>10497000</v>
      </c>
      <c r="N752" s="19">
        <v>10906363.636363637</v>
      </c>
      <c r="O752" s="19">
        <v>10906363.636363637</v>
      </c>
      <c r="P752" t="str">
        <f t="shared" si="7"/>
        <v>Ninja Heated</v>
      </c>
      <c r="Q752" t="str">
        <f t="shared" si="8"/>
        <v>Combi</v>
      </c>
    </row>
    <row r="753" spans="1:17" x14ac:dyDescent="0.35">
      <c r="A753" t="str">
        <f>_xlfn.XLOOKUP(B753,Mapping!C:C,Mapping!D:D)</f>
        <v>Dept Store</v>
      </c>
      <c r="B753" t="s">
        <v>167</v>
      </c>
      <c r="C753" t="s">
        <v>307</v>
      </c>
      <c r="D753" s="3">
        <v>46222</v>
      </c>
      <c r="E753" s="3">
        <v>46234</v>
      </c>
      <c r="F753">
        <f t="shared" si="6"/>
        <v>13</v>
      </c>
      <c r="G753" t="s">
        <v>106</v>
      </c>
      <c r="H753">
        <v>399900</v>
      </c>
      <c r="I753">
        <v>349900</v>
      </c>
      <c r="J753">
        <v>299900</v>
      </c>
      <c r="K753">
        <v>399900</v>
      </c>
      <c r="L753">
        <v>5</v>
      </c>
      <c r="M753">
        <v>1999500</v>
      </c>
      <c r="N753" s="19">
        <v>1817727.2727272727</v>
      </c>
      <c r="O753" s="19">
        <v>1817727.2727272727</v>
      </c>
      <c r="P753" t="str">
        <f t="shared" si="7"/>
        <v>Ninja Heated</v>
      </c>
      <c r="Q753" t="str">
        <f t="shared" si="8"/>
        <v>Combi</v>
      </c>
    </row>
    <row r="754" spans="1:17" x14ac:dyDescent="0.35">
      <c r="A754" t="str">
        <f>_xlfn.XLOOKUP(B754,Mapping!C:C,Mapping!D:D)</f>
        <v>Group Buying</v>
      </c>
      <c r="B754" s="2" t="s">
        <v>114</v>
      </c>
      <c r="C754" t="s">
        <v>136</v>
      </c>
      <c r="D754" s="3">
        <v>46204</v>
      </c>
      <c r="E754" s="3">
        <v>46209</v>
      </c>
      <c r="F754">
        <f t="shared" si="6"/>
        <v>6</v>
      </c>
      <c r="G754" t="s">
        <v>43</v>
      </c>
      <c r="H754">
        <v>849000</v>
      </c>
      <c r="I754">
        <v>749000</v>
      </c>
      <c r="J754">
        <v>699000</v>
      </c>
      <c r="K754">
        <v>699000</v>
      </c>
      <c r="L754">
        <v>100</v>
      </c>
      <c r="M754">
        <v>69900000</v>
      </c>
      <c r="N754" s="19">
        <f>(K754*(1-0.36%)/1.1)*L754</f>
        <v>63316690.909090906</v>
      </c>
      <c r="O754" s="19">
        <f>(-N754*2%)+N754</f>
        <v>62050357.090909086</v>
      </c>
      <c r="P754" t="str">
        <f t="shared" ref="P754:P817" si="9">_xlfn.XLOOKUP(G754,$G$2:$G$529,$P$2:$P$529,"Not Found")</f>
        <v>Shark Floorcare</v>
      </c>
      <c r="Q754" t="str">
        <f t="shared" ref="Q754:Q817" si="10">_xlfn.XLOOKUP(G754,$G$2:$G$529,$Q$2:$Q$529,"Not Found")</f>
        <v>FW</v>
      </c>
    </row>
    <row r="755" spans="1:17" x14ac:dyDescent="0.35">
      <c r="A755" t="str">
        <f>_xlfn.XLOOKUP(B755,Mapping!C:C,Mapping!D:D)</f>
        <v>Group Buying</v>
      </c>
      <c r="B755" s="2" t="s">
        <v>114</v>
      </c>
      <c r="C755" t="s">
        <v>308</v>
      </c>
      <c r="D755" s="3">
        <v>46207</v>
      </c>
      <c r="E755" s="3">
        <v>46210</v>
      </c>
      <c r="F755">
        <f t="shared" si="6"/>
        <v>4</v>
      </c>
      <c r="G755" t="s">
        <v>86</v>
      </c>
      <c r="H755">
        <v>149900</v>
      </c>
      <c r="I755">
        <v>139900</v>
      </c>
      <c r="J755">
        <v>129900</v>
      </c>
      <c r="K755">
        <v>109000</v>
      </c>
      <c r="L755">
        <v>30</v>
      </c>
      <c r="M755">
        <v>3270000</v>
      </c>
      <c r="N755" s="19">
        <f t="shared" ref="N755:N792" si="11">(K755*(1-0.36%)/1.1)*L755</f>
        <v>2962025.4545454541</v>
      </c>
      <c r="O755" s="19">
        <f t="shared" ref="O755:O792" si="12">(-N755*2%)+N755</f>
        <v>2902784.9454545449</v>
      </c>
      <c r="P755" t="str">
        <f t="shared" si="9"/>
        <v>Ninja Motorized</v>
      </c>
      <c r="Q755" t="str">
        <f t="shared" si="10"/>
        <v>Portable</v>
      </c>
    </row>
    <row r="756" spans="1:17" x14ac:dyDescent="0.35">
      <c r="A756" t="str">
        <f>_xlfn.XLOOKUP(B756,Mapping!C:C,Mapping!D:D)</f>
        <v>Group Buying</v>
      </c>
      <c r="B756" s="2" t="s">
        <v>114</v>
      </c>
      <c r="C756" t="s">
        <v>130</v>
      </c>
      <c r="D756" s="3">
        <v>46210</v>
      </c>
      <c r="E756" s="3">
        <v>46213</v>
      </c>
      <c r="F756">
        <f t="shared" si="6"/>
        <v>4</v>
      </c>
      <c r="G756" t="s">
        <v>27</v>
      </c>
      <c r="H756">
        <v>329900</v>
      </c>
      <c r="I756">
        <v>299900</v>
      </c>
      <c r="J756">
        <v>279900</v>
      </c>
      <c r="K756">
        <v>279900</v>
      </c>
      <c r="L756">
        <v>50</v>
      </c>
      <c r="M756">
        <v>13995000</v>
      </c>
      <c r="N756" s="19">
        <f t="shared" si="11"/>
        <v>12676925.454545453</v>
      </c>
      <c r="O756" s="19">
        <f t="shared" si="12"/>
        <v>12423386.945454543</v>
      </c>
      <c r="P756" t="str">
        <f t="shared" si="9"/>
        <v>Ninja Motorized</v>
      </c>
      <c r="Q756" t="str">
        <f t="shared" si="10"/>
        <v>Trad</v>
      </c>
    </row>
    <row r="757" spans="1:17" x14ac:dyDescent="0.35">
      <c r="A757" t="str">
        <f>_xlfn.XLOOKUP(B757,Mapping!C:C,Mapping!D:D)</f>
        <v>Group Buying</v>
      </c>
      <c r="B757" s="2" t="s">
        <v>114</v>
      </c>
      <c r="C757" t="s">
        <v>133</v>
      </c>
      <c r="D757" s="3">
        <v>46211</v>
      </c>
      <c r="E757" s="3">
        <v>46213</v>
      </c>
      <c r="F757">
        <f t="shared" si="6"/>
        <v>3</v>
      </c>
      <c r="G757" t="s">
        <v>31</v>
      </c>
      <c r="H757">
        <v>329900</v>
      </c>
      <c r="I757">
        <v>299900</v>
      </c>
      <c r="J757">
        <v>279900</v>
      </c>
      <c r="K757">
        <v>699000</v>
      </c>
      <c r="L757">
        <v>200</v>
      </c>
      <c r="M757">
        <v>139800000</v>
      </c>
      <c r="N757" s="19">
        <f t="shared" si="11"/>
        <v>126633381.81818181</v>
      </c>
      <c r="O757" s="19">
        <f t="shared" si="12"/>
        <v>124100714.18181817</v>
      </c>
      <c r="P757" t="str">
        <f t="shared" si="9"/>
        <v>Shark Floorcare</v>
      </c>
      <c r="Q757" t="str">
        <f t="shared" si="10"/>
        <v>FW</v>
      </c>
    </row>
    <row r="758" spans="1:17" x14ac:dyDescent="0.35">
      <c r="A758" t="str">
        <f>_xlfn.XLOOKUP(B758,Mapping!C:C,Mapping!D:D)</f>
        <v>Group Buying</v>
      </c>
      <c r="B758" s="2" t="s">
        <v>114</v>
      </c>
      <c r="C758" t="s">
        <v>133</v>
      </c>
      <c r="D758" s="3">
        <v>46211</v>
      </c>
      <c r="E758" s="3">
        <v>46213</v>
      </c>
      <c r="F758">
        <f t="shared" si="6"/>
        <v>3</v>
      </c>
      <c r="G758" t="s">
        <v>43</v>
      </c>
      <c r="H758">
        <v>849000</v>
      </c>
      <c r="I758">
        <v>749000</v>
      </c>
      <c r="J758">
        <v>699000</v>
      </c>
      <c r="K758">
        <v>699000</v>
      </c>
      <c r="M758">
        <v>0</v>
      </c>
      <c r="N758" s="19">
        <f t="shared" si="11"/>
        <v>0</v>
      </c>
      <c r="O758" s="19">
        <f t="shared" si="12"/>
        <v>0</v>
      </c>
      <c r="P758" t="str">
        <f t="shared" si="9"/>
        <v>Shark Floorcare</v>
      </c>
      <c r="Q758" t="str">
        <f t="shared" si="10"/>
        <v>FW</v>
      </c>
    </row>
    <row r="759" spans="1:17" x14ac:dyDescent="0.35">
      <c r="A759" t="str">
        <f>_xlfn.XLOOKUP(B759,Mapping!C:C,Mapping!D:D)</f>
        <v>Group Buying</v>
      </c>
      <c r="B759" s="2" t="s">
        <v>114</v>
      </c>
      <c r="C759" t="s">
        <v>275</v>
      </c>
      <c r="D759" s="3">
        <v>46216</v>
      </c>
      <c r="E759" s="3">
        <v>46222</v>
      </c>
      <c r="F759">
        <f t="shared" si="6"/>
        <v>7</v>
      </c>
      <c r="G759" t="s">
        <v>40</v>
      </c>
      <c r="H759">
        <v>349900</v>
      </c>
      <c r="I759">
        <v>319900</v>
      </c>
      <c r="J759">
        <v>299900</v>
      </c>
      <c r="K759">
        <v>299900</v>
      </c>
      <c r="L759">
        <v>100</v>
      </c>
      <c r="M759">
        <v>29990000</v>
      </c>
      <c r="N759" s="19">
        <f t="shared" si="11"/>
        <v>27165487.27272727</v>
      </c>
      <c r="O759" s="19">
        <f t="shared" si="12"/>
        <v>26622177.527272724</v>
      </c>
      <c r="P759" t="str">
        <f t="shared" si="9"/>
        <v>Ninja Motorized</v>
      </c>
      <c r="Q759" t="str">
        <f t="shared" si="10"/>
        <v>Hot</v>
      </c>
    </row>
    <row r="760" spans="1:17" x14ac:dyDescent="0.35">
      <c r="A760" t="str">
        <f>_xlfn.XLOOKUP(B760,Mapping!C:C,Mapping!D:D)</f>
        <v>Group Buying</v>
      </c>
      <c r="B760" s="2" t="s">
        <v>114</v>
      </c>
      <c r="C760" t="s">
        <v>309</v>
      </c>
      <c r="D760" s="3">
        <v>46216</v>
      </c>
      <c r="E760" s="3">
        <v>46219</v>
      </c>
      <c r="F760">
        <f t="shared" si="6"/>
        <v>4</v>
      </c>
      <c r="G760" t="s">
        <v>31</v>
      </c>
      <c r="H760">
        <v>849000</v>
      </c>
      <c r="I760">
        <v>749000</v>
      </c>
      <c r="J760">
        <v>699000</v>
      </c>
      <c r="K760">
        <v>699000</v>
      </c>
      <c r="L760">
        <v>200</v>
      </c>
      <c r="M760">
        <v>139800000</v>
      </c>
      <c r="N760" s="19">
        <f t="shared" si="11"/>
        <v>126633381.81818181</v>
      </c>
      <c r="O760" s="19">
        <f t="shared" si="12"/>
        <v>124100714.18181817</v>
      </c>
      <c r="P760" t="str">
        <f t="shared" si="9"/>
        <v>Shark Floorcare</v>
      </c>
      <c r="Q760" t="str">
        <f t="shared" si="10"/>
        <v>FW</v>
      </c>
    </row>
    <row r="761" spans="1:17" x14ac:dyDescent="0.35">
      <c r="A761" t="str">
        <f>_xlfn.XLOOKUP(B761,Mapping!C:C,Mapping!D:D)</f>
        <v>Group Buying</v>
      </c>
      <c r="B761" s="2" t="s">
        <v>114</v>
      </c>
      <c r="C761" t="s">
        <v>309</v>
      </c>
      <c r="D761" s="3">
        <v>46216</v>
      </c>
      <c r="E761" s="3">
        <v>46219</v>
      </c>
      <c r="F761">
        <f t="shared" si="6"/>
        <v>4</v>
      </c>
      <c r="G761" t="s">
        <v>43</v>
      </c>
      <c r="H761">
        <v>849000</v>
      </c>
      <c r="I761">
        <v>749000</v>
      </c>
      <c r="J761">
        <v>699000</v>
      </c>
      <c r="K761">
        <v>699000</v>
      </c>
      <c r="M761">
        <v>0</v>
      </c>
      <c r="N761" s="19">
        <f t="shared" si="11"/>
        <v>0</v>
      </c>
      <c r="O761" s="19">
        <f t="shared" si="12"/>
        <v>0</v>
      </c>
      <c r="P761" t="str">
        <f t="shared" si="9"/>
        <v>Shark Floorcare</v>
      </c>
      <c r="Q761" t="str">
        <f t="shared" si="10"/>
        <v>FW</v>
      </c>
    </row>
    <row r="762" spans="1:17" x14ac:dyDescent="0.35">
      <c r="A762" t="str">
        <f>_xlfn.XLOOKUP(B762,Mapping!C:C,Mapping!D:D)</f>
        <v>Group Buying</v>
      </c>
      <c r="B762" s="2" t="s">
        <v>114</v>
      </c>
      <c r="C762" t="s">
        <v>252</v>
      </c>
      <c r="D762" s="3">
        <v>46219</v>
      </c>
      <c r="E762" s="3">
        <v>46221</v>
      </c>
      <c r="F762">
        <f t="shared" ref="F762:F792" si="13">E762-D762+1</f>
        <v>3</v>
      </c>
      <c r="G762" t="s">
        <v>33</v>
      </c>
      <c r="H762">
        <v>399900</v>
      </c>
      <c r="I762">
        <v>349900</v>
      </c>
      <c r="J762">
        <v>299900</v>
      </c>
      <c r="K762">
        <v>349900</v>
      </c>
      <c r="L762">
        <v>300</v>
      </c>
      <c r="M762">
        <v>104970000</v>
      </c>
      <c r="N762" s="19">
        <f t="shared" si="11"/>
        <v>95083734.545454547</v>
      </c>
      <c r="O762" s="19">
        <f t="shared" si="12"/>
        <v>93182059.854545459</v>
      </c>
      <c r="P762" t="str">
        <f t="shared" si="9"/>
        <v>Shark Fan</v>
      </c>
      <c r="Q762" t="str">
        <f t="shared" si="10"/>
        <v>Fan</v>
      </c>
    </row>
    <row r="763" spans="1:17" x14ac:dyDescent="0.35">
      <c r="A763" t="str">
        <f>_xlfn.XLOOKUP(B763,Mapping!C:C,Mapping!D:D)</f>
        <v>Group Buying</v>
      </c>
      <c r="B763" s="2" t="s">
        <v>114</v>
      </c>
      <c r="C763" t="s">
        <v>252</v>
      </c>
      <c r="D763" s="3">
        <v>46219</v>
      </c>
      <c r="E763" s="3">
        <v>46221</v>
      </c>
      <c r="F763">
        <f t="shared" si="13"/>
        <v>3</v>
      </c>
      <c r="G763" t="s">
        <v>42</v>
      </c>
      <c r="H763">
        <v>399900</v>
      </c>
      <c r="I763">
        <v>349900</v>
      </c>
      <c r="J763">
        <v>299900</v>
      </c>
      <c r="K763">
        <v>349900</v>
      </c>
      <c r="M763">
        <v>0</v>
      </c>
      <c r="N763" s="19">
        <f t="shared" si="11"/>
        <v>0</v>
      </c>
      <c r="O763" s="19">
        <f t="shared" si="12"/>
        <v>0</v>
      </c>
      <c r="P763" t="str">
        <f t="shared" si="9"/>
        <v>Shark Fan</v>
      </c>
      <c r="Q763" t="str">
        <f t="shared" si="10"/>
        <v>Fan</v>
      </c>
    </row>
    <row r="764" spans="1:17" x14ac:dyDescent="0.35">
      <c r="A764" t="str">
        <f>_xlfn.XLOOKUP(B764,Mapping!C:C,Mapping!D:D)</f>
        <v>Group Buying</v>
      </c>
      <c r="B764" s="2" t="s">
        <v>114</v>
      </c>
      <c r="C764" t="s">
        <v>311</v>
      </c>
      <c r="D764" s="3">
        <v>46231</v>
      </c>
      <c r="E764" s="3">
        <v>46235</v>
      </c>
      <c r="F764">
        <f t="shared" si="13"/>
        <v>5</v>
      </c>
      <c r="G764" t="s">
        <v>31</v>
      </c>
      <c r="H764">
        <v>849000</v>
      </c>
      <c r="I764">
        <v>749000</v>
      </c>
      <c r="J764">
        <v>699000</v>
      </c>
      <c r="K764">
        <v>699000</v>
      </c>
      <c r="L764">
        <v>50</v>
      </c>
      <c r="M764">
        <v>34950000</v>
      </c>
      <c r="N764" s="19">
        <f t="shared" si="11"/>
        <v>31658345.454545453</v>
      </c>
      <c r="O764" s="19">
        <f t="shared" si="12"/>
        <v>31025178.545454543</v>
      </c>
      <c r="P764" t="str">
        <f t="shared" si="9"/>
        <v>Shark Floorcare</v>
      </c>
      <c r="Q764" t="str">
        <f t="shared" si="10"/>
        <v>FW</v>
      </c>
    </row>
    <row r="765" spans="1:17" x14ac:dyDescent="0.35">
      <c r="A765" t="str">
        <f>_xlfn.XLOOKUP(B765,Mapping!C:C,Mapping!D:D)</f>
        <v>Group Buying</v>
      </c>
      <c r="B765" s="2" t="s">
        <v>114</v>
      </c>
      <c r="C765" t="s">
        <v>311</v>
      </c>
      <c r="D765" s="3">
        <v>46231</v>
      </c>
      <c r="E765" s="3">
        <v>46235</v>
      </c>
      <c r="F765">
        <f t="shared" si="13"/>
        <v>5</v>
      </c>
      <c r="G765" t="s">
        <v>43</v>
      </c>
      <c r="H765">
        <v>849000</v>
      </c>
      <c r="I765">
        <v>749000</v>
      </c>
      <c r="J765">
        <v>699000</v>
      </c>
      <c r="K765">
        <v>699000</v>
      </c>
      <c r="M765">
        <v>0</v>
      </c>
      <c r="N765" s="19">
        <f t="shared" si="11"/>
        <v>0</v>
      </c>
      <c r="O765" s="19">
        <f t="shared" si="12"/>
        <v>0</v>
      </c>
      <c r="P765" t="str">
        <f t="shared" si="9"/>
        <v>Shark Floorcare</v>
      </c>
      <c r="Q765" t="str">
        <f t="shared" si="10"/>
        <v>FW</v>
      </c>
    </row>
    <row r="766" spans="1:17" x14ac:dyDescent="0.35">
      <c r="A766" t="str">
        <f>_xlfn.XLOOKUP(B766,Mapping!C:C,Mapping!D:D)</f>
        <v>Group Buying</v>
      </c>
      <c r="B766" s="2" t="s">
        <v>114</v>
      </c>
      <c r="C766" t="s">
        <v>274</v>
      </c>
      <c r="D766" s="3">
        <v>46233</v>
      </c>
      <c r="E766" s="3">
        <v>46236</v>
      </c>
      <c r="F766">
        <f t="shared" si="13"/>
        <v>4</v>
      </c>
      <c r="G766" t="s">
        <v>32</v>
      </c>
      <c r="H766">
        <v>349900</v>
      </c>
      <c r="I766">
        <v>299900</v>
      </c>
      <c r="J766">
        <v>269900</v>
      </c>
      <c r="K766">
        <v>269900</v>
      </c>
      <c r="L766">
        <v>400</v>
      </c>
      <c r="M766">
        <v>107960000</v>
      </c>
      <c r="N766" s="19">
        <f t="shared" si="11"/>
        <v>97792130.909090891</v>
      </c>
      <c r="O766" s="19">
        <f t="shared" si="12"/>
        <v>95836288.290909067</v>
      </c>
      <c r="P766" t="str">
        <f t="shared" si="9"/>
        <v>Ninja Motorized</v>
      </c>
      <c r="Q766" t="str">
        <f t="shared" si="10"/>
        <v>Icecream</v>
      </c>
    </row>
    <row r="767" spans="1:17" x14ac:dyDescent="0.35">
      <c r="A767" t="str">
        <f>_xlfn.XLOOKUP(B767,Mapping!C:C,Mapping!D:D)</f>
        <v>Group Buying</v>
      </c>
      <c r="B767" s="2" t="s">
        <v>114</v>
      </c>
      <c r="C767" t="s">
        <v>133</v>
      </c>
      <c r="D767" s="3">
        <v>46209</v>
      </c>
      <c r="E767" s="3">
        <v>46211</v>
      </c>
      <c r="F767">
        <f t="shared" si="13"/>
        <v>3</v>
      </c>
      <c r="G767" t="s">
        <v>42</v>
      </c>
      <c r="H767">
        <v>399900</v>
      </c>
      <c r="I767">
        <v>349900</v>
      </c>
      <c r="J767">
        <v>299900</v>
      </c>
      <c r="K767">
        <v>349900</v>
      </c>
      <c r="L767">
        <v>500</v>
      </c>
      <c r="M767">
        <v>174950000</v>
      </c>
      <c r="N767" s="19">
        <f t="shared" si="11"/>
        <v>158472890.90909091</v>
      </c>
      <c r="O767" s="19">
        <f t="shared" si="12"/>
        <v>155303433.09090909</v>
      </c>
      <c r="P767" t="str">
        <f t="shared" si="9"/>
        <v>Shark Fan</v>
      </c>
      <c r="Q767" t="str">
        <f t="shared" si="10"/>
        <v>Fan</v>
      </c>
    </row>
    <row r="768" spans="1:17" x14ac:dyDescent="0.35">
      <c r="A768" t="str">
        <f>_xlfn.XLOOKUP(B768,Mapping!C:C,Mapping!D:D)</f>
        <v>Group Buying</v>
      </c>
      <c r="B768" s="2" t="s">
        <v>114</v>
      </c>
      <c r="C768" t="s">
        <v>133</v>
      </c>
      <c r="D768" s="3">
        <v>46209</v>
      </c>
      <c r="E768" s="3">
        <v>46211</v>
      </c>
      <c r="F768">
        <f t="shared" si="13"/>
        <v>3</v>
      </c>
      <c r="G768" t="s">
        <v>33</v>
      </c>
      <c r="H768">
        <v>399900</v>
      </c>
      <c r="I768">
        <v>349900</v>
      </c>
      <c r="J768">
        <v>299900</v>
      </c>
      <c r="K768">
        <v>349900</v>
      </c>
      <c r="M768">
        <v>0</v>
      </c>
      <c r="N768" s="19">
        <f t="shared" si="11"/>
        <v>0</v>
      </c>
      <c r="O768" s="19">
        <f t="shared" si="12"/>
        <v>0</v>
      </c>
      <c r="P768" t="str">
        <f t="shared" si="9"/>
        <v>Shark Fan</v>
      </c>
      <c r="Q768" t="str">
        <f t="shared" si="10"/>
        <v>Fan</v>
      </c>
    </row>
    <row r="769" spans="1:17" x14ac:dyDescent="0.35">
      <c r="A769" t="str">
        <f>_xlfn.XLOOKUP(B769,Mapping!C:C,Mapping!D:D)</f>
        <v>Group Buying</v>
      </c>
      <c r="B769" s="2" t="s">
        <v>114</v>
      </c>
      <c r="C769" t="s">
        <v>243</v>
      </c>
      <c r="D769" s="3">
        <v>46204</v>
      </c>
      <c r="E769" s="3">
        <v>46234</v>
      </c>
      <c r="F769">
        <f t="shared" si="13"/>
        <v>31</v>
      </c>
      <c r="G769" t="s">
        <v>41</v>
      </c>
      <c r="H769">
        <v>299900</v>
      </c>
      <c r="I769">
        <v>269900</v>
      </c>
      <c r="J769">
        <v>269900</v>
      </c>
      <c r="K769">
        <v>219900</v>
      </c>
      <c r="L769">
        <v>100</v>
      </c>
      <c r="M769">
        <v>21990000</v>
      </c>
      <c r="N769" s="19">
        <f t="shared" si="11"/>
        <v>19918941.818181816</v>
      </c>
      <c r="O769" s="19">
        <f t="shared" si="12"/>
        <v>19520562.981818181</v>
      </c>
      <c r="P769" t="str">
        <f t="shared" si="9"/>
        <v>Shark Fan</v>
      </c>
      <c r="Q769" t="str">
        <f t="shared" si="10"/>
        <v>Fan</v>
      </c>
    </row>
    <row r="770" spans="1:17" x14ac:dyDescent="0.35">
      <c r="A770" t="str">
        <f>_xlfn.XLOOKUP(B770,Mapping!C:C,Mapping!D:D)</f>
        <v>Group Buying</v>
      </c>
      <c r="B770" s="2" t="s">
        <v>114</v>
      </c>
      <c r="C770" t="s">
        <v>308</v>
      </c>
      <c r="D770" s="3">
        <v>46207</v>
      </c>
      <c r="E770" s="3">
        <v>46210</v>
      </c>
      <c r="F770">
        <f t="shared" si="13"/>
        <v>4</v>
      </c>
      <c r="G770" t="s">
        <v>83</v>
      </c>
      <c r="H770">
        <v>149900</v>
      </c>
      <c r="I770">
        <v>139900</v>
      </c>
      <c r="J770">
        <v>129900</v>
      </c>
      <c r="K770">
        <v>109000</v>
      </c>
      <c r="M770">
        <v>0</v>
      </c>
      <c r="N770" s="19">
        <f t="shared" si="11"/>
        <v>0</v>
      </c>
      <c r="O770" s="19">
        <f t="shared" si="12"/>
        <v>0</v>
      </c>
      <c r="P770" t="str">
        <f t="shared" si="9"/>
        <v>Ninja Motorized</v>
      </c>
      <c r="Q770" t="str">
        <f t="shared" si="10"/>
        <v>Portable</v>
      </c>
    </row>
    <row r="771" spans="1:17" x14ac:dyDescent="0.35">
      <c r="A771" t="str">
        <f>_xlfn.XLOOKUP(B771,Mapping!C:C,Mapping!D:D)</f>
        <v>Group Buying</v>
      </c>
      <c r="B771" s="2" t="s">
        <v>114</v>
      </c>
      <c r="C771" t="s">
        <v>308</v>
      </c>
      <c r="D771" s="3">
        <v>46207</v>
      </c>
      <c r="E771" s="3">
        <v>46210</v>
      </c>
      <c r="F771">
        <f t="shared" si="13"/>
        <v>4</v>
      </c>
      <c r="G771" t="s">
        <v>82</v>
      </c>
      <c r="H771">
        <v>149900</v>
      </c>
      <c r="I771">
        <v>139900</v>
      </c>
      <c r="J771">
        <v>129900</v>
      </c>
      <c r="K771">
        <v>109000</v>
      </c>
      <c r="M771">
        <v>0</v>
      </c>
      <c r="N771" s="19">
        <f t="shared" si="11"/>
        <v>0</v>
      </c>
      <c r="O771" s="19">
        <f t="shared" si="12"/>
        <v>0</v>
      </c>
      <c r="P771" t="str">
        <f t="shared" si="9"/>
        <v>Ninja Motorized</v>
      </c>
      <c r="Q771" t="str">
        <f t="shared" si="10"/>
        <v>Portable</v>
      </c>
    </row>
    <row r="772" spans="1:17" x14ac:dyDescent="0.35">
      <c r="A772" t="str">
        <f>_xlfn.XLOOKUP(B772,Mapping!C:C,Mapping!D:D)</f>
        <v>Group Buying</v>
      </c>
      <c r="B772" s="2" t="s">
        <v>114</v>
      </c>
      <c r="C772" t="s">
        <v>308</v>
      </c>
      <c r="D772" s="3">
        <v>46207</v>
      </c>
      <c r="E772" s="3">
        <v>46210</v>
      </c>
      <c r="F772">
        <f t="shared" si="13"/>
        <v>4</v>
      </c>
      <c r="G772" t="s">
        <v>90</v>
      </c>
      <c r="H772">
        <v>149900</v>
      </c>
      <c r="I772">
        <v>139900</v>
      </c>
      <c r="J772">
        <v>129900</v>
      </c>
      <c r="K772">
        <v>109000</v>
      </c>
      <c r="M772">
        <v>0</v>
      </c>
      <c r="N772" s="19">
        <f t="shared" si="11"/>
        <v>0</v>
      </c>
      <c r="O772" s="19">
        <f t="shared" si="12"/>
        <v>0</v>
      </c>
      <c r="P772" t="str">
        <f t="shared" si="9"/>
        <v>Ninja Motorized</v>
      </c>
      <c r="Q772" t="str">
        <f t="shared" si="10"/>
        <v>Portable</v>
      </c>
    </row>
    <row r="773" spans="1:17" x14ac:dyDescent="0.35">
      <c r="A773" t="str">
        <f>_xlfn.XLOOKUP(B773,Mapping!C:C,Mapping!D:D)</f>
        <v>Group Buying</v>
      </c>
      <c r="B773" s="2" t="s">
        <v>114</v>
      </c>
      <c r="C773" t="s">
        <v>274</v>
      </c>
      <c r="D773" s="3">
        <v>46223</v>
      </c>
      <c r="E773" s="3">
        <v>46225</v>
      </c>
      <c r="F773">
        <f t="shared" si="13"/>
        <v>3</v>
      </c>
      <c r="G773" t="s">
        <v>33</v>
      </c>
      <c r="H773">
        <v>399900</v>
      </c>
      <c r="I773">
        <v>349900</v>
      </c>
      <c r="J773">
        <v>299900</v>
      </c>
      <c r="K773">
        <v>349900</v>
      </c>
      <c r="L773">
        <v>500</v>
      </c>
      <c r="M773">
        <v>174950000</v>
      </c>
      <c r="N773" s="19">
        <f t="shared" si="11"/>
        <v>158472890.90909091</v>
      </c>
      <c r="O773" s="19">
        <f t="shared" si="12"/>
        <v>155303433.09090909</v>
      </c>
      <c r="P773" t="str">
        <f t="shared" si="9"/>
        <v>Shark Fan</v>
      </c>
      <c r="Q773" t="str">
        <f t="shared" si="10"/>
        <v>Fan</v>
      </c>
    </row>
    <row r="774" spans="1:17" x14ac:dyDescent="0.35">
      <c r="A774" t="str">
        <f>_xlfn.XLOOKUP(B774,Mapping!C:C,Mapping!D:D)</f>
        <v>Group Buying</v>
      </c>
      <c r="B774" s="2" t="s">
        <v>114</v>
      </c>
      <c r="C774" t="s">
        <v>274</v>
      </c>
      <c r="D774" s="3">
        <v>46223</v>
      </c>
      <c r="E774" s="3">
        <v>46225</v>
      </c>
      <c r="F774">
        <f t="shared" si="13"/>
        <v>3</v>
      </c>
      <c r="G774" t="s">
        <v>42</v>
      </c>
      <c r="H774">
        <v>399900</v>
      </c>
      <c r="I774">
        <v>349900</v>
      </c>
      <c r="J774">
        <v>299900</v>
      </c>
      <c r="K774">
        <v>349900</v>
      </c>
      <c r="M774">
        <v>0</v>
      </c>
      <c r="N774" s="19">
        <f t="shared" si="11"/>
        <v>0</v>
      </c>
      <c r="O774" s="19">
        <f t="shared" si="12"/>
        <v>0</v>
      </c>
      <c r="P774" t="str">
        <f t="shared" si="9"/>
        <v>Shark Fan</v>
      </c>
      <c r="Q774" t="str">
        <f t="shared" si="10"/>
        <v>Fan</v>
      </c>
    </row>
    <row r="775" spans="1:17" x14ac:dyDescent="0.35">
      <c r="A775" t="str">
        <f>_xlfn.XLOOKUP(B775,Mapping!C:C,Mapping!D:D)</f>
        <v>Group Buying</v>
      </c>
      <c r="B775" s="2" t="s">
        <v>114</v>
      </c>
      <c r="C775" t="s">
        <v>312</v>
      </c>
      <c r="D775" s="3">
        <v>46217</v>
      </c>
      <c r="E775" s="3">
        <v>46221</v>
      </c>
      <c r="F775">
        <f t="shared" si="13"/>
        <v>5</v>
      </c>
      <c r="G775" t="s">
        <v>18</v>
      </c>
      <c r="H775">
        <v>249900</v>
      </c>
      <c r="I775">
        <v>219900</v>
      </c>
      <c r="J775">
        <v>199900</v>
      </c>
      <c r="K775">
        <v>219900</v>
      </c>
      <c r="L775">
        <v>500</v>
      </c>
      <c r="M775">
        <v>109950000</v>
      </c>
      <c r="N775" s="19">
        <f t="shared" si="11"/>
        <v>99594709.090909079</v>
      </c>
      <c r="O775" s="19">
        <f t="shared" si="12"/>
        <v>97602814.909090891</v>
      </c>
      <c r="P775" t="str">
        <f t="shared" si="9"/>
        <v>Ninja Heated</v>
      </c>
      <c r="Q775" t="str">
        <f t="shared" si="10"/>
        <v>Crispi</v>
      </c>
    </row>
    <row r="776" spans="1:17" x14ac:dyDescent="0.35">
      <c r="A776" t="str">
        <f>_xlfn.XLOOKUP(B776,Mapping!C:C,Mapping!D:D)</f>
        <v>Group Buying</v>
      </c>
      <c r="B776" s="2" t="s">
        <v>114</v>
      </c>
      <c r="C776" t="s">
        <v>313</v>
      </c>
      <c r="D776" s="3">
        <v>46223</v>
      </c>
      <c r="E776" s="3">
        <v>46229</v>
      </c>
      <c r="F776">
        <f t="shared" si="13"/>
        <v>7</v>
      </c>
      <c r="G776" t="s">
        <v>41</v>
      </c>
      <c r="H776">
        <v>299900</v>
      </c>
      <c r="I776">
        <v>269900</v>
      </c>
      <c r="J776">
        <v>269900</v>
      </c>
      <c r="K776">
        <v>219900</v>
      </c>
      <c r="L776">
        <v>30</v>
      </c>
      <c r="M776">
        <v>6597000</v>
      </c>
      <c r="N776" s="19">
        <f t="shared" si="11"/>
        <v>5975682.5454545449</v>
      </c>
      <c r="O776" s="19">
        <f t="shared" si="12"/>
        <v>5856168.8945454536</v>
      </c>
      <c r="P776" t="str">
        <f t="shared" si="9"/>
        <v>Shark Fan</v>
      </c>
      <c r="Q776" t="str">
        <f t="shared" si="10"/>
        <v>Fan</v>
      </c>
    </row>
    <row r="777" spans="1:17" x14ac:dyDescent="0.35">
      <c r="A777" t="str">
        <f>_xlfn.XLOOKUP(B777,Mapping!C:C,Mapping!D:D)</f>
        <v>Group Buying</v>
      </c>
      <c r="B777" s="2" t="s">
        <v>114</v>
      </c>
      <c r="C777" t="s">
        <v>268</v>
      </c>
      <c r="D777" s="3">
        <v>46214</v>
      </c>
      <c r="E777" s="3">
        <v>46216</v>
      </c>
      <c r="F777">
        <f t="shared" si="13"/>
        <v>3</v>
      </c>
      <c r="G777" t="s">
        <v>18</v>
      </c>
      <c r="H777">
        <v>249900</v>
      </c>
      <c r="I777">
        <v>219900</v>
      </c>
      <c r="J777">
        <v>199900</v>
      </c>
      <c r="K777">
        <v>219900</v>
      </c>
      <c r="L777">
        <v>50</v>
      </c>
      <c r="M777">
        <v>10995000</v>
      </c>
      <c r="N777" s="19">
        <f t="shared" si="11"/>
        <v>9959470.9090909082</v>
      </c>
      <c r="O777" s="19">
        <f t="shared" si="12"/>
        <v>9760281.4909090903</v>
      </c>
      <c r="P777" t="str">
        <f t="shared" si="9"/>
        <v>Ninja Heated</v>
      </c>
      <c r="Q777" t="str">
        <f t="shared" si="10"/>
        <v>Crispi</v>
      </c>
    </row>
    <row r="778" spans="1:17" x14ac:dyDescent="0.35">
      <c r="A778" t="str">
        <f>_xlfn.XLOOKUP(B778,Mapping!C:C,Mapping!D:D)</f>
        <v>Group Buying</v>
      </c>
      <c r="B778" s="2" t="s">
        <v>114</v>
      </c>
      <c r="C778" t="s">
        <v>308</v>
      </c>
      <c r="D778" s="3">
        <v>46216</v>
      </c>
      <c r="E778" s="3">
        <v>46218</v>
      </c>
      <c r="F778">
        <f t="shared" si="13"/>
        <v>3</v>
      </c>
      <c r="G778" t="s">
        <v>18</v>
      </c>
      <c r="H778">
        <v>249900</v>
      </c>
      <c r="I778">
        <v>219900</v>
      </c>
      <c r="J778">
        <v>199900</v>
      </c>
      <c r="K778">
        <v>219900</v>
      </c>
      <c r="L778">
        <v>50</v>
      </c>
      <c r="M778">
        <v>10995000</v>
      </c>
      <c r="N778" s="19">
        <f t="shared" si="11"/>
        <v>9959470.9090909082</v>
      </c>
      <c r="O778" s="19">
        <f t="shared" si="12"/>
        <v>9760281.4909090903</v>
      </c>
      <c r="P778" t="str">
        <f t="shared" si="9"/>
        <v>Ninja Heated</v>
      </c>
      <c r="Q778" t="str">
        <f t="shared" si="10"/>
        <v>Crispi</v>
      </c>
    </row>
    <row r="779" spans="1:17" x14ac:dyDescent="0.35">
      <c r="A779" t="str">
        <f>_xlfn.XLOOKUP(B779,Mapping!C:C,Mapping!D:D)</f>
        <v>Group Buying</v>
      </c>
      <c r="B779" s="2" t="s">
        <v>114</v>
      </c>
      <c r="C779" t="s">
        <v>314</v>
      </c>
      <c r="D779" s="3">
        <v>46216</v>
      </c>
      <c r="E779" s="3">
        <v>46218</v>
      </c>
      <c r="F779">
        <f t="shared" si="13"/>
        <v>3</v>
      </c>
      <c r="G779" t="s">
        <v>33</v>
      </c>
      <c r="H779">
        <v>399900</v>
      </c>
      <c r="I779">
        <v>349900</v>
      </c>
      <c r="J779">
        <v>299900</v>
      </c>
      <c r="K779">
        <v>349900</v>
      </c>
      <c r="L779">
        <v>200</v>
      </c>
      <c r="M779">
        <v>69980000</v>
      </c>
      <c r="N779" s="19">
        <f t="shared" si="11"/>
        <v>63389156.36363636</v>
      </c>
      <c r="O779" s="19">
        <f t="shared" si="12"/>
        <v>62121373.236363634</v>
      </c>
      <c r="P779" t="str">
        <f t="shared" si="9"/>
        <v>Shark Fan</v>
      </c>
      <c r="Q779" t="str">
        <f t="shared" si="10"/>
        <v>Fan</v>
      </c>
    </row>
    <row r="780" spans="1:17" x14ac:dyDescent="0.35">
      <c r="A780" t="str">
        <f>_xlfn.XLOOKUP(B780,Mapping!C:C,Mapping!D:D)</f>
        <v>Group Buying</v>
      </c>
      <c r="B780" s="2" t="s">
        <v>114</v>
      </c>
      <c r="C780" t="s">
        <v>314</v>
      </c>
      <c r="D780" s="3">
        <v>46216</v>
      </c>
      <c r="E780" s="3">
        <v>46218</v>
      </c>
      <c r="F780">
        <f t="shared" si="13"/>
        <v>3</v>
      </c>
      <c r="G780" t="s">
        <v>42</v>
      </c>
      <c r="H780">
        <v>399900</v>
      </c>
      <c r="I780">
        <v>349900</v>
      </c>
      <c r="J780">
        <v>299900</v>
      </c>
      <c r="K780">
        <v>349900</v>
      </c>
      <c r="M780">
        <v>0</v>
      </c>
      <c r="N780" s="19">
        <f t="shared" si="11"/>
        <v>0</v>
      </c>
      <c r="O780" s="19">
        <f t="shared" si="12"/>
        <v>0</v>
      </c>
      <c r="P780" t="str">
        <f t="shared" si="9"/>
        <v>Shark Fan</v>
      </c>
      <c r="Q780" t="str">
        <f t="shared" si="10"/>
        <v>Fan</v>
      </c>
    </row>
    <row r="781" spans="1:17" x14ac:dyDescent="0.35">
      <c r="A781" t="str">
        <f>_xlfn.XLOOKUP(B781,Mapping!C:C,Mapping!D:D)</f>
        <v>Group Buying</v>
      </c>
      <c r="B781" s="2" t="s">
        <v>114</v>
      </c>
      <c r="C781" t="s">
        <v>315</v>
      </c>
      <c r="D781" s="3">
        <v>46226</v>
      </c>
      <c r="E781" s="3">
        <v>46229</v>
      </c>
      <c r="F781">
        <f t="shared" si="13"/>
        <v>4</v>
      </c>
      <c r="G781" t="s">
        <v>33</v>
      </c>
      <c r="H781">
        <v>399900</v>
      </c>
      <c r="I781">
        <v>349900</v>
      </c>
      <c r="J781">
        <v>299900</v>
      </c>
      <c r="K781">
        <v>349900</v>
      </c>
      <c r="L781">
        <v>330</v>
      </c>
      <c r="M781">
        <v>115467000</v>
      </c>
      <c r="N781" s="19">
        <f t="shared" si="11"/>
        <v>104592108</v>
      </c>
      <c r="O781" s="19">
        <f t="shared" si="12"/>
        <v>102500265.84</v>
      </c>
      <c r="P781" t="str">
        <f t="shared" si="9"/>
        <v>Shark Fan</v>
      </c>
      <c r="Q781" t="str">
        <f t="shared" si="10"/>
        <v>Fan</v>
      </c>
    </row>
    <row r="782" spans="1:17" x14ac:dyDescent="0.35">
      <c r="A782" t="str">
        <f>_xlfn.XLOOKUP(B782,Mapping!C:C,Mapping!D:D)</f>
        <v>Group Buying</v>
      </c>
      <c r="B782" s="2" t="s">
        <v>114</v>
      </c>
      <c r="C782" t="s">
        <v>315</v>
      </c>
      <c r="D782" s="3">
        <v>46226</v>
      </c>
      <c r="E782" s="3">
        <v>46229</v>
      </c>
      <c r="F782">
        <f t="shared" si="13"/>
        <v>4</v>
      </c>
      <c r="G782" t="s">
        <v>42</v>
      </c>
      <c r="H782">
        <v>399900</v>
      </c>
      <c r="I782">
        <v>349900</v>
      </c>
      <c r="J782">
        <v>299900</v>
      </c>
      <c r="K782">
        <v>349900</v>
      </c>
      <c r="M782">
        <v>0</v>
      </c>
      <c r="N782" s="19">
        <f t="shared" si="11"/>
        <v>0</v>
      </c>
      <c r="O782" s="19">
        <f t="shared" si="12"/>
        <v>0</v>
      </c>
      <c r="P782" t="str">
        <f t="shared" si="9"/>
        <v>Shark Fan</v>
      </c>
      <c r="Q782" t="str">
        <f t="shared" si="10"/>
        <v>Fan</v>
      </c>
    </row>
    <row r="783" spans="1:17" x14ac:dyDescent="0.35">
      <c r="A783" t="str">
        <f>_xlfn.XLOOKUP(B783,Mapping!C:C,Mapping!D:D)</f>
        <v>Group Buying</v>
      </c>
      <c r="B783" s="2" t="s">
        <v>114</v>
      </c>
      <c r="C783" t="s">
        <v>316</v>
      </c>
      <c r="D783" s="3">
        <v>46230</v>
      </c>
      <c r="E783" s="3">
        <v>46234</v>
      </c>
      <c r="F783">
        <f t="shared" si="13"/>
        <v>5</v>
      </c>
      <c r="G783" t="s">
        <v>18</v>
      </c>
      <c r="H783">
        <v>249900</v>
      </c>
      <c r="I783">
        <v>219900</v>
      </c>
      <c r="J783">
        <v>199900</v>
      </c>
      <c r="K783">
        <v>219900</v>
      </c>
      <c r="L783">
        <v>800</v>
      </c>
      <c r="M783">
        <v>175920000</v>
      </c>
      <c r="N783" s="19">
        <f t="shared" si="11"/>
        <v>159351534.54545453</v>
      </c>
      <c r="O783" s="19">
        <f t="shared" si="12"/>
        <v>156164503.85454544</v>
      </c>
      <c r="P783" t="str">
        <f t="shared" si="9"/>
        <v>Ninja Heated</v>
      </c>
      <c r="Q783" t="str">
        <f t="shared" si="10"/>
        <v>Crispi</v>
      </c>
    </row>
    <row r="784" spans="1:17" x14ac:dyDescent="0.35">
      <c r="A784" t="str">
        <f>_xlfn.XLOOKUP(B784,Mapping!C:C,Mapping!D:D)</f>
        <v>Group Buying</v>
      </c>
      <c r="B784" s="2" t="s">
        <v>114</v>
      </c>
      <c r="C784" t="s">
        <v>310</v>
      </c>
      <c r="D784" s="3">
        <v>46222</v>
      </c>
      <c r="E784" s="3">
        <v>46224</v>
      </c>
      <c r="F784">
        <f t="shared" si="13"/>
        <v>3</v>
      </c>
      <c r="G784" t="s">
        <v>18</v>
      </c>
      <c r="H784">
        <v>249900</v>
      </c>
      <c r="I784">
        <v>219900</v>
      </c>
      <c r="J784">
        <v>199900</v>
      </c>
      <c r="K784">
        <v>219900</v>
      </c>
      <c r="L784">
        <v>200</v>
      </c>
      <c r="M784">
        <v>43980000</v>
      </c>
      <c r="N784" s="19">
        <f t="shared" si="11"/>
        <v>39837883.636363633</v>
      </c>
      <c r="O784" s="19">
        <f t="shared" si="12"/>
        <v>39041125.963636361</v>
      </c>
      <c r="P784" t="str">
        <f t="shared" si="9"/>
        <v>Ninja Heated</v>
      </c>
      <c r="Q784" t="str">
        <f t="shared" si="10"/>
        <v>Crispi</v>
      </c>
    </row>
    <row r="785" spans="1:17" x14ac:dyDescent="0.35">
      <c r="A785" t="str">
        <f>_xlfn.XLOOKUP(B785,Mapping!C:C,Mapping!D:D)</f>
        <v>Group Buying</v>
      </c>
      <c r="B785" s="2" t="s">
        <v>114</v>
      </c>
      <c r="C785" t="s">
        <v>317</v>
      </c>
      <c r="D785" s="3">
        <v>46224</v>
      </c>
      <c r="E785" s="3">
        <v>46226</v>
      </c>
      <c r="F785">
        <f t="shared" si="13"/>
        <v>3</v>
      </c>
      <c r="G785" t="s">
        <v>18</v>
      </c>
      <c r="H785">
        <v>249900</v>
      </c>
      <c r="I785">
        <v>219900</v>
      </c>
      <c r="J785">
        <v>199900</v>
      </c>
      <c r="K785">
        <v>219900</v>
      </c>
      <c r="L785">
        <v>100</v>
      </c>
      <c r="M785">
        <v>21990000</v>
      </c>
      <c r="N785" s="19">
        <f t="shared" si="11"/>
        <v>19918941.818181816</v>
      </c>
      <c r="O785" s="19">
        <f t="shared" si="12"/>
        <v>19520562.981818181</v>
      </c>
      <c r="P785" t="str">
        <f t="shared" si="9"/>
        <v>Ninja Heated</v>
      </c>
      <c r="Q785" t="str">
        <f t="shared" si="10"/>
        <v>Crispi</v>
      </c>
    </row>
    <row r="786" spans="1:17" x14ac:dyDescent="0.35">
      <c r="A786" t="str">
        <f>_xlfn.XLOOKUP(B786,Mapping!C:C,Mapping!D:D)</f>
        <v>Group Buying</v>
      </c>
      <c r="B786" s="2" t="s">
        <v>114</v>
      </c>
      <c r="C786" t="s">
        <v>137</v>
      </c>
      <c r="D786" s="3">
        <v>46206</v>
      </c>
      <c r="E786" s="3">
        <v>46234</v>
      </c>
      <c r="F786">
        <f t="shared" si="13"/>
        <v>29</v>
      </c>
      <c r="G786" t="s">
        <v>86</v>
      </c>
      <c r="H786">
        <v>149900</v>
      </c>
      <c r="I786">
        <v>139900</v>
      </c>
      <c r="J786">
        <v>129900</v>
      </c>
      <c r="K786">
        <v>109000</v>
      </c>
      <c r="L786">
        <v>100</v>
      </c>
      <c r="M786">
        <v>10900000</v>
      </c>
      <c r="N786" s="19">
        <f t="shared" si="11"/>
        <v>9873418.1818181816</v>
      </c>
      <c r="O786" s="19">
        <f t="shared" si="12"/>
        <v>9675949.8181818184</v>
      </c>
      <c r="P786" t="str">
        <f t="shared" si="9"/>
        <v>Ninja Motorized</v>
      </c>
      <c r="Q786" t="str">
        <f t="shared" si="10"/>
        <v>Portable</v>
      </c>
    </row>
    <row r="787" spans="1:17" x14ac:dyDescent="0.35">
      <c r="A787" t="str">
        <f>_xlfn.XLOOKUP(B787,Mapping!C:C,Mapping!D:D)</f>
        <v>Group Buying</v>
      </c>
      <c r="B787" s="2" t="s">
        <v>114</v>
      </c>
      <c r="C787" t="s">
        <v>137</v>
      </c>
      <c r="D787" s="3">
        <v>46206</v>
      </c>
      <c r="E787" s="3">
        <v>46234</v>
      </c>
      <c r="F787">
        <f t="shared" si="13"/>
        <v>29</v>
      </c>
      <c r="G787" t="s">
        <v>83</v>
      </c>
      <c r="H787">
        <v>149900</v>
      </c>
      <c r="I787">
        <v>139900</v>
      </c>
      <c r="J787">
        <v>129900</v>
      </c>
      <c r="K787">
        <v>109000</v>
      </c>
      <c r="M787">
        <v>0</v>
      </c>
      <c r="N787" s="19">
        <f t="shared" si="11"/>
        <v>0</v>
      </c>
      <c r="O787" s="19">
        <f t="shared" si="12"/>
        <v>0</v>
      </c>
      <c r="P787" t="str">
        <f t="shared" si="9"/>
        <v>Ninja Motorized</v>
      </c>
      <c r="Q787" t="str">
        <f t="shared" si="10"/>
        <v>Portable</v>
      </c>
    </row>
    <row r="788" spans="1:17" x14ac:dyDescent="0.35">
      <c r="A788" t="str">
        <f>_xlfn.XLOOKUP(B788,Mapping!C:C,Mapping!D:D)</f>
        <v>Group Buying</v>
      </c>
      <c r="B788" s="2" t="s">
        <v>114</v>
      </c>
      <c r="C788" t="s">
        <v>137</v>
      </c>
      <c r="D788" s="3">
        <v>46206</v>
      </c>
      <c r="E788" s="3">
        <v>46234</v>
      </c>
      <c r="F788">
        <f t="shared" si="13"/>
        <v>29</v>
      </c>
      <c r="G788" t="s">
        <v>82</v>
      </c>
      <c r="H788">
        <v>149900</v>
      </c>
      <c r="I788">
        <v>139900</v>
      </c>
      <c r="J788">
        <v>129900</v>
      </c>
      <c r="K788">
        <v>109000</v>
      </c>
      <c r="M788">
        <v>0</v>
      </c>
      <c r="N788" s="19">
        <f t="shared" si="11"/>
        <v>0</v>
      </c>
      <c r="O788" s="19">
        <f t="shared" si="12"/>
        <v>0</v>
      </c>
      <c r="P788" t="str">
        <f t="shared" si="9"/>
        <v>Ninja Motorized</v>
      </c>
      <c r="Q788" t="str">
        <f t="shared" si="10"/>
        <v>Portable</v>
      </c>
    </row>
    <row r="789" spans="1:17" x14ac:dyDescent="0.35">
      <c r="A789" t="str">
        <f>_xlfn.XLOOKUP(B789,Mapping!C:C,Mapping!D:D)</f>
        <v>Group Buying</v>
      </c>
      <c r="B789" s="2" t="s">
        <v>114</v>
      </c>
      <c r="C789" t="s">
        <v>137</v>
      </c>
      <c r="D789" s="3">
        <v>46206</v>
      </c>
      <c r="E789" s="3">
        <v>46234</v>
      </c>
      <c r="F789">
        <f t="shared" si="13"/>
        <v>29</v>
      </c>
      <c r="G789" t="s">
        <v>90</v>
      </c>
      <c r="H789">
        <v>149900</v>
      </c>
      <c r="I789">
        <v>139900</v>
      </c>
      <c r="J789">
        <v>129900</v>
      </c>
      <c r="K789">
        <v>109000</v>
      </c>
      <c r="M789">
        <v>0</v>
      </c>
      <c r="N789" s="19">
        <f t="shared" si="11"/>
        <v>0</v>
      </c>
      <c r="O789" s="19">
        <f t="shared" si="12"/>
        <v>0</v>
      </c>
      <c r="P789" t="str">
        <f t="shared" si="9"/>
        <v>Ninja Motorized</v>
      </c>
      <c r="Q789" t="str">
        <f t="shared" si="10"/>
        <v>Portable</v>
      </c>
    </row>
    <row r="790" spans="1:17" x14ac:dyDescent="0.35">
      <c r="A790" t="str">
        <f>_xlfn.XLOOKUP(B790,Mapping!C:C,Mapping!D:D)</f>
        <v>Group Buying</v>
      </c>
      <c r="B790" s="2" t="s">
        <v>114</v>
      </c>
      <c r="C790" t="s">
        <v>318</v>
      </c>
      <c r="D790" s="3">
        <v>46206</v>
      </c>
      <c r="E790" s="3">
        <v>46218</v>
      </c>
      <c r="F790">
        <f t="shared" si="13"/>
        <v>13</v>
      </c>
      <c r="G790" t="s">
        <v>41</v>
      </c>
      <c r="H790">
        <v>299900</v>
      </c>
      <c r="I790">
        <v>269900</v>
      </c>
      <c r="J790">
        <v>269900</v>
      </c>
      <c r="K790">
        <v>219900</v>
      </c>
      <c r="L790">
        <v>150</v>
      </c>
      <c r="M790">
        <v>32985000</v>
      </c>
      <c r="N790" s="19">
        <f t="shared" si="11"/>
        <v>29878412.727272723</v>
      </c>
      <c r="O790" s="19">
        <f t="shared" si="12"/>
        <v>29280844.472727269</v>
      </c>
      <c r="P790" t="str">
        <f t="shared" si="9"/>
        <v>Shark Fan</v>
      </c>
      <c r="Q790" t="str">
        <f t="shared" si="10"/>
        <v>Fan</v>
      </c>
    </row>
    <row r="791" spans="1:17" x14ac:dyDescent="0.35">
      <c r="A791" t="str">
        <f>_xlfn.XLOOKUP(B791,Mapping!C:C,Mapping!D:D)</f>
        <v>Group Buying</v>
      </c>
      <c r="B791" s="2" t="s">
        <v>114</v>
      </c>
      <c r="C791" t="s">
        <v>319</v>
      </c>
      <c r="D791" s="3">
        <v>46212</v>
      </c>
      <c r="E791" s="3">
        <v>46214</v>
      </c>
      <c r="F791">
        <f t="shared" si="13"/>
        <v>3</v>
      </c>
      <c r="G791" t="s">
        <v>33</v>
      </c>
      <c r="H791">
        <v>399900</v>
      </c>
      <c r="I791">
        <v>349900</v>
      </c>
      <c r="J791">
        <v>299900</v>
      </c>
      <c r="K791">
        <v>349900</v>
      </c>
      <c r="L791">
        <v>200</v>
      </c>
      <c r="M791">
        <v>69980000</v>
      </c>
      <c r="N791" s="19">
        <f t="shared" si="11"/>
        <v>63389156.36363636</v>
      </c>
      <c r="O791" s="19">
        <f t="shared" si="12"/>
        <v>62121373.236363634</v>
      </c>
      <c r="P791" t="str">
        <f t="shared" si="9"/>
        <v>Shark Fan</v>
      </c>
      <c r="Q791" t="str">
        <f t="shared" si="10"/>
        <v>Fan</v>
      </c>
    </row>
    <row r="792" spans="1:17" x14ac:dyDescent="0.35">
      <c r="A792" t="str">
        <f>_xlfn.XLOOKUP(B792,Mapping!C:C,Mapping!D:D)</f>
        <v>Group Buying</v>
      </c>
      <c r="B792" s="2" t="s">
        <v>114</v>
      </c>
      <c r="C792" t="s">
        <v>319</v>
      </c>
      <c r="D792" s="3">
        <v>46212</v>
      </c>
      <c r="E792" s="3">
        <v>46214</v>
      </c>
      <c r="F792">
        <f t="shared" si="13"/>
        <v>3</v>
      </c>
      <c r="G792" t="s">
        <v>42</v>
      </c>
      <c r="H792">
        <v>399900</v>
      </c>
      <c r="I792">
        <v>349900</v>
      </c>
      <c r="J792">
        <v>299900</v>
      </c>
      <c r="K792">
        <v>349900</v>
      </c>
      <c r="M792">
        <v>0</v>
      </c>
      <c r="N792" s="19">
        <f t="shared" si="11"/>
        <v>0</v>
      </c>
      <c r="O792" s="19">
        <f t="shared" si="12"/>
        <v>0</v>
      </c>
      <c r="P792" t="str">
        <f t="shared" si="9"/>
        <v>Shark Fan</v>
      </c>
      <c r="Q792" t="str">
        <f t="shared" si="10"/>
        <v>Fan</v>
      </c>
    </row>
    <row r="793" spans="1:17" x14ac:dyDescent="0.35">
      <c r="A793" t="str">
        <f>_xlfn.XLOOKUP(B793,Mapping!C:C,Mapping!D:D)</f>
        <v>Naver</v>
      </c>
      <c r="B793" t="s">
        <v>146</v>
      </c>
      <c r="C793" t="s">
        <v>321</v>
      </c>
      <c r="D793" s="3">
        <v>46204</v>
      </c>
      <c r="E793" s="3">
        <v>46204</v>
      </c>
      <c r="F793">
        <v>1</v>
      </c>
      <c r="G793" t="s">
        <v>42</v>
      </c>
      <c r="H793">
        <v>399900</v>
      </c>
      <c r="I793">
        <v>349900</v>
      </c>
      <c r="J793">
        <v>299900</v>
      </c>
      <c r="K793">
        <v>349900</v>
      </c>
      <c r="L793">
        <v>200</v>
      </c>
      <c r="M793">
        <v>69980000</v>
      </c>
      <c r="N793" s="19">
        <v>72709090.909090906</v>
      </c>
      <c r="O793" s="19">
        <v>59185199.999999993</v>
      </c>
      <c r="P793" t="str">
        <f t="shared" si="9"/>
        <v>Shark Fan</v>
      </c>
      <c r="Q793" t="str">
        <f t="shared" si="10"/>
        <v>Fan</v>
      </c>
    </row>
    <row r="794" spans="1:17" x14ac:dyDescent="0.35">
      <c r="A794" t="str">
        <f>_xlfn.XLOOKUP(B794,Mapping!C:C,Mapping!D:D)</f>
        <v>Naver</v>
      </c>
      <c r="B794" t="s">
        <v>146</v>
      </c>
      <c r="C794" t="s">
        <v>321</v>
      </c>
      <c r="D794" s="3">
        <v>46206</v>
      </c>
      <c r="E794" s="3">
        <v>46206</v>
      </c>
      <c r="F794">
        <v>1</v>
      </c>
      <c r="G794" t="s">
        <v>26</v>
      </c>
      <c r="H794">
        <v>899000</v>
      </c>
      <c r="I794">
        <v>849000</v>
      </c>
      <c r="J794">
        <v>799000</v>
      </c>
      <c r="K794">
        <v>799000</v>
      </c>
      <c r="L794">
        <v>50</v>
      </c>
      <c r="M794">
        <v>39950000</v>
      </c>
      <c r="N794" s="19">
        <v>40863636.36363636</v>
      </c>
      <c r="O794" s="19">
        <v>33262999.999999996</v>
      </c>
      <c r="P794" t="str">
        <f t="shared" si="9"/>
        <v>Shark Floorcare</v>
      </c>
      <c r="Q794" t="str">
        <f t="shared" si="10"/>
        <v>FW</v>
      </c>
    </row>
    <row r="795" spans="1:17" x14ac:dyDescent="0.35">
      <c r="A795" t="str">
        <f>_xlfn.XLOOKUP(B795,Mapping!C:C,Mapping!D:D)</f>
        <v>Naver</v>
      </c>
      <c r="B795" t="s">
        <v>146</v>
      </c>
      <c r="C795" t="s">
        <v>147</v>
      </c>
      <c r="D795" s="3">
        <v>46209</v>
      </c>
      <c r="E795" s="3">
        <v>46209</v>
      </c>
      <c r="F795">
        <v>1</v>
      </c>
      <c r="G795" t="s">
        <v>57</v>
      </c>
      <c r="H795">
        <v>699000</v>
      </c>
      <c r="I795">
        <v>499000</v>
      </c>
      <c r="J795">
        <v>499000</v>
      </c>
      <c r="K795">
        <v>499000</v>
      </c>
      <c r="L795">
        <v>30</v>
      </c>
      <c r="M795">
        <v>14970000</v>
      </c>
      <c r="N795" s="19">
        <v>19063636.363636363</v>
      </c>
      <c r="O795" s="19">
        <v>15517800</v>
      </c>
      <c r="P795" t="str">
        <f t="shared" si="9"/>
        <v>Shark Floorcare</v>
      </c>
      <c r="Q795" t="str">
        <f t="shared" si="10"/>
        <v>Kion</v>
      </c>
    </row>
    <row r="796" spans="1:17" x14ac:dyDescent="0.35">
      <c r="A796" t="str">
        <f>_xlfn.XLOOKUP(B796,Mapping!C:C,Mapping!D:D)</f>
        <v>Naver</v>
      </c>
      <c r="B796" t="s">
        <v>146</v>
      </c>
      <c r="C796" t="s">
        <v>147</v>
      </c>
      <c r="D796" s="3">
        <v>46209</v>
      </c>
      <c r="E796" s="3">
        <v>46209</v>
      </c>
      <c r="F796">
        <v>1</v>
      </c>
      <c r="G796" t="s">
        <v>36</v>
      </c>
      <c r="H796">
        <v>469900</v>
      </c>
      <c r="I796">
        <v>399900</v>
      </c>
      <c r="J796">
        <v>399000</v>
      </c>
      <c r="K796">
        <v>399000</v>
      </c>
      <c r="L796">
        <v>30</v>
      </c>
      <c r="M796">
        <v>11970000</v>
      </c>
      <c r="N796" s="19">
        <v>12815454.545454543</v>
      </c>
      <c r="O796" s="19">
        <v>10431779.999999998</v>
      </c>
      <c r="P796" t="str">
        <f t="shared" si="9"/>
        <v>Shark Floorcare</v>
      </c>
      <c r="Q796" t="str">
        <f t="shared" si="10"/>
        <v>WD</v>
      </c>
    </row>
    <row r="797" spans="1:17" x14ac:dyDescent="0.35">
      <c r="A797" t="str">
        <f>_xlfn.XLOOKUP(B797,Mapping!C:C,Mapping!D:D)</f>
        <v>Naver</v>
      </c>
      <c r="B797" t="s">
        <v>146</v>
      </c>
      <c r="C797" t="s">
        <v>147</v>
      </c>
      <c r="D797" s="3">
        <v>46209</v>
      </c>
      <c r="E797" s="3">
        <v>46209</v>
      </c>
      <c r="F797">
        <v>1</v>
      </c>
      <c r="G797" t="s">
        <v>87</v>
      </c>
      <c r="H797">
        <v>219900</v>
      </c>
      <c r="I797">
        <v>199900</v>
      </c>
      <c r="J797">
        <v>179900</v>
      </c>
      <c r="K797">
        <v>149900</v>
      </c>
      <c r="L797">
        <v>100</v>
      </c>
      <c r="M797">
        <v>14990000</v>
      </c>
      <c r="N797" s="19">
        <v>19990909.09090909</v>
      </c>
      <c r="O797" s="19">
        <v>16272599.999999996</v>
      </c>
      <c r="P797" t="str">
        <f t="shared" si="9"/>
        <v>Shark Fan</v>
      </c>
      <c r="Q797" t="str">
        <f t="shared" si="10"/>
        <v>Fan</v>
      </c>
    </row>
    <row r="798" spans="1:17" x14ac:dyDescent="0.35">
      <c r="A798" t="str">
        <f>_xlfn.XLOOKUP(B798,Mapping!C:C,Mapping!D:D)</f>
        <v>Naver</v>
      </c>
      <c r="B798" t="s">
        <v>146</v>
      </c>
      <c r="C798" t="s">
        <v>147</v>
      </c>
      <c r="D798" s="3">
        <v>46209</v>
      </c>
      <c r="E798" s="3">
        <v>46209</v>
      </c>
      <c r="F798">
        <v>1</v>
      </c>
      <c r="G798" t="s">
        <v>109</v>
      </c>
      <c r="H798">
        <v>249900</v>
      </c>
      <c r="I798">
        <v>219900</v>
      </c>
      <c r="J798">
        <v>199900</v>
      </c>
      <c r="K798">
        <v>179900</v>
      </c>
      <c r="L798">
        <v>60</v>
      </c>
      <c r="M798">
        <v>10794000</v>
      </c>
      <c r="N798" s="19">
        <v>13630909.09090909</v>
      </c>
      <c r="O798" s="19">
        <v>11095560</v>
      </c>
      <c r="P798" t="str">
        <f t="shared" si="9"/>
        <v>Shark Fan</v>
      </c>
      <c r="Q798" t="str">
        <f t="shared" si="10"/>
        <v>Fan</v>
      </c>
    </row>
    <row r="799" spans="1:17" x14ac:dyDescent="0.35">
      <c r="A799" t="str">
        <f>_xlfn.XLOOKUP(B799,Mapping!C:C,Mapping!D:D)</f>
        <v>Naver</v>
      </c>
      <c r="B799" t="s">
        <v>146</v>
      </c>
      <c r="C799" t="s">
        <v>147</v>
      </c>
      <c r="D799" s="3">
        <v>46209</v>
      </c>
      <c r="E799" s="3">
        <v>46209</v>
      </c>
      <c r="F799">
        <v>1</v>
      </c>
      <c r="G799" t="s">
        <v>26</v>
      </c>
      <c r="H799">
        <v>899000</v>
      </c>
      <c r="I799">
        <v>849000</v>
      </c>
      <c r="J799">
        <v>799000</v>
      </c>
      <c r="K799">
        <v>799000</v>
      </c>
      <c r="L799">
        <v>100</v>
      </c>
      <c r="M799">
        <v>79900000</v>
      </c>
      <c r="N799" s="19">
        <v>81727272.727272719</v>
      </c>
      <c r="O799" s="19">
        <v>66525999.999999993</v>
      </c>
      <c r="P799" t="str">
        <f t="shared" si="9"/>
        <v>Shark Floorcare</v>
      </c>
      <c r="Q799" t="str">
        <f t="shared" si="10"/>
        <v>FW</v>
      </c>
    </row>
    <row r="800" spans="1:17" x14ac:dyDescent="0.35">
      <c r="A800" t="str">
        <f>_xlfn.XLOOKUP(B800,Mapping!C:C,Mapping!D:D)</f>
        <v>Naver</v>
      </c>
      <c r="B800" t="s">
        <v>146</v>
      </c>
      <c r="C800" t="s">
        <v>147</v>
      </c>
      <c r="D800" s="3">
        <v>46209</v>
      </c>
      <c r="E800" s="3">
        <v>46209</v>
      </c>
      <c r="F800">
        <v>1</v>
      </c>
      <c r="G800" t="s">
        <v>32</v>
      </c>
      <c r="H800">
        <v>349900</v>
      </c>
      <c r="I800">
        <v>299900</v>
      </c>
      <c r="J800">
        <v>269900</v>
      </c>
      <c r="K800">
        <v>299000</v>
      </c>
      <c r="L800">
        <v>200</v>
      </c>
      <c r="M800">
        <v>59800000</v>
      </c>
      <c r="N800" s="19">
        <v>63618181.818181813</v>
      </c>
      <c r="O800" s="19">
        <v>51785200</v>
      </c>
      <c r="P800" t="str">
        <f t="shared" si="9"/>
        <v>Ninja Motorized</v>
      </c>
      <c r="Q800" t="str">
        <f t="shared" si="10"/>
        <v>Icecream</v>
      </c>
    </row>
    <row r="801" spans="1:17" x14ac:dyDescent="0.35">
      <c r="A801" t="str">
        <f>_xlfn.XLOOKUP(B801,Mapping!C:C,Mapping!D:D)</f>
        <v>Naver</v>
      </c>
      <c r="B801" t="s">
        <v>146</v>
      </c>
      <c r="C801" t="s">
        <v>147</v>
      </c>
      <c r="D801" s="3">
        <v>46209</v>
      </c>
      <c r="E801" s="3">
        <v>46209</v>
      </c>
      <c r="F801">
        <v>1</v>
      </c>
      <c r="G801" t="s">
        <v>95</v>
      </c>
      <c r="H801">
        <v>79900</v>
      </c>
      <c r="I801">
        <v>54900</v>
      </c>
      <c r="J801">
        <v>54900</v>
      </c>
      <c r="K801">
        <v>54900</v>
      </c>
      <c r="L801">
        <v>200</v>
      </c>
      <c r="M801">
        <v>10980000</v>
      </c>
      <c r="N801" s="19">
        <v>14527272.727272727</v>
      </c>
      <c r="O801" s="19">
        <v>11825199.999999998</v>
      </c>
      <c r="P801" t="str">
        <f t="shared" si="9"/>
        <v>Ninja Motorized</v>
      </c>
      <c r="Q801" t="str">
        <f t="shared" si="10"/>
        <v>Food process</v>
      </c>
    </row>
    <row r="802" spans="1:17" x14ac:dyDescent="0.35">
      <c r="A802" t="str">
        <f>_xlfn.XLOOKUP(B802,Mapping!C:C,Mapping!D:D)</f>
        <v>Naver</v>
      </c>
      <c r="B802" t="s">
        <v>146</v>
      </c>
      <c r="C802" t="s">
        <v>147</v>
      </c>
      <c r="D802" s="3">
        <v>46209</v>
      </c>
      <c r="E802" s="3">
        <v>46209</v>
      </c>
      <c r="F802">
        <v>1</v>
      </c>
      <c r="G802" t="s">
        <v>105</v>
      </c>
      <c r="H802">
        <v>299900</v>
      </c>
      <c r="I802">
        <v>269900</v>
      </c>
      <c r="J802">
        <v>249900</v>
      </c>
      <c r="K802">
        <v>249900</v>
      </c>
      <c r="L802">
        <v>40</v>
      </c>
      <c r="M802">
        <v>9996000</v>
      </c>
      <c r="N802" s="19">
        <v>10905454.545454543</v>
      </c>
      <c r="O802" s="19">
        <v>8877039.9999999981</v>
      </c>
      <c r="P802" t="str">
        <f t="shared" si="9"/>
        <v>Ninja Motorized</v>
      </c>
      <c r="Q802" t="str">
        <f t="shared" si="10"/>
        <v>Kitchen</v>
      </c>
    </row>
    <row r="803" spans="1:17" x14ac:dyDescent="0.35">
      <c r="A803" t="str">
        <f>_xlfn.XLOOKUP(B803,Mapping!C:C,Mapping!D:D)</f>
        <v>Naver</v>
      </c>
      <c r="B803" t="s">
        <v>146</v>
      </c>
      <c r="C803" t="s">
        <v>147</v>
      </c>
      <c r="D803" s="3">
        <v>46209</v>
      </c>
      <c r="E803" s="3">
        <v>46209</v>
      </c>
      <c r="F803">
        <v>1</v>
      </c>
      <c r="G803" t="s">
        <v>27</v>
      </c>
      <c r="H803">
        <v>329900</v>
      </c>
      <c r="I803">
        <v>299900</v>
      </c>
      <c r="J803">
        <v>279900</v>
      </c>
      <c r="K803">
        <v>279900</v>
      </c>
      <c r="L803">
        <v>20</v>
      </c>
      <c r="M803">
        <v>5598000</v>
      </c>
      <c r="N803" s="19">
        <v>5998181.8181818174</v>
      </c>
      <c r="O803" s="19">
        <v>4882520</v>
      </c>
      <c r="P803" t="str">
        <f t="shared" si="9"/>
        <v>Ninja Motorized</v>
      </c>
      <c r="Q803" t="str">
        <f t="shared" si="10"/>
        <v>Trad</v>
      </c>
    </row>
    <row r="804" spans="1:17" x14ac:dyDescent="0.35">
      <c r="A804" t="str">
        <f>_xlfn.XLOOKUP(B804,Mapping!C:C,Mapping!D:D)</f>
        <v>Naver</v>
      </c>
      <c r="B804" t="s">
        <v>146</v>
      </c>
      <c r="C804" t="s">
        <v>147</v>
      </c>
      <c r="D804" s="3">
        <v>46209</v>
      </c>
      <c r="E804" s="3">
        <v>46209</v>
      </c>
      <c r="F804">
        <v>1</v>
      </c>
      <c r="G804" t="s">
        <v>21</v>
      </c>
      <c r="H804">
        <v>449900</v>
      </c>
      <c r="I804">
        <v>379900</v>
      </c>
      <c r="J804">
        <v>349900</v>
      </c>
      <c r="K804">
        <v>379900</v>
      </c>
      <c r="L804">
        <v>40</v>
      </c>
      <c r="M804">
        <v>15196000</v>
      </c>
      <c r="N804" s="19">
        <v>16359999.999999998</v>
      </c>
      <c r="O804" s="19">
        <v>13317039.999999998</v>
      </c>
      <c r="P804" t="str">
        <f t="shared" si="9"/>
        <v>Ninja Motorized</v>
      </c>
      <c r="Q804" t="str">
        <f t="shared" si="10"/>
        <v>Slushi</v>
      </c>
    </row>
    <row r="805" spans="1:17" x14ac:dyDescent="0.35">
      <c r="A805" t="str">
        <f>_xlfn.XLOOKUP(B805,Mapping!C:C,Mapping!D:D)</f>
        <v>Naver</v>
      </c>
      <c r="B805" t="s">
        <v>146</v>
      </c>
      <c r="C805" t="s">
        <v>147</v>
      </c>
      <c r="D805" s="3">
        <v>46209</v>
      </c>
      <c r="E805" s="3">
        <v>46209</v>
      </c>
      <c r="F805">
        <v>1</v>
      </c>
      <c r="G805" t="s">
        <v>84</v>
      </c>
      <c r="H805">
        <v>169900</v>
      </c>
      <c r="I805">
        <v>149900</v>
      </c>
      <c r="J805">
        <v>129900</v>
      </c>
      <c r="K805">
        <v>149900</v>
      </c>
      <c r="L805">
        <v>30</v>
      </c>
      <c r="M805">
        <v>4497000</v>
      </c>
      <c r="N805" s="19">
        <v>4633636.3636363633</v>
      </c>
      <c r="O805" s="19">
        <v>3771779.9999999995</v>
      </c>
      <c r="P805" t="str">
        <f t="shared" si="9"/>
        <v>Ninja Motorized</v>
      </c>
      <c r="Q805" t="str">
        <f t="shared" si="10"/>
        <v>Trad</v>
      </c>
    </row>
    <row r="806" spans="1:17" x14ac:dyDescent="0.35">
      <c r="A806" t="str">
        <f>_xlfn.XLOOKUP(B806,Mapping!C:C,Mapping!D:D)</f>
        <v>Naver</v>
      </c>
      <c r="B806" t="s">
        <v>146</v>
      </c>
      <c r="C806" t="s">
        <v>147</v>
      </c>
      <c r="D806" s="3">
        <v>46209</v>
      </c>
      <c r="E806" s="3">
        <v>46209</v>
      </c>
      <c r="F806">
        <v>1</v>
      </c>
      <c r="G806" t="s">
        <v>86</v>
      </c>
      <c r="H806">
        <v>149900</v>
      </c>
      <c r="I806">
        <v>139900</v>
      </c>
      <c r="J806">
        <v>109900</v>
      </c>
      <c r="K806">
        <v>119900</v>
      </c>
      <c r="L806">
        <v>200</v>
      </c>
      <c r="M806">
        <v>23980000</v>
      </c>
      <c r="N806" s="19">
        <v>27254545.454545453</v>
      </c>
      <c r="O806" s="19">
        <v>22185199.999999996</v>
      </c>
      <c r="P806" t="str">
        <f t="shared" si="9"/>
        <v>Ninja Motorized</v>
      </c>
      <c r="Q806" t="str">
        <f t="shared" si="10"/>
        <v>Portable</v>
      </c>
    </row>
    <row r="807" spans="1:17" x14ac:dyDescent="0.35">
      <c r="A807" t="str">
        <f>_xlfn.XLOOKUP(B807,Mapping!C:C,Mapping!D:D)</f>
        <v>Naver</v>
      </c>
      <c r="B807" t="s">
        <v>146</v>
      </c>
      <c r="C807" t="s">
        <v>147</v>
      </c>
      <c r="D807" s="3">
        <v>46216</v>
      </c>
      <c r="E807" s="3">
        <v>46216</v>
      </c>
      <c r="F807">
        <v>1</v>
      </c>
      <c r="G807" t="s">
        <v>29</v>
      </c>
      <c r="H807">
        <v>349900</v>
      </c>
      <c r="I807">
        <v>299900</v>
      </c>
      <c r="J807">
        <v>279900</v>
      </c>
      <c r="K807">
        <v>279900</v>
      </c>
      <c r="L807">
        <v>30</v>
      </c>
      <c r="M807">
        <v>8397000</v>
      </c>
      <c r="N807" s="19">
        <v>9542727.2727272715</v>
      </c>
      <c r="O807" s="19">
        <v>7767779.9999999991</v>
      </c>
      <c r="P807" t="str">
        <f t="shared" si="9"/>
        <v>Ninja Heated</v>
      </c>
      <c r="Q807" t="str">
        <f t="shared" si="10"/>
        <v>Airfry</v>
      </c>
    </row>
    <row r="808" spans="1:17" x14ac:dyDescent="0.35">
      <c r="A808" t="str">
        <f>_xlfn.XLOOKUP(B808,Mapping!C:C,Mapping!D:D)</f>
        <v>Naver</v>
      </c>
      <c r="B808" t="s">
        <v>146</v>
      </c>
      <c r="C808" t="s">
        <v>147</v>
      </c>
      <c r="D808" s="3">
        <v>46216</v>
      </c>
      <c r="E808" s="3">
        <v>46216</v>
      </c>
      <c r="F808">
        <v>1</v>
      </c>
      <c r="G808" t="s">
        <v>106</v>
      </c>
      <c r="H808">
        <v>399900</v>
      </c>
      <c r="I808">
        <v>349900</v>
      </c>
      <c r="J808">
        <v>299900</v>
      </c>
      <c r="K808">
        <v>299000</v>
      </c>
      <c r="L808">
        <v>30</v>
      </c>
      <c r="M808">
        <v>8970000</v>
      </c>
      <c r="N808" s="19">
        <v>10906363.636363637</v>
      </c>
      <c r="O808" s="19">
        <v>8877780</v>
      </c>
      <c r="P808" t="str">
        <f t="shared" si="9"/>
        <v>Ninja Heated</v>
      </c>
      <c r="Q808" t="str">
        <f t="shared" si="10"/>
        <v>Combi</v>
      </c>
    </row>
    <row r="809" spans="1:17" x14ac:dyDescent="0.35">
      <c r="A809" t="str">
        <f>_xlfn.XLOOKUP(B809,Mapping!C:C,Mapping!D:D)</f>
        <v>Naver</v>
      </c>
      <c r="B809" t="s">
        <v>146</v>
      </c>
      <c r="C809" t="s">
        <v>147</v>
      </c>
      <c r="D809" s="3">
        <v>46216</v>
      </c>
      <c r="E809" s="3">
        <v>46216</v>
      </c>
      <c r="F809">
        <v>1</v>
      </c>
      <c r="G809" t="s">
        <v>86</v>
      </c>
      <c r="H809">
        <v>149900</v>
      </c>
      <c r="I809">
        <v>139900</v>
      </c>
      <c r="J809">
        <v>109900</v>
      </c>
      <c r="K809">
        <v>119900</v>
      </c>
      <c r="L809">
        <v>200</v>
      </c>
      <c r="M809">
        <v>23980000</v>
      </c>
      <c r="N809" s="19">
        <v>27254545.454545453</v>
      </c>
      <c r="O809" s="19">
        <v>22185199.999999996</v>
      </c>
      <c r="P809" t="str">
        <f t="shared" si="9"/>
        <v>Ninja Motorized</v>
      </c>
      <c r="Q809" t="str">
        <f t="shared" si="10"/>
        <v>Portable</v>
      </c>
    </row>
    <row r="810" spans="1:17" x14ac:dyDescent="0.35">
      <c r="A810" t="str">
        <f>_xlfn.XLOOKUP(B810,Mapping!C:C,Mapping!D:D)</f>
        <v>Naver</v>
      </c>
      <c r="B810" t="s">
        <v>146</v>
      </c>
      <c r="C810" t="s">
        <v>147</v>
      </c>
      <c r="D810" s="3">
        <v>46216</v>
      </c>
      <c r="E810" s="3">
        <v>46216</v>
      </c>
      <c r="F810">
        <v>1</v>
      </c>
      <c r="G810" t="s">
        <v>16</v>
      </c>
      <c r="H810">
        <v>199900</v>
      </c>
      <c r="I810">
        <v>129900</v>
      </c>
      <c r="J810">
        <v>129900</v>
      </c>
      <c r="K810">
        <v>129900</v>
      </c>
      <c r="L810">
        <v>100</v>
      </c>
      <c r="M810">
        <v>12990000</v>
      </c>
      <c r="N810" s="19">
        <v>18172727.27272727</v>
      </c>
      <c r="O810" s="19">
        <v>14792599.999999998</v>
      </c>
      <c r="P810" t="str">
        <f t="shared" si="9"/>
        <v>Ninja Motorized</v>
      </c>
      <c r="Q810" t="str">
        <f t="shared" si="10"/>
        <v>Trad</v>
      </c>
    </row>
    <row r="811" spans="1:17" x14ac:dyDescent="0.35">
      <c r="A811" t="str">
        <f>_xlfn.XLOOKUP(B811,Mapping!C:C,Mapping!D:D)</f>
        <v>Naver</v>
      </c>
      <c r="B811" t="s">
        <v>146</v>
      </c>
      <c r="C811" t="s">
        <v>147</v>
      </c>
      <c r="D811" s="3">
        <v>46216</v>
      </c>
      <c r="E811" s="3">
        <v>46216</v>
      </c>
      <c r="F811">
        <v>1</v>
      </c>
      <c r="G811" t="s">
        <v>38</v>
      </c>
      <c r="H811">
        <v>429900</v>
      </c>
      <c r="I811">
        <v>399900</v>
      </c>
      <c r="J811">
        <v>349900</v>
      </c>
      <c r="K811">
        <v>399900</v>
      </c>
      <c r="L811">
        <v>40</v>
      </c>
      <c r="M811">
        <v>15996000</v>
      </c>
      <c r="N811" s="19">
        <v>15632727.27272727</v>
      </c>
      <c r="O811" s="19">
        <v>12725039.999999998</v>
      </c>
      <c r="P811" t="str">
        <f t="shared" si="9"/>
        <v>Ninja Heated</v>
      </c>
      <c r="Q811" t="str">
        <f t="shared" si="10"/>
        <v>Grill</v>
      </c>
    </row>
    <row r="812" spans="1:17" x14ac:dyDescent="0.35">
      <c r="A812" t="str">
        <f>_xlfn.XLOOKUP(B812,Mapping!C:C,Mapping!D:D)</f>
        <v>Naver</v>
      </c>
      <c r="B812" t="s">
        <v>146</v>
      </c>
      <c r="C812" t="s">
        <v>147</v>
      </c>
      <c r="D812" s="3">
        <v>46216</v>
      </c>
      <c r="E812" s="3">
        <v>46216</v>
      </c>
      <c r="F812">
        <v>1</v>
      </c>
      <c r="G812" t="s">
        <v>37</v>
      </c>
      <c r="H812">
        <v>229900</v>
      </c>
      <c r="I812">
        <v>199900</v>
      </c>
      <c r="J812">
        <v>179900</v>
      </c>
      <c r="K812">
        <v>199900</v>
      </c>
      <c r="L812">
        <v>10</v>
      </c>
      <c r="M812">
        <v>1999000</v>
      </c>
      <c r="N812" s="19">
        <v>2089999.9999999998</v>
      </c>
      <c r="O812" s="19">
        <v>1701259.9999999998</v>
      </c>
      <c r="P812" t="str">
        <f t="shared" si="9"/>
        <v>Ninja Heated</v>
      </c>
      <c r="Q812" t="str">
        <f t="shared" si="10"/>
        <v>Airfry</v>
      </c>
    </row>
    <row r="813" spans="1:17" x14ac:dyDescent="0.35">
      <c r="A813" t="str">
        <f>_xlfn.XLOOKUP(B813,Mapping!C:C,Mapping!D:D)</f>
        <v>Naver</v>
      </c>
      <c r="B813" t="s">
        <v>146</v>
      </c>
      <c r="C813" t="s">
        <v>147</v>
      </c>
      <c r="D813" s="3">
        <v>46216</v>
      </c>
      <c r="E813" s="3">
        <v>46216</v>
      </c>
      <c r="F813">
        <v>1</v>
      </c>
      <c r="G813" t="s">
        <v>75</v>
      </c>
      <c r="H813">
        <v>249900</v>
      </c>
      <c r="I813">
        <v>219900</v>
      </c>
      <c r="J813">
        <v>199900</v>
      </c>
      <c r="K813">
        <v>249900</v>
      </c>
      <c r="L813">
        <v>200</v>
      </c>
      <c r="M813">
        <v>49980000</v>
      </c>
      <c r="N813" s="19">
        <v>45436363.636363633</v>
      </c>
      <c r="O813" s="19">
        <v>36985200</v>
      </c>
      <c r="P813" t="str">
        <f t="shared" si="9"/>
        <v>Ninja Heated</v>
      </c>
      <c r="Q813" t="str">
        <f t="shared" si="10"/>
        <v>Crispi</v>
      </c>
    </row>
    <row r="814" spans="1:17" x14ac:dyDescent="0.35">
      <c r="A814" t="str">
        <f>_xlfn.XLOOKUP(B814,Mapping!C:C,Mapping!D:D)</f>
        <v>Naver</v>
      </c>
      <c r="B814" t="s">
        <v>146</v>
      </c>
      <c r="C814" t="s">
        <v>147</v>
      </c>
      <c r="D814" s="3">
        <v>46216</v>
      </c>
      <c r="E814" s="3">
        <v>46216</v>
      </c>
      <c r="F814">
        <v>1</v>
      </c>
      <c r="G814" t="s">
        <v>34</v>
      </c>
      <c r="H814">
        <v>249900</v>
      </c>
      <c r="I814">
        <v>229900</v>
      </c>
      <c r="J814">
        <v>199900</v>
      </c>
      <c r="K814">
        <v>249000</v>
      </c>
      <c r="L814">
        <v>40</v>
      </c>
      <c r="M814">
        <v>9960000</v>
      </c>
      <c r="N814" s="19">
        <v>7269090.9090909082</v>
      </c>
      <c r="O814" s="19">
        <v>5917039.9999999991</v>
      </c>
      <c r="P814" t="str">
        <f t="shared" si="9"/>
        <v>Ninja Motorized</v>
      </c>
      <c r="Q814" t="str">
        <f t="shared" si="10"/>
        <v>Portable</v>
      </c>
    </row>
    <row r="815" spans="1:17" x14ac:dyDescent="0.35">
      <c r="A815" t="str">
        <f>_xlfn.XLOOKUP(B815,Mapping!C:C,Mapping!D:D)</f>
        <v>Naver</v>
      </c>
      <c r="B815" t="s">
        <v>146</v>
      </c>
      <c r="C815" t="s">
        <v>147</v>
      </c>
      <c r="D815" s="3">
        <v>46216</v>
      </c>
      <c r="E815" s="3">
        <v>46216</v>
      </c>
      <c r="F815">
        <v>1</v>
      </c>
      <c r="G815" t="s">
        <v>40</v>
      </c>
      <c r="H815">
        <v>349900</v>
      </c>
      <c r="I815">
        <v>319900</v>
      </c>
      <c r="J815">
        <v>299900</v>
      </c>
      <c r="K815">
        <v>299000</v>
      </c>
      <c r="L815">
        <v>10</v>
      </c>
      <c r="M815">
        <v>2990000</v>
      </c>
      <c r="N815" s="19">
        <v>3180909.0909090908</v>
      </c>
      <c r="O815" s="19">
        <v>2589260</v>
      </c>
      <c r="P815" t="str">
        <f t="shared" si="9"/>
        <v>Ninja Motorized</v>
      </c>
      <c r="Q815" t="str">
        <f t="shared" si="10"/>
        <v>Hot</v>
      </c>
    </row>
    <row r="816" spans="1:17" x14ac:dyDescent="0.35">
      <c r="A816" t="str">
        <f>_xlfn.XLOOKUP(B816,Mapping!C:C,Mapping!D:D)</f>
        <v>Naver</v>
      </c>
      <c r="B816" t="s">
        <v>146</v>
      </c>
      <c r="C816" t="s">
        <v>322</v>
      </c>
      <c r="D816" s="3">
        <v>46223</v>
      </c>
      <c r="E816" s="3">
        <v>46223</v>
      </c>
      <c r="F816">
        <v>1</v>
      </c>
      <c r="G816" t="s">
        <v>39</v>
      </c>
      <c r="H816">
        <v>249900</v>
      </c>
      <c r="I816">
        <v>199900</v>
      </c>
      <c r="J816">
        <v>189900</v>
      </c>
      <c r="K816">
        <v>189000</v>
      </c>
      <c r="L816">
        <v>100</v>
      </c>
      <c r="M816">
        <v>18900000</v>
      </c>
      <c r="N816" s="19">
        <v>22718181.818181816</v>
      </c>
      <c r="O816" s="19">
        <v>18492600</v>
      </c>
      <c r="P816" t="str">
        <f t="shared" si="9"/>
        <v>Ninja Motorized</v>
      </c>
      <c r="Q816" t="str">
        <f t="shared" si="10"/>
        <v>Trad</v>
      </c>
    </row>
    <row r="817" spans="1:17" x14ac:dyDescent="0.35">
      <c r="A817" t="str">
        <f>_xlfn.XLOOKUP(B817,Mapping!C:C,Mapping!D:D)</f>
        <v>Naver</v>
      </c>
      <c r="B817" t="s">
        <v>146</v>
      </c>
      <c r="C817" t="s">
        <v>322</v>
      </c>
      <c r="D817" s="3">
        <v>46223</v>
      </c>
      <c r="E817" s="3">
        <v>46223</v>
      </c>
      <c r="F817">
        <v>1</v>
      </c>
      <c r="G817" t="s">
        <v>86</v>
      </c>
      <c r="H817">
        <v>149900</v>
      </c>
      <c r="I817">
        <v>139900</v>
      </c>
      <c r="J817">
        <v>109900</v>
      </c>
      <c r="K817">
        <v>109900</v>
      </c>
      <c r="L817">
        <v>350</v>
      </c>
      <c r="M817">
        <v>38465000</v>
      </c>
      <c r="N817" s="19">
        <v>47695454.545454539</v>
      </c>
      <c r="O817" s="19">
        <v>38824100</v>
      </c>
      <c r="P817" t="str">
        <f t="shared" si="9"/>
        <v>Ninja Motorized</v>
      </c>
      <c r="Q817" t="str">
        <f t="shared" si="10"/>
        <v>Portable</v>
      </c>
    </row>
    <row r="818" spans="1:17" x14ac:dyDescent="0.35">
      <c r="A818" t="str">
        <f>_xlfn.XLOOKUP(B818,Mapping!C:C,Mapping!D:D)</f>
        <v>Naver</v>
      </c>
      <c r="B818" t="s">
        <v>146</v>
      </c>
      <c r="C818" t="s">
        <v>322</v>
      </c>
      <c r="D818" s="3">
        <v>46223</v>
      </c>
      <c r="E818" s="3">
        <v>46223</v>
      </c>
      <c r="F818">
        <v>1</v>
      </c>
      <c r="G818" t="s">
        <v>75</v>
      </c>
      <c r="H818">
        <v>249900</v>
      </c>
      <c r="I818">
        <v>219900</v>
      </c>
      <c r="J818">
        <v>199900</v>
      </c>
      <c r="K818">
        <v>219900</v>
      </c>
      <c r="L818">
        <v>300</v>
      </c>
      <c r="M818">
        <v>65970000</v>
      </c>
      <c r="N818" s="19">
        <v>68154545.454545453</v>
      </c>
      <c r="O818" s="19">
        <v>55477800</v>
      </c>
      <c r="P818" t="str">
        <f t="shared" ref="P818:P881" si="14">_xlfn.XLOOKUP(G818,$G$2:$G$529,$P$2:$P$529,"Not Found")</f>
        <v>Ninja Heated</v>
      </c>
      <c r="Q818" t="str">
        <f t="shared" ref="Q818:Q881" si="15">_xlfn.XLOOKUP(G818,$G$2:$G$529,$Q$2:$Q$529,"Not Found")</f>
        <v>Crispi</v>
      </c>
    </row>
    <row r="819" spans="1:17" x14ac:dyDescent="0.35">
      <c r="A819" t="str">
        <f>_xlfn.XLOOKUP(B819,Mapping!C:C,Mapping!D:D)</f>
        <v>Naver</v>
      </c>
      <c r="B819" t="s">
        <v>146</v>
      </c>
      <c r="C819" t="s">
        <v>322</v>
      </c>
      <c r="D819" s="3">
        <v>46223</v>
      </c>
      <c r="E819" s="3">
        <v>46223</v>
      </c>
      <c r="F819">
        <v>1</v>
      </c>
      <c r="G819" t="s">
        <v>16</v>
      </c>
      <c r="H819">
        <v>199900</v>
      </c>
      <c r="I819">
        <v>129900</v>
      </c>
      <c r="J819">
        <v>129900</v>
      </c>
      <c r="K819">
        <v>129900</v>
      </c>
      <c r="L819">
        <v>100</v>
      </c>
      <c r="M819">
        <v>12990000</v>
      </c>
      <c r="N819" s="19">
        <v>18172727.27272727</v>
      </c>
      <c r="O819" s="19">
        <v>14792599.999999998</v>
      </c>
      <c r="P819" t="str">
        <f t="shared" si="14"/>
        <v>Ninja Motorized</v>
      </c>
      <c r="Q819" t="str">
        <f t="shared" si="15"/>
        <v>Trad</v>
      </c>
    </row>
    <row r="820" spans="1:17" x14ac:dyDescent="0.35">
      <c r="A820" t="str">
        <f>_xlfn.XLOOKUP(B820,Mapping!C:C,Mapping!D:D)</f>
        <v>Naver</v>
      </c>
      <c r="B820" t="s">
        <v>146</v>
      </c>
      <c r="C820" t="s">
        <v>322</v>
      </c>
      <c r="D820" s="3">
        <v>46223</v>
      </c>
      <c r="E820" s="3">
        <v>46223</v>
      </c>
      <c r="F820">
        <v>1</v>
      </c>
      <c r="G820" t="s">
        <v>21</v>
      </c>
      <c r="H820">
        <v>449900</v>
      </c>
      <c r="I820">
        <v>379900</v>
      </c>
      <c r="J820">
        <v>349900</v>
      </c>
      <c r="K820">
        <v>379900</v>
      </c>
      <c r="L820">
        <v>40</v>
      </c>
      <c r="M820">
        <v>15196000</v>
      </c>
      <c r="N820" s="19">
        <v>16359999.999999998</v>
      </c>
      <c r="O820" s="19">
        <v>13317039.999999998</v>
      </c>
      <c r="P820" t="str">
        <f t="shared" si="14"/>
        <v>Ninja Motorized</v>
      </c>
      <c r="Q820" t="str">
        <f t="shared" si="15"/>
        <v>Slushi</v>
      </c>
    </row>
    <row r="821" spans="1:17" x14ac:dyDescent="0.35">
      <c r="A821" t="str">
        <f>_xlfn.XLOOKUP(B821,Mapping!C:C,Mapping!D:D)</f>
        <v>Naver</v>
      </c>
      <c r="B821" t="s">
        <v>146</v>
      </c>
      <c r="C821" t="s">
        <v>322</v>
      </c>
      <c r="D821" s="3">
        <v>46223</v>
      </c>
      <c r="E821" s="3">
        <v>46223</v>
      </c>
      <c r="F821">
        <v>1</v>
      </c>
      <c r="G821" t="s">
        <v>106</v>
      </c>
      <c r="H821">
        <v>399900</v>
      </c>
      <c r="I821">
        <v>349900</v>
      </c>
      <c r="J821">
        <v>299900</v>
      </c>
      <c r="K821">
        <v>299000</v>
      </c>
      <c r="L821">
        <v>50</v>
      </c>
      <c r="M821">
        <v>14950000</v>
      </c>
      <c r="N821" s="19">
        <v>18177272.727272727</v>
      </c>
      <c r="O821" s="19">
        <v>14796299.999999998</v>
      </c>
      <c r="P821" t="str">
        <f t="shared" si="14"/>
        <v>Ninja Heated</v>
      </c>
      <c r="Q821" t="str">
        <f t="shared" si="15"/>
        <v>Combi</v>
      </c>
    </row>
    <row r="822" spans="1:17" x14ac:dyDescent="0.35">
      <c r="A822" t="str">
        <f>_xlfn.XLOOKUP(B822,Mapping!C:C,Mapping!D:D)</f>
        <v>Naver</v>
      </c>
      <c r="B822" t="s">
        <v>146</v>
      </c>
      <c r="C822" t="s">
        <v>322</v>
      </c>
      <c r="D822" s="3">
        <v>46223</v>
      </c>
      <c r="E822" s="3">
        <v>46223</v>
      </c>
      <c r="F822">
        <v>1</v>
      </c>
      <c r="G822" t="s">
        <v>68</v>
      </c>
      <c r="H822">
        <v>199900</v>
      </c>
      <c r="I822">
        <v>169900</v>
      </c>
      <c r="J822">
        <v>149900</v>
      </c>
      <c r="K822">
        <v>149900</v>
      </c>
      <c r="L822">
        <v>30</v>
      </c>
      <c r="M822">
        <v>4497000</v>
      </c>
      <c r="N822" s="19">
        <v>5451818.1818181816</v>
      </c>
      <c r="O822" s="19">
        <v>4437780</v>
      </c>
      <c r="P822" t="str">
        <f t="shared" si="14"/>
        <v>Ninja Motorized</v>
      </c>
      <c r="Q822" t="str">
        <f t="shared" si="15"/>
        <v>Trad</v>
      </c>
    </row>
    <row r="823" spans="1:17" x14ac:dyDescent="0.35">
      <c r="A823" t="str">
        <f>_xlfn.XLOOKUP(B823,Mapping!C:C,Mapping!D:D)</f>
        <v>Naver</v>
      </c>
      <c r="B823" t="s">
        <v>146</v>
      </c>
      <c r="C823" t="s">
        <v>322</v>
      </c>
      <c r="D823" s="3">
        <v>46223</v>
      </c>
      <c r="E823" s="3">
        <v>46223</v>
      </c>
      <c r="F823">
        <v>1</v>
      </c>
      <c r="G823" t="s">
        <v>69</v>
      </c>
      <c r="H823">
        <v>299900</v>
      </c>
      <c r="I823">
        <v>219900</v>
      </c>
      <c r="J823">
        <v>199900</v>
      </c>
      <c r="K823">
        <v>199900</v>
      </c>
      <c r="L823">
        <v>20</v>
      </c>
      <c r="M823">
        <v>3998000</v>
      </c>
      <c r="N823" s="19">
        <v>5452727.2727272715</v>
      </c>
      <c r="O823" s="19">
        <v>4438519.9999999991</v>
      </c>
      <c r="P823" t="str">
        <f t="shared" si="14"/>
        <v>Ninja Motorized</v>
      </c>
      <c r="Q823" t="str">
        <f t="shared" si="15"/>
        <v>Trad</v>
      </c>
    </row>
    <row r="824" spans="1:17" x14ac:dyDescent="0.35">
      <c r="A824" t="str">
        <f>_xlfn.XLOOKUP(B824,Mapping!C:C,Mapping!D:D)</f>
        <v>Naver</v>
      </c>
      <c r="B824" t="s">
        <v>146</v>
      </c>
      <c r="C824" t="s">
        <v>322</v>
      </c>
      <c r="D824" s="3">
        <v>46223</v>
      </c>
      <c r="E824" s="3">
        <v>46223</v>
      </c>
      <c r="F824">
        <v>1</v>
      </c>
      <c r="G824" t="s">
        <v>32</v>
      </c>
      <c r="H824">
        <v>349900</v>
      </c>
      <c r="I824">
        <v>299900</v>
      </c>
      <c r="J824">
        <v>269900</v>
      </c>
      <c r="K824">
        <v>299900</v>
      </c>
      <c r="L824">
        <v>200</v>
      </c>
      <c r="M824">
        <v>59980000</v>
      </c>
      <c r="N824" s="19">
        <v>63618181.818181813</v>
      </c>
      <c r="O824" s="19">
        <v>51785200</v>
      </c>
      <c r="P824" t="str">
        <f t="shared" si="14"/>
        <v>Ninja Motorized</v>
      </c>
      <c r="Q824" t="str">
        <f t="shared" si="15"/>
        <v>Icecream</v>
      </c>
    </row>
    <row r="825" spans="1:17" x14ac:dyDescent="0.35">
      <c r="A825" t="str">
        <f>_xlfn.XLOOKUP(B825,Mapping!C:C,Mapping!D:D)</f>
        <v>Naver</v>
      </c>
      <c r="B825" t="s">
        <v>146</v>
      </c>
      <c r="C825" t="s">
        <v>322</v>
      </c>
      <c r="D825" s="3">
        <v>46223</v>
      </c>
      <c r="E825" s="3">
        <v>46223</v>
      </c>
      <c r="F825">
        <v>1</v>
      </c>
      <c r="G825" t="s">
        <v>95</v>
      </c>
      <c r="H825">
        <v>79900</v>
      </c>
      <c r="I825">
        <v>54900</v>
      </c>
      <c r="J825">
        <v>54900</v>
      </c>
      <c r="K825">
        <v>54900</v>
      </c>
      <c r="L825">
        <v>200</v>
      </c>
      <c r="M825">
        <v>10980000</v>
      </c>
      <c r="N825" s="19">
        <v>14527272.727272727</v>
      </c>
      <c r="O825" s="19">
        <v>11825199.999999998</v>
      </c>
      <c r="P825" t="str">
        <f t="shared" si="14"/>
        <v>Ninja Motorized</v>
      </c>
      <c r="Q825" t="str">
        <f t="shared" si="15"/>
        <v>Food process</v>
      </c>
    </row>
    <row r="826" spans="1:17" x14ac:dyDescent="0.35">
      <c r="A826" t="str">
        <f>_xlfn.XLOOKUP(B826,Mapping!C:C,Mapping!D:D)</f>
        <v>Naver</v>
      </c>
      <c r="B826" t="s">
        <v>146</v>
      </c>
      <c r="C826" t="s">
        <v>323</v>
      </c>
      <c r="D826" s="3">
        <v>46230</v>
      </c>
      <c r="E826" s="3">
        <v>46230</v>
      </c>
      <c r="F826">
        <v>1</v>
      </c>
      <c r="G826" t="s">
        <v>26</v>
      </c>
      <c r="H826">
        <v>899000</v>
      </c>
      <c r="I826">
        <v>849000</v>
      </c>
      <c r="J826">
        <v>799000</v>
      </c>
      <c r="K826">
        <v>849000</v>
      </c>
      <c r="L826">
        <v>100</v>
      </c>
      <c r="M826">
        <v>84900000</v>
      </c>
      <c r="N826" s="19">
        <v>81727272.727272719</v>
      </c>
      <c r="O826" s="19">
        <v>66525999.999999993</v>
      </c>
      <c r="P826" t="str">
        <f t="shared" si="14"/>
        <v>Shark Floorcare</v>
      </c>
      <c r="Q826" t="str">
        <f t="shared" si="15"/>
        <v>FW</v>
      </c>
    </row>
    <row r="827" spans="1:17" x14ac:dyDescent="0.35">
      <c r="A827" t="str">
        <f>_xlfn.XLOOKUP(B827,Mapping!C:C,Mapping!D:D)</f>
        <v>Naver</v>
      </c>
      <c r="B827" t="s">
        <v>146</v>
      </c>
      <c r="C827" t="s">
        <v>323</v>
      </c>
      <c r="D827" s="3">
        <v>46230</v>
      </c>
      <c r="E827" s="3">
        <v>46230</v>
      </c>
      <c r="F827">
        <v>1</v>
      </c>
      <c r="G827" t="s">
        <v>87</v>
      </c>
      <c r="H827">
        <v>219900</v>
      </c>
      <c r="I827">
        <v>199900</v>
      </c>
      <c r="J827">
        <v>179900</v>
      </c>
      <c r="K827">
        <v>149900</v>
      </c>
      <c r="L827">
        <v>100</v>
      </c>
      <c r="M827">
        <v>14990000</v>
      </c>
      <c r="N827" s="19">
        <v>19990909.09090909</v>
      </c>
      <c r="O827" s="19">
        <v>16272599.999999996</v>
      </c>
      <c r="P827" t="str">
        <f t="shared" si="14"/>
        <v>Shark Fan</v>
      </c>
      <c r="Q827" t="str">
        <f t="shared" si="15"/>
        <v>Fan</v>
      </c>
    </row>
    <row r="828" spans="1:17" x14ac:dyDescent="0.35">
      <c r="A828" t="str">
        <f>_xlfn.XLOOKUP(B828,Mapping!C:C,Mapping!D:D)</f>
        <v>Naver</v>
      </c>
      <c r="B828" t="s">
        <v>146</v>
      </c>
      <c r="C828" t="s">
        <v>323</v>
      </c>
      <c r="D828" s="3">
        <v>46230</v>
      </c>
      <c r="E828" s="3">
        <v>46230</v>
      </c>
      <c r="F828">
        <v>1</v>
      </c>
      <c r="G828" t="s">
        <v>109</v>
      </c>
      <c r="H828">
        <v>249900</v>
      </c>
      <c r="I828">
        <v>219900</v>
      </c>
      <c r="J828">
        <v>199900</v>
      </c>
      <c r="K828">
        <v>179900</v>
      </c>
      <c r="L828">
        <v>60</v>
      </c>
      <c r="M828">
        <v>10794000</v>
      </c>
      <c r="N828" s="19">
        <v>13630909.09090909</v>
      </c>
      <c r="O828" s="19">
        <v>11095560</v>
      </c>
      <c r="P828" t="str">
        <f t="shared" si="14"/>
        <v>Shark Fan</v>
      </c>
      <c r="Q828" t="str">
        <f t="shared" si="15"/>
        <v>Fan</v>
      </c>
    </row>
    <row r="829" spans="1:17" x14ac:dyDescent="0.35">
      <c r="A829" t="str">
        <f>_xlfn.XLOOKUP(B829,Mapping!C:C,Mapping!D:D)</f>
        <v>Naver</v>
      </c>
      <c r="B829" t="s">
        <v>146</v>
      </c>
      <c r="C829" t="s">
        <v>323</v>
      </c>
      <c r="D829" s="3">
        <v>46230</v>
      </c>
      <c r="E829" s="3">
        <v>46230</v>
      </c>
      <c r="F829">
        <v>1</v>
      </c>
      <c r="G829" t="s">
        <v>88</v>
      </c>
      <c r="H829">
        <v>599000</v>
      </c>
      <c r="I829">
        <v>499000</v>
      </c>
      <c r="J829">
        <v>399900</v>
      </c>
      <c r="K829">
        <v>499000</v>
      </c>
      <c r="L829">
        <v>20</v>
      </c>
      <c r="M829">
        <v>9980000</v>
      </c>
      <c r="N829" s="19">
        <v>10890909.09090909</v>
      </c>
      <c r="O829" s="19">
        <v>8865200</v>
      </c>
      <c r="P829" t="str">
        <f t="shared" si="14"/>
        <v>Shark Floorcare</v>
      </c>
      <c r="Q829" t="str">
        <f t="shared" si="15"/>
        <v>CS</v>
      </c>
    </row>
    <row r="830" spans="1:17" x14ac:dyDescent="0.35">
      <c r="A830" t="str">
        <f>_xlfn.XLOOKUP(B830,Mapping!C:C,Mapping!D:D)</f>
        <v>Naver</v>
      </c>
      <c r="B830" t="s">
        <v>146</v>
      </c>
      <c r="C830" t="s">
        <v>323</v>
      </c>
      <c r="D830" s="3">
        <v>46230</v>
      </c>
      <c r="E830" s="3">
        <v>46230</v>
      </c>
      <c r="F830">
        <v>1</v>
      </c>
      <c r="G830" t="s">
        <v>36</v>
      </c>
      <c r="H830">
        <v>469900</v>
      </c>
      <c r="I830">
        <v>399900</v>
      </c>
      <c r="J830">
        <v>399000</v>
      </c>
      <c r="K830">
        <v>399000</v>
      </c>
      <c r="L830">
        <v>30</v>
      </c>
      <c r="M830">
        <v>11970000</v>
      </c>
      <c r="N830" s="19">
        <v>12815454.545454543</v>
      </c>
      <c r="O830" s="19">
        <v>10431779.999999998</v>
      </c>
      <c r="P830" t="str">
        <f t="shared" si="14"/>
        <v>Shark Floorcare</v>
      </c>
      <c r="Q830" t="str">
        <f t="shared" si="15"/>
        <v>WD</v>
      </c>
    </row>
    <row r="831" spans="1:17" x14ac:dyDescent="0.35">
      <c r="A831" t="str">
        <f>_xlfn.XLOOKUP(B831,Mapping!C:C,Mapping!D:D)</f>
        <v>Naver</v>
      </c>
      <c r="B831" t="s">
        <v>146</v>
      </c>
      <c r="C831" t="s">
        <v>323</v>
      </c>
      <c r="D831" s="3">
        <v>46230</v>
      </c>
      <c r="E831" s="3">
        <v>46230</v>
      </c>
      <c r="F831">
        <v>1</v>
      </c>
      <c r="G831" t="s">
        <v>84</v>
      </c>
      <c r="H831">
        <v>169900</v>
      </c>
      <c r="I831">
        <v>149900</v>
      </c>
      <c r="J831">
        <v>129900</v>
      </c>
      <c r="K831">
        <v>129900</v>
      </c>
      <c r="L831">
        <v>20</v>
      </c>
      <c r="M831">
        <v>2598000</v>
      </c>
      <c r="N831" s="19">
        <v>3089090.9090909087</v>
      </c>
      <c r="O831" s="19">
        <v>2514520</v>
      </c>
      <c r="P831" t="str">
        <f t="shared" si="14"/>
        <v>Ninja Motorized</v>
      </c>
      <c r="Q831" t="str">
        <f t="shared" si="15"/>
        <v>Trad</v>
      </c>
    </row>
    <row r="832" spans="1:17" x14ac:dyDescent="0.35">
      <c r="A832" t="str">
        <f>_xlfn.XLOOKUP(B832,Mapping!C:C,Mapping!D:D)</f>
        <v>Naver</v>
      </c>
      <c r="B832" t="s">
        <v>146</v>
      </c>
      <c r="C832" t="s">
        <v>323</v>
      </c>
      <c r="D832" s="3">
        <v>46230</v>
      </c>
      <c r="E832" s="3">
        <v>46230</v>
      </c>
      <c r="F832">
        <v>1</v>
      </c>
      <c r="G832" t="s">
        <v>86</v>
      </c>
      <c r="H832">
        <v>149900</v>
      </c>
      <c r="I832">
        <v>139900</v>
      </c>
      <c r="J832">
        <v>109900</v>
      </c>
      <c r="K832">
        <v>119900</v>
      </c>
      <c r="L832">
        <v>200</v>
      </c>
      <c r="M832">
        <v>23980000</v>
      </c>
      <c r="N832" s="19">
        <v>27254545.454545453</v>
      </c>
      <c r="O832" s="19">
        <v>22185199.999999996</v>
      </c>
      <c r="P832" t="str">
        <f t="shared" si="14"/>
        <v>Ninja Motorized</v>
      </c>
      <c r="Q832" t="str">
        <f t="shared" si="15"/>
        <v>Portable</v>
      </c>
    </row>
    <row r="833" spans="1:17" x14ac:dyDescent="0.35">
      <c r="A833" t="str">
        <f>_xlfn.XLOOKUP(B833,Mapping!C:C,Mapping!D:D)</f>
        <v>Naver</v>
      </c>
      <c r="B833" t="s">
        <v>146</v>
      </c>
      <c r="C833" t="s">
        <v>323</v>
      </c>
      <c r="D833" s="3">
        <v>46230</v>
      </c>
      <c r="E833" s="3">
        <v>46230</v>
      </c>
      <c r="F833">
        <v>1</v>
      </c>
      <c r="G833" t="s">
        <v>85</v>
      </c>
      <c r="H833">
        <v>349900</v>
      </c>
      <c r="I833">
        <v>319900</v>
      </c>
      <c r="J833">
        <v>299900</v>
      </c>
      <c r="K833">
        <v>319900</v>
      </c>
      <c r="L833">
        <v>100</v>
      </c>
      <c r="M833">
        <v>31990000</v>
      </c>
      <c r="N833" s="19">
        <v>31809090.909090906</v>
      </c>
      <c r="O833" s="19">
        <v>25892600</v>
      </c>
      <c r="P833" t="str">
        <f t="shared" si="14"/>
        <v>Ninja Motorized</v>
      </c>
      <c r="Q833" t="str">
        <f t="shared" si="15"/>
        <v>Kitchen</v>
      </c>
    </row>
    <row r="834" spans="1:17" x14ac:dyDescent="0.35">
      <c r="A834" t="str">
        <f>_xlfn.XLOOKUP(B834,Mapping!C:C,Mapping!D:D)</f>
        <v>Naver</v>
      </c>
      <c r="B834" t="s">
        <v>146</v>
      </c>
      <c r="C834" t="s">
        <v>323</v>
      </c>
      <c r="D834" s="3">
        <v>46230</v>
      </c>
      <c r="E834" s="3">
        <v>46230</v>
      </c>
      <c r="F834">
        <v>1</v>
      </c>
      <c r="G834" t="s">
        <v>110</v>
      </c>
      <c r="H834">
        <v>129900</v>
      </c>
      <c r="I834">
        <v>114900</v>
      </c>
      <c r="J834">
        <v>99900</v>
      </c>
      <c r="K834">
        <v>99900</v>
      </c>
      <c r="L834">
        <v>110</v>
      </c>
      <c r="M834">
        <v>10989000</v>
      </c>
      <c r="N834" s="19">
        <v>12990000</v>
      </c>
      <c r="O834" s="19">
        <v>10573860</v>
      </c>
      <c r="P834" t="str">
        <f t="shared" si="14"/>
        <v>Ninja Motorized</v>
      </c>
      <c r="Q834" t="str">
        <f t="shared" si="15"/>
        <v>Trad</v>
      </c>
    </row>
    <row r="835" spans="1:17" x14ac:dyDescent="0.35">
      <c r="A835" t="str">
        <f>_xlfn.XLOOKUP(B835,Mapping!C:C,Mapping!D:D)</f>
        <v>Naver</v>
      </c>
      <c r="B835" t="s">
        <v>146</v>
      </c>
      <c r="C835" t="s">
        <v>324</v>
      </c>
      <c r="D835" s="3">
        <v>46209</v>
      </c>
      <c r="E835" s="3">
        <v>46215</v>
      </c>
      <c r="F835">
        <v>7</v>
      </c>
      <c r="G835" t="s">
        <v>27</v>
      </c>
      <c r="H835">
        <v>329900</v>
      </c>
      <c r="I835">
        <v>299900</v>
      </c>
      <c r="J835">
        <v>279900</v>
      </c>
      <c r="K835">
        <v>299900</v>
      </c>
      <c r="L835">
        <v>40</v>
      </c>
      <c r="M835">
        <v>11996000</v>
      </c>
      <c r="N835" s="19">
        <v>11996363.636363635</v>
      </c>
      <c r="O835" s="19">
        <v>9765040</v>
      </c>
      <c r="P835" t="str">
        <f t="shared" si="14"/>
        <v>Ninja Motorized</v>
      </c>
      <c r="Q835" t="str">
        <f t="shared" si="15"/>
        <v>Trad</v>
      </c>
    </row>
    <row r="836" spans="1:17" x14ac:dyDescent="0.35">
      <c r="A836" t="str">
        <f>_xlfn.XLOOKUP(B836,Mapping!C:C,Mapping!D:D)</f>
        <v>Naver</v>
      </c>
      <c r="B836" t="s">
        <v>146</v>
      </c>
      <c r="C836" t="s">
        <v>324</v>
      </c>
      <c r="D836" s="3">
        <v>46209</v>
      </c>
      <c r="E836" s="3">
        <v>46215</v>
      </c>
      <c r="F836">
        <v>7</v>
      </c>
      <c r="G836" t="s">
        <v>105</v>
      </c>
      <c r="H836">
        <v>299900</v>
      </c>
      <c r="I836">
        <v>269900</v>
      </c>
      <c r="J836">
        <v>249900</v>
      </c>
      <c r="K836">
        <v>269900</v>
      </c>
      <c r="L836">
        <v>30</v>
      </c>
      <c r="M836">
        <v>8097000</v>
      </c>
      <c r="N836" s="19">
        <v>8179090.9090909073</v>
      </c>
      <c r="O836" s="19">
        <v>6657779.9999999981</v>
      </c>
      <c r="P836" t="str">
        <f t="shared" si="14"/>
        <v>Ninja Motorized</v>
      </c>
      <c r="Q836" t="str">
        <f t="shared" si="15"/>
        <v>Kitchen</v>
      </c>
    </row>
    <row r="837" spans="1:17" x14ac:dyDescent="0.35">
      <c r="A837" t="str">
        <f>_xlfn.XLOOKUP(B837,Mapping!C:C,Mapping!D:D)</f>
        <v>Naver</v>
      </c>
      <c r="B837" t="s">
        <v>146</v>
      </c>
      <c r="C837" t="s">
        <v>324</v>
      </c>
      <c r="D837" s="3">
        <v>46209</v>
      </c>
      <c r="E837" s="3">
        <v>46215</v>
      </c>
      <c r="F837">
        <v>7</v>
      </c>
      <c r="G837" t="s">
        <v>95</v>
      </c>
      <c r="H837">
        <v>79900</v>
      </c>
      <c r="I837">
        <v>54900</v>
      </c>
      <c r="J837">
        <v>54900</v>
      </c>
      <c r="K837">
        <v>54900</v>
      </c>
      <c r="L837">
        <v>400</v>
      </c>
      <c r="M837">
        <v>21960000</v>
      </c>
      <c r="N837" s="19">
        <v>29054545.454545453</v>
      </c>
      <c r="O837" s="19">
        <v>23650399.999999996</v>
      </c>
      <c r="P837" t="str">
        <f t="shared" si="14"/>
        <v>Ninja Motorized</v>
      </c>
      <c r="Q837" t="str">
        <f t="shared" si="15"/>
        <v>Food process</v>
      </c>
    </row>
    <row r="838" spans="1:17" x14ac:dyDescent="0.35">
      <c r="A838" t="str">
        <f>_xlfn.XLOOKUP(B838,Mapping!C:C,Mapping!D:D)</f>
        <v>Naver</v>
      </c>
      <c r="B838" t="s">
        <v>146</v>
      </c>
      <c r="C838" t="s">
        <v>324</v>
      </c>
      <c r="D838" s="3">
        <v>46209</v>
      </c>
      <c r="E838" s="3">
        <v>46215</v>
      </c>
      <c r="F838">
        <v>7</v>
      </c>
      <c r="G838" t="s">
        <v>84</v>
      </c>
      <c r="H838">
        <v>169900</v>
      </c>
      <c r="I838">
        <v>149900</v>
      </c>
      <c r="J838">
        <v>129900</v>
      </c>
      <c r="K838">
        <v>149900</v>
      </c>
      <c r="L838">
        <v>40</v>
      </c>
      <c r="M838">
        <v>5996000</v>
      </c>
      <c r="N838" s="19">
        <v>6178181.8181818174</v>
      </c>
      <c r="O838" s="19">
        <v>5029040</v>
      </c>
      <c r="P838" t="str">
        <f t="shared" si="14"/>
        <v>Ninja Motorized</v>
      </c>
      <c r="Q838" t="str">
        <f t="shared" si="15"/>
        <v>Trad</v>
      </c>
    </row>
    <row r="839" spans="1:17" x14ac:dyDescent="0.35">
      <c r="A839" t="str">
        <f>_xlfn.XLOOKUP(B839,Mapping!C:C,Mapping!D:D)</f>
        <v>Naver</v>
      </c>
      <c r="B839" t="s">
        <v>146</v>
      </c>
      <c r="C839" t="s">
        <v>324</v>
      </c>
      <c r="D839" s="3">
        <v>46209</v>
      </c>
      <c r="E839" s="3">
        <v>46215</v>
      </c>
      <c r="F839">
        <v>7</v>
      </c>
      <c r="G839" t="s">
        <v>21</v>
      </c>
      <c r="H839">
        <v>449900</v>
      </c>
      <c r="I839">
        <v>379900</v>
      </c>
      <c r="J839">
        <v>349900</v>
      </c>
      <c r="K839">
        <v>379900</v>
      </c>
      <c r="L839">
        <v>30</v>
      </c>
      <c r="M839">
        <v>11397000</v>
      </c>
      <c r="N839" s="19">
        <v>12269999.999999998</v>
      </c>
      <c r="O839" s="19">
        <v>9987779.9999999981</v>
      </c>
      <c r="P839" t="str">
        <f t="shared" si="14"/>
        <v>Ninja Motorized</v>
      </c>
      <c r="Q839" t="str">
        <f t="shared" si="15"/>
        <v>Slushi</v>
      </c>
    </row>
    <row r="840" spans="1:17" x14ac:dyDescent="0.35">
      <c r="A840" t="str">
        <f>_xlfn.XLOOKUP(B840,Mapping!C:C,Mapping!D:D)</f>
        <v>Naver</v>
      </c>
      <c r="B840" t="s">
        <v>146</v>
      </c>
      <c r="C840" t="s">
        <v>324</v>
      </c>
      <c r="D840" s="3">
        <v>46209</v>
      </c>
      <c r="E840" s="3">
        <v>46215</v>
      </c>
      <c r="F840">
        <v>7</v>
      </c>
      <c r="G840" t="s">
        <v>86</v>
      </c>
      <c r="H840">
        <v>149900</v>
      </c>
      <c r="I840">
        <v>139900</v>
      </c>
      <c r="J840">
        <v>109900</v>
      </c>
      <c r="K840">
        <v>119900</v>
      </c>
      <c r="L840">
        <v>400</v>
      </c>
      <c r="M840">
        <v>47960000</v>
      </c>
      <c r="N840" s="19">
        <v>54509090.909090906</v>
      </c>
      <c r="O840" s="19">
        <v>44370399.999999993</v>
      </c>
      <c r="P840" t="str">
        <f t="shared" si="14"/>
        <v>Ninja Motorized</v>
      </c>
      <c r="Q840" t="str">
        <f t="shared" si="15"/>
        <v>Portable</v>
      </c>
    </row>
    <row r="841" spans="1:17" x14ac:dyDescent="0.35">
      <c r="A841" t="str">
        <f>_xlfn.XLOOKUP(B841,Mapping!C:C,Mapping!D:D)</f>
        <v>Naver</v>
      </c>
      <c r="B841" t="s">
        <v>146</v>
      </c>
      <c r="C841" t="s">
        <v>325</v>
      </c>
      <c r="D841" s="3">
        <v>46216</v>
      </c>
      <c r="E841" s="3">
        <v>46222</v>
      </c>
      <c r="F841">
        <v>7</v>
      </c>
      <c r="G841" t="s">
        <v>97</v>
      </c>
      <c r="H841">
        <v>349900</v>
      </c>
      <c r="I841">
        <v>299900</v>
      </c>
      <c r="J841">
        <v>249900</v>
      </c>
      <c r="K841">
        <v>199900</v>
      </c>
      <c r="L841">
        <v>80</v>
      </c>
      <c r="M841">
        <v>15992000</v>
      </c>
      <c r="N841" s="19">
        <v>25447272.727272727</v>
      </c>
      <c r="O841" s="19">
        <v>20714080</v>
      </c>
      <c r="P841" t="str">
        <f t="shared" si="14"/>
        <v>Ninja Heated</v>
      </c>
      <c r="Q841" t="str">
        <f t="shared" si="15"/>
        <v>Grill</v>
      </c>
    </row>
    <row r="842" spans="1:17" x14ac:dyDescent="0.35">
      <c r="A842" t="str">
        <f>_xlfn.XLOOKUP(B842,Mapping!C:C,Mapping!D:D)</f>
        <v>Naver</v>
      </c>
      <c r="B842" t="s">
        <v>146</v>
      </c>
      <c r="C842" t="s">
        <v>325</v>
      </c>
      <c r="D842" s="3">
        <v>46216</v>
      </c>
      <c r="E842" s="3">
        <v>46222</v>
      </c>
      <c r="F842">
        <v>7</v>
      </c>
      <c r="G842" t="s">
        <v>16</v>
      </c>
      <c r="H842">
        <v>199900</v>
      </c>
      <c r="I842">
        <v>129900</v>
      </c>
      <c r="J842">
        <v>129900</v>
      </c>
      <c r="K842">
        <v>129900</v>
      </c>
      <c r="L842">
        <v>100</v>
      </c>
      <c r="M842">
        <v>12990000</v>
      </c>
      <c r="N842" s="19">
        <v>18172727.27272727</v>
      </c>
      <c r="O842" s="19">
        <v>14792599.999999998</v>
      </c>
      <c r="P842" t="str">
        <f t="shared" si="14"/>
        <v>Ninja Motorized</v>
      </c>
      <c r="Q842" t="str">
        <f t="shared" si="15"/>
        <v>Trad</v>
      </c>
    </row>
    <row r="843" spans="1:17" x14ac:dyDescent="0.35">
      <c r="A843" t="str">
        <f>_xlfn.XLOOKUP(B843,Mapping!C:C,Mapping!D:D)</f>
        <v>Naver</v>
      </c>
      <c r="B843" t="s">
        <v>146</v>
      </c>
      <c r="C843" t="s">
        <v>325</v>
      </c>
      <c r="D843" s="3">
        <v>46216</v>
      </c>
      <c r="E843" s="3">
        <v>46222</v>
      </c>
      <c r="F843">
        <v>7</v>
      </c>
      <c r="G843" t="s">
        <v>49</v>
      </c>
      <c r="H843">
        <v>119900</v>
      </c>
      <c r="I843">
        <v>109900</v>
      </c>
      <c r="J843">
        <v>99900</v>
      </c>
      <c r="K843">
        <v>109900</v>
      </c>
      <c r="L843">
        <v>20</v>
      </c>
      <c r="M843">
        <v>2198000</v>
      </c>
      <c r="N843" s="19">
        <v>2179999.9999999995</v>
      </c>
      <c r="O843" s="19">
        <v>1774519.9999999995</v>
      </c>
      <c r="P843" t="str">
        <f t="shared" si="14"/>
        <v>Ninja Motorized</v>
      </c>
      <c r="Q843" t="str">
        <f t="shared" si="15"/>
        <v>Hand</v>
      </c>
    </row>
    <row r="844" spans="1:17" x14ac:dyDescent="0.35">
      <c r="A844" t="str">
        <f>_xlfn.XLOOKUP(B844,Mapping!C:C,Mapping!D:D)</f>
        <v>Naver</v>
      </c>
      <c r="B844" t="s">
        <v>146</v>
      </c>
      <c r="C844" t="s">
        <v>325</v>
      </c>
      <c r="D844" s="3">
        <v>46216</v>
      </c>
      <c r="E844" s="3">
        <v>46222</v>
      </c>
      <c r="F844">
        <v>7</v>
      </c>
      <c r="G844" t="s">
        <v>40</v>
      </c>
      <c r="H844">
        <v>349900</v>
      </c>
      <c r="I844">
        <v>319900</v>
      </c>
      <c r="J844">
        <v>299900</v>
      </c>
      <c r="K844">
        <v>319900</v>
      </c>
      <c r="L844">
        <v>10</v>
      </c>
      <c r="M844">
        <v>3199000</v>
      </c>
      <c r="N844" s="19">
        <v>3180909.0909090908</v>
      </c>
      <c r="O844" s="19">
        <v>2589260</v>
      </c>
      <c r="P844" t="str">
        <f t="shared" si="14"/>
        <v>Ninja Motorized</v>
      </c>
      <c r="Q844" t="str">
        <f t="shared" si="15"/>
        <v>Hot</v>
      </c>
    </row>
    <row r="845" spans="1:17" x14ac:dyDescent="0.35">
      <c r="A845" t="str">
        <f>_xlfn.XLOOKUP(B845,Mapping!C:C,Mapping!D:D)</f>
        <v>Naver</v>
      </c>
      <c r="B845" t="s">
        <v>146</v>
      </c>
      <c r="C845" t="s">
        <v>325</v>
      </c>
      <c r="D845" s="3">
        <v>46216</v>
      </c>
      <c r="E845" s="3">
        <v>46222</v>
      </c>
      <c r="F845">
        <v>7</v>
      </c>
      <c r="G845" t="s">
        <v>106</v>
      </c>
      <c r="H845">
        <v>399900</v>
      </c>
      <c r="I845">
        <v>349900</v>
      </c>
      <c r="J845">
        <v>299900</v>
      </c>
      <c r="K845">
        <v>349900</v>
      </c>
      <c r="L845">
        <v>20</v>
      </c>
      <c r="M845">
        <v>6998000</v>
      </c>
      <c r="N845" s="19">
        <v>7270909.0909090908</v>
      </c>
      <c r="O845" s="19">
        <v>5918520</v>
      </c>
      <c r="P845" t="str">
        <f t="shared" si="14"/>
        <v>Ninja Heated</v>
      </c>
      <c r="Q845" t="str">
        <f t="shared" si="15"/>
        <v>Combi</v>
      </c>
    </row>
    <row r="846" spans="1:17" x14ac:dyDescent="0.35">
      <c r="A846" t="str">
        <f>_xlfn.XLOOKUP(B846,Mapping!C:C,Mapping!D:D)</f>
        <v>Naver</v>
      </c>
      <c r="B846" t="s">
        <v>146</v>
      </c>
      <c r="C846" t="s">
        <v>325</v>
      </c>
      <c r="D846" s="3">
        <v>46216</v>
      </c>
      <c r="E846" s="3">
        <v>46222</v>
      </c>
      <c r="F846">
        <v>7</v>
      </c>
      <c r="G846" t="s">
        <v>96</v>
      </c>
      <c r="H846">
        <v>139900</v>
      </c>
      <c r="I846">
        <v>119900</v>
      </c>
      <c r="J846">
        <v>99900</v>
      </c>
      <c r="K846">
        <v>107400</v>
      </c>
      <c r="L846">
        <v>10</v>
      </c>
      <c r="M846">
        <v>1074000</v>
      </c>
      <c r="N846" s="19">
        <v>1271818.1818181816</v>
      </c>
      <c r="O846" s="19">
        <v>1035260</v>
      </c>
      <c r="P846" t="str">
        <f t="shared" si="14"/>
        <v>Shark Floorcare</v>
      </c>
      <c r="Q846" t="str">
        <f t="shared" si="15"/>
        <v>WV</v>
      </c>
    </row>
    <row r="847" spans="1:17" x14ac:dyDescent="0.35">
      <c r="A847" t="str">
        <f>_xlfn.XLOOKUP(B847,Mapping!C:C,Mapping!D:D)</f>
        <v>Naver</v>
      </c>
      <c r="B847" t="s">
        <v>146</v>
      </c>
      <c r="C847" t="s">
        <v>326</v>
      </c>
      <c r="D847" s="3">
        <v>46223</v>
      </c>
      <c r="E847" s="3">
        <v>46229</v>
      </c>
      <c r="F847">
        <v>7</v>
      </c>
      <c r="G847" t="s">
        <v>87</v>
      </c>
      <c r="H847">
        <v>219900</v>
      </c>
      <c r="I847">
        <v>199900</v>
      </c>
      <c r="J847">
        <v>179900</v>
      </c>
      <c r="K847">
        <v>149900</v>
      </c>
      <c r="L847">
        <v>300</v>
      </c>
      <c r="M847">
        <v>44970000</v>
      </c>
      <c r="N847" s="19">
        <v>59972727.272727266</v>
      </c>
      <c r="O847" s="19">
        <v>48817799.999999993</v>
      </c>
      <c r="P847" t="str">
        <f t="shared" si="14"/>
        <v>Shark Fan</v>
      </c>
      <c r="Q847" t="str">
        <f t="shared" si="15"/>
        <v>Fan</v>
      </c>
    </row>
    <row r="848" spans="1:17" x14ac:dyDescent="0.35">
      <c r="A848" t="str">
        <f>_xlfn.XLOOKUP(B848,Mapping!C:C,Mapping!D:D)</f>
        <v>Naver</v>
      </c>
      <c r="B848" t="s">
        <v>146</v>
      </c>
      <c r="C848" t="s">
        <v>326</v>
      </c>
      <c r="D848" s="3">
        <v>46223</v>
      </c>
      <c r="E848" s="3">
        <v>46229</v>
      </c>
      <c r="F848">
        <v>7</v>
      </c>
      <c r="G848" t="s">
        <v>109</v>
      </c>
      <c r="H848">
        <v>249900</v>
      </c>
      <c r="I848">
        <v>219900</v>
      </c>
      <c r="J848">
        <v>199900</v>
      </c>
      <c r="K848">
        <v>179900</v>
      </c>
      <c r="L848">
        <v>100</v>
      </c>
      <c r="M848">
        <v>17990000</v>
      </c>
      <c r="N848" s="19">
        <v>22718181.818181816</v>
      </c>
      <c r="O848" s="19">
        <v>18492600</v>
      </c>
      <c r="P848" t="str">
        <f t="shared" si="14"/>
        <v>Shark Fan</v>
      </c>
      <c r="Q848" t="str">
        <f t="shared" si="15"/>
        <v>Fan</v>
      </c>
    </row>
    <row r="849" spans="1:17" x14ac:dyDescent="0.35">
      <c r="A849" t="str">
        <f>_xlfn.XLOOKUP(B849,Mapping!C:C,Mapping!D:D)</f>
        <v>Naver</v>
      </c>
      <c r="B849" t="s">
        <v>146</v>
      </c>
      <c r="C849" t="s">
        <v>326</v>
      </c>
      <c r="D849" s="3">
        <v>46223</v>
      </c>
      <c r="E849" s="3">
        <v>46229</v>
      </c>
      <c r="F849">
        <v>7</v>
      </c>
      <c r="G849" t="s">
        <v>73</v>
      </c>
      <c r="H849">
        <v>139900</v>
      </c>
      <c r="I849">
        <v>129900</v>
      </c>
      <c r="J849">
        <v>119900</v>
      </c>
      <c r="K849">
        <v>128900</v>
      </c>
      <c r="L849">
        <v>50</v>
      </c>
      <c r="M849">
        <v>6445000</v>
      </c>
      <c r="N849" s="19">
        <v>6359090.9090909092</v>
      </c>
      <c r="O849" s="19">
        <v>5176300</v>
      </c>
      <c r="P849" t="str">
        <f t="shared" si="14"/>
        <v>Ninja Motorized</v>
      </c>
      <c r="Q849" t="str">
        <f t="shared" si="15"/>
        <v>Hand</v>
      </c>
    </row>
    <row r="850" spans="1:17" x14ac:dyDescent="0.35">
      <c r="A850" t="str">
        <f>_xlfn.XLOOKUP(B850,Mapping!C:C,Mapping!D:D)</f>
        <v>Naver</v>
      </c>
      <c r="B850" t="s">
        <v>146</v>
      </c>
      <c r="C850" t="s">
        <v>326</v>
      </c>
      <c r="D850" s="3">
        <v>46223</v>
      </c>
      <c r="E850" s="3">
        <v>46229</v>
      </c>
      <c r="F850">
        <v>7</v>
      </c>
      <c r="G850" t="s">
        <v>39</v>
      </c>
      <c r="H850">
        <v>249900</v>
      </c>
      <c r="I850">
        <v>199900</v>
      </c>
      <c r="J850">
        <v>189900</v>
      </c>
      <c r="K850">
        <v>204200</v>
      </c>
      <c r="L850">
        <v>50</v>
      </c>
      <c r="M850">
        <v>10210000</v>
      </c>
      <c r="N850" s="19">
        <v>11359090.909090908</v>
      </c>
      <c r="O850" s="19">
        <v>9246300</v>
      </c>
      <c r="P850" t="str">
        <f t="shared" si="14"/>
        <v>Ninja Motorized</v>
      </c>
      <c r="Q850" t="str">
        <f t="shared" si="15"/>
        <v>Trad</v>
      </c>
    </row>
    <row r="851" spans="1:17" x14ac:dyDescent="0.35">
      <c r="A851" t="str">
        <f>_xlfn.XLOOKUP(B851,Mapping!C:C,Mapping!D:D)</f>
        <v>Naver</v>
      </c>
      <c r="B851" t="s">
        <v>146</v>
      </c>
      <c r="C851" t="s">
        <v>326</v>
      </c>
      <c r="D851" s="3">
        <v>46223</v>
      </c>
      <c r="E851" s="3">
        <v>46229</v>
      </c>
      <c r="F851">
        <v>7</v>
      </c>
      <c r="G851" t="s">
        <v>27</v>
      </c>
      <c r="H851">
        <v>329900</v>
      </c>
      <c r="I851">
        <v>299900</v>
      </c>
      <c r="J851">
        <v>279900</v>
      </c>
      <c r="K851">
        <v>299900</v>
      </c>
      <c r="L851">
        <v>40</v>
      </c>
      <c r="M851">
        <v>11996000</v>
      </c>
      <c r="N851" s="19">
        <v>11996363.636363635</v>
      </c>
      <c r="O851" s="19">
        <v>9765040</v>
      </c>
      <c r="P851" t="str">
        <f t="shared" si="14"/>
        <v>Ninja Motorized</v>
      </c>
      <c r="Q851" t="str">
        <f t="shared" si="15"/>
        <v>Trad</v>
      </c>
    </row>
    <row r="852" spans="1:17" x14ac:dyDescent="0.35">
      <c r="A852" t="str">
        <f>_xlfn.XLOOKUP(B852,Mapping!C:C,Mapping!D:D)</f>
        <v>Naver</v>
      </c>
      <c r="B852" t="s">
        <v>146</v>
      </c>
      <c r="C852" t="s">
        <v>326</v>
      </c>
      <c r="D852" s="3">
        <v>46223</v>
      </c>
      <c r="E852" s="3">
        <v>46229</v>
      </c>
      <c r="F852">
        <v>7</v>
      </c>
      <c r="G852" t="s">
        <v>86</v>
      </c>
      <c r="H852">
        <v>149900</v>
      </c>
      <c r="I852">
        <v>139900</v>
      </c>
      <c r="J852">
        <v>109900</v>
      </c>
      <c r="K852">
        <v>119900</v>
      </c>
      <c r="L852">
        <v>600</v>
      </c>
      <c r="M852">
        <v>71940000</v>
      </c>
      <c r="N852" s="19">
        <v>81763636.36363636</v>
      </c>
      <c r="O852" s="19">
        <v>66555599.999999985</v>
      </c>
      <c r="P852" t="str">
        <f t="shared" si="14"/>
        <v>Ninja Motorized</v>
      </c>
      <c r="Q852" t="str">
        <f t="shared" si="15"/>
        <v>Portable</v>
      </c>
    </row>
    <row r="853" spans="1:17" x14ac:dyDescent="0.35">
      <c r="A853" t="str">
        <f>_xlfn.XLOOKUP(B853,Mapping!C:C,Mapping!D:D)</f>
        <v>Naver</v>
      </c>
      <c r="B853" t="s">
        <v>146</v>
      </c>
      <c r="C853" t="s">
        <v>326</v>
      </c>
      <c r="D853" s="3">
        <v>46223</v>
      </c>
      <c r="E853" s="3">
        <v>46229</v>
      </c>
      <c r="F853">
        <v>7</v>
      </c>
      <c r="G853" t="s">
        <v>95</v>
      </c>
      <c r="H853">
        <v>79900</v>
      </c>
      <c r="I853">
        <v>54900</v>
      </c>
      <c r="J853">
        <v>54900</v>
      </c>
      <c r="K853">
        <v>54900</v>
      </c>
      <c r="L853">
        <v>400</v>
      </c>
      <c r="M853">
        <v>21960000</v>
      </c>
      <c r="N853" s="19">
        <v>29054545.454545453</v>
      </c>
      <c r="O853" s="19">
        <v>23650399.999999996</v>
      </c>
      <c r="P853" t="str">
        <f t="shared" si="14"/>
        <v>Ninja Motorized</v>
      </c>
      <c r="Q853" t="str">
        <f t="shared" si="15"/>
        <v>Food process</v>
      </c>
    </row>
    <row r="854" spans="1:17" x14ac:dyDescent="0.35">
      <c r="A854" t="str">
        <f>_xlfn.XLOOKUP(B854,Mapping!C:C,Mapping!D:D)</f>
        <v>Naver</v>
      </c>
      <c r="B854" t="s">
        <v>146</v>
      </c>
      <c r="C854" t="s">
        <v>326</v>
      </c>
      <c r="D854" s="3">
        <v>46223</v>
      </c>
      <c r="E854" s="3">
        <v>46229</v>
      </c>
      <c r="F854">
        <v>7</v>
      </c>
      <c r="G854" t="s">
        <v>21</v>
      </c>
      <c r="H854">
        <v>449900</v>
      </c>
      <c r="I854">
        <v>379900</v>
      </c>
      <c r="J854">
        <v>349900</v>
      </c>
      <c r="K854">
        <v>349900</v>
      </c>
      <c r="L854">
        <v>30</v>
      </c>
      <c r="M854">
        <v>10497000</v>
      </c>
      <c r="N854" s="19">
        <v>12269999.999999998</v>
      </c>
      <c r="O854" s="19">
        <v>9987779.9999999981</v>
      </c>
      <c r="P854" t="str">
        <f t="shared" si="14"/>
        <v>Ninja Motorized</v>
      </c>
      <c r="Q854" t="str">
        <f t="shared" si="15"/>
        <v>Slushi</v>
      </c>
    </row>
    <row r="855" spans="1:17" x14ac:dyDescent="0.35">
      <c r="A855" t="str">
        <f>_xlfn.XLOOKUP(B855,Mapping!C:C,Mapping!D:D)</f>
        <v>Naver</v>
      </c>
      <c r="B855" t="s">
        <v>146</v>
      </c>
      <c r="C855" t="s">
        <v>326</v>
      </c>
      <c r="D855" s="3">
        <v>46223</v>
      </c>
      <c r="E855" s="3">
        <v>46229</v>
      </c>
      <c r="F855">
        <v>7</v>
      </c>
      <c r="G855" t="s">
        <v>92</v>
      </c>
      <c r="H855">
        <v>119900</v>
      </c>
      <c r="I855">
        <v>99900</v>
      </c>
      <c r="J855">
        <v>84900</v>
      </c>
      <c r="K855">
        <v>84900</v>
      </c>
      <c r="L855">
        <v>300</v>
      </c>
      <c r="M855">
        <v>25470000</v>
      </c>
      <c r="N855" s="19">
        <v>32699999.999999996</v>
      </c>
      <c r="O855" s="19">
        <v>26617799.999999996</v>
      </c>
      <c r="P855" t="str">
        <f t="shared" si="14"/>
        <v>Ninja Motorized</v>
      </c>
      <c r="Q855" t="str">
        <f t="shared" si="15"/>
        <v>Portable</v>
      </c>
    </row>
    <row r="856" spans="1:17" x14ac:dyDescent="0.35">
      <c r="A856" t="str">
        <f>_xlfn.XLOOKUP(B856,Mapping!C:C,Mapping!D:D)</f>
        <v>Naver</v>
      </c>
      <c r="B856" t="s">
        <v>146</v>
      </c>
      <c r="C856" t="s">
        <v>327</v>
      </c>
      <c r="D856" s="3">
        <v>46210</v>
      </c>
      <c r="E856" s="3">
        <v>46211</v>
      </c>
      <c r="F856">
        <v>2</v>
      </c>
      <c r="G856" t="s">
        <v>21</v>
      </c>
      <c r="H856">
        <v>449900</v>
      </c>
      <c r="I856">
        <v>379900</v>
      </c>
      <c r="J856">
        <v>349900</v>
      </c>
      <c r="K856">
        <v>349900</v>
      </c>
      <c r="L856">
        <v>20</v>
      </c>
      <c r="M856">
        <v>6998000</v>
      </c>
      <c r="N856" s="19">
        <v>8179999.9999999991</v>
      </c>
      <c r="O856" s="19">
        <v>6658519.9999999991</v>
      </c>
      <c r="P856" t="str">
        <f t="shared" si="14"/>
        <v>Ninja Motorized</v>
      </c>
      <c r="Q856" t="str">
        <f t="shared" si="15"/>
        <v>Slushi</v>
      </c>
    </row>
    <row r="857" spans="1:17" x14ac:dyDescent="0.35">
      <c r="A857" t="str">
        <f>_xlfn.XLOOKUP(B857,Mapping!C:C,Mapping!D:D)</f>
        <v>Naver</v>
      </c>
      <c r="B857" t="s">
        <v>146</v>
      </c>
      <c r="C857" t="s">
        <v>327</v>
      </c>
      <c r="D857" s="3">
        <v>46212</v>
      </c>
      <c r="E857" s="3">
        <v>46213</v>
      </c>
      <c r="F857">
        <v>2</v>
      </c>
      <c r="G857" t="s">
        <v>95</v>
      </c>
      <c r="H857">
        <v>79900</v>
      </c>
      <c r="I857">
        <v>54900</v>
      </c>
      <c r="J857">
        <v>54900</v>
      </c>
      <c r="K857">
        <v>54900</v>
      </c>
      <c r="L857">
        <v>50</v>
      </c>
      <c r="M857">
        <v>2745000</v>
      </c>
      <c r="N857" s="19">
        <v>3631818.1818181816</v>
      </c>
      <c r="O857" s="19">
        <v>2956299.9999999995</v>
      </c>
      <c r="P857" t="str">
        <f t="shared" si="14"/>
        <v>Ninja Motorized</v>
      </c>
      <c r="Q857" t="str">
        <f t="shared" si="15"/>
        <v>Food process</v>
      </c>
    </row>
    <row r="858" spans="1:17" x14ac:dyDescent="0.35">
      <c r="A858" t="str">
        <f>_xlfn.XLOOKUP(B858,Mapping!C:C,Mapping!D:D)</f>
        <v>Naver</v>
      </c>
      <c r="B858" t="s">
        <v>146</v>
      </c>
      <c r="C858" t="s">
        <v>327</v>
      </c>
      <c r="D858" s="3">
        <v>46213</v>
      </c>
      <c r="E858" s="3">
        <v>46214</v>
      </c>
      <c r="F858">
        <v>2</v>
      </c>
      <c r="G858" t="s">
        <v>27</v>
      </c>
      <c r="H858">
        <v>329900</v>
      </c>
      <c r="I858">
        <v>299900</v>
      </c>
      <c r="J858">
        <v>279900</v>
      </c>
      <c r="K858">
        <v>279900</v>
      </c>
      <c r="L858">
        <v>20</v>
      </c>
      <c r="M858">
        <v>5598000</v>
      </c>
      <c r="N858" s="19">
        <v>5998181.8181818174</v>
      </c>
      <c r="O858" s="19">
        <v>4882520</v>
      </c>
      <c r="P858" t="str">
        <f t="shared" si="14"/>
        <v>Ninja Motorized</v>
      </c>
      <c r="Q858" t="str">
        <f t="shared" si="15"/>
        <v>Trad</v>
      </c>
    </row>
    <row r="859" spans="1:17" x14ac:dyDescent="0.35">
      <c r="A859" t="str">
        <f>_xlfn.XLOOKUP(B859,Mapping!C:C,Mapping!D:D)</f>
        <v>Naver</v>
      </c>
      <c r="B859" t="s">
        <v>146</v>
      </c>
      <c r="C859" t="s">
        <v>327</v>
      </c>
      <c r="D859" s="3">
        <v>46217</v>
      </c>
      <c r="E859" s="3">
        <v>46218</v>
      </c>
      <c r="F859">
        <v>2</v>
      </c>
      <c r="G859" t="s">
        <v>29</v>
      </c>
      <c r="H859">
        <v>349900</v>
      </c>
      <c r="I859">
        <v>299900</v>
      </c>
      <c r="J859">
        <v>279900</v>
      </c>
      <c r="K859">
        <v>279900</v>
      </c>
      <c r="L859">
        <v>10</v>
      </c>
      <c r="M859">
        <v>2799000</v>
      </c>
      <c r="N859" s="19">
        <v>3180909.0909090908</v>
      </c>
      <c r="O859" s="19">
        <v>2589260</v>
      </c>
      <c r="P859" t="str">
        <f t="shared" si="14"/>
        <v>Ninja Heated</v>
      </c>
      <c r="Q859" t="str">
        <f t="shared" si="15"/>
        <v>Airfry</v>
      </c>
    </row>
    <row r="860" spans="1:17" x14ac:dyDescent="0.35">
      <c r="A860" t="str">
        <f>_xlfn.XLOOKUP(B860,Mapping!C:C,Mapping!D:D)</f>
        <v>Naver</v>
      </c>
      <c r="B860" t="s">
        <v>146</v>
      </c>
      <c r="C860" t="s">
        <v>327</v>
      </c>
      <c r="D860" s="3">
        <v>46219</v>
      </c>
      <c r="E860" s="3">
        <v>46220</v>
      </c>
      <c r="F860">
        <v>2</v>
      </c>
      <c r="G860" t="s">
        <v>96</v>
      </c>
      <c r="H860">
        <v>139900</v>
      </c>
      <c r="I860">
        <v>119900</v>
      </c>
      <c r="J860">
        <v>99900</v>
      </c>
      <c r="K860">
        <v>99900</v>
      </c>
      <c r="L860">
        <v>20</v>
      </c>
      <c r="M860">
        <v>1998000</v>
      </c>
      <c r="N860" s="19">
        <v>2543636.3636363633</v>
      </c>
      <c r="O860" s="19">
        <v>2070520</v>
      </c>
      <c r="P860" t="str">
        <f t="shared" si="14"/>
        <v>Shark Floorcare</v>
      </c>
      <c r="Q860" t="str">
        <f t="shared" si="15"/>
        <v>WV</v>
      </c>
    </row>
    <row r="861" spans="1:17" x14ac:dyDescent="0.35">
      <c r="A861" t="str">
        <f>_xlfn.XLOOKUP(B861,Mapping!C:C,Mapping!D:D)</f>
        <v>Naver</v>
      </c>
      <c r="B861" t="s">
        <v>146</v>
      </c>
      <c r="C861" t="s">
        <v>327</v>
      </c>
      <c r="D861" s="3">
        <v>46221</v>
      </c>
      <c r="E861" s="3">
        <v>46222</v>
      </c>
      <c r="F861">
        <v>2</v>
      </c>
      <c r="G861" t="s">
        <v>97</v>
      </c>
      <c r="H861">
        <v>349900</v>
      </c>
      <c r="I861">
        <v>299900</v>
      </c>
      <c r="J861">
        <v>249900</v>
      </c>
      <c r="K861">
        <v>199000</v>
      </c>
      <c r="L861">
        <v>20</v>
      </c>
      <c r="M861">
        <v>3980000</v>
      </c>
      <c r="N861" s="19">
        <v>6361818.1818181816</v>
      </c>
      <c r="O861" s="19">
        <v>5178520</v>
      </c>
      <c r="P861" t="str">
        <f t="shared" si="14"/>
        <v>Ninja Heated</v>
      </c>
      <c r="Q861" t="str">
        <f t="shared" si="15"/>
        <v>Grill</v>
      </c>
    </row>
    <row r="862" spans="1:17" x14ac:dyDescent="0.35">
      <c r="A862" t="str">
        <f>_xlfn.XLOOKUP(B862,Mapping!C:C,Mapping!D:D)</f>
        <v>Naver</v>
      </c>
      <c r="B862" t="s">
        <v>146</v>
      </c>
      <c r="C862" t="s">
        <v>327</v>
      </c>
      <c r="D862" s="3">
        <v>46224</v>
      </c>
      <c r="E862" s="3">
        <v>46225</v>
      </c>
      <c r="F862">
        <v>2</v>
      </c>
      <c r="G862" t="s">
        <v>87</v>
      </c>
      <c r="H862">
        <v>219900</v>
      </c>
      <c r="I862">
        <v>199900</v>
      </c>
      <c r="J862">
        <v>179900</v>
      </c>
      <c r="K862">
        <v>149000</v>
      </c>
      <c r="L862">
        <v>60</v>
      </c>
      <c r="M862">
        <v>8940000</v>
      </c>
      <c r="N862" s="19">
        <v>11994545.454545453</v>
      </c>
      <c r="O862" s="19">
        <v>9763560</v>
      </c>
      <c r="P862" t="str">
        <f t="shared" si="14"/>
        <v>Shark Fan</v>
      </c>
      <c r="Q862" t="str">
        <f t="shared" si="15"/>
        <v>Fan</v>
      </c>
    </row>
    <row r="863" spans="1:17" x14ac:dyDescent="0.35">
      <c r="A863" t="str">
        <f>_xlfn.XLOOKUP(B863,Mapping!C:C,Mapping!D:D)</f>
        <v>Naver</v>
      </c>
      <c r="B863" t="s">
        <v>146</v>
      </c>
      <c r="C863" t="s">
        <v>327</v>
      </c>
      <c r="D863" s="3">
        <v>46225</v>
      </c>
      <c r="E863" s="3">
        <v>46226</v>
      </c>
      <c r="F863">
        <v>2</v>
      </c>
      <c r="G863" t="s">
        <v>86</v>
      </c>
      <c r="H863">
        <v>149900</v>
      </c>
      <c r="I863">
        <v>139900</v>
      </c>
      <c r="J863">
        <v>109900</v>
      </c>
      <c r="K863">
        <v>119000</v>
      </c>
      <c r="L863">
        <v>100</v>
      </c>
      <c r="M863">
        <v>11900000</v>
      </c>
      <c r="N863" s="19">
        <v>13627272.727272727</v>
      </c>
      <c r="O863" s="19">
        <v>11092599.999999998</v>
      </c>
      <c r="P863" t="str">
        <f t="shared" si="14"/>
        <v>Ninja Motorized</v>
      </c>
      <c r="Q863" t="str">
        <f t="shared" si="15"/>
        <v>Portable</v>
      </c>
    </row>
    <row r="864" spans="1:17" x14ac:dyDescent="0.35">
      <c r="A864" t="str">
        <f>_xlfn.XLOOKUP(B864,Mapping!C:C,Mapping!D:D)</f>
        <v>Naver</v>
      </c>
      <c r="B864" t="s">
        <v>146</v>
      </c>
      <c r="C864" t="s">
        <v>327</v>
      </c>
      <c r="D864" s="3">
        <v>46227</v>
      </c>
      <c r="E864" s="3">
        <v>46228</v>
      </c>
      <c r="F864">
        <v>2</v>
      </c>
      <c r="G864" t="s">
        <v>21</v>
      </c>
      <c r="H864">
        <v>449900</v>
      </c>
      <c r="I864">
        <v>379900</v>
      </c>
      <c r="J864">
        <v>349900</v>
      </c>
      <c r="K864">
        <v>379000</v>
      </c>
      <c r="L864">
        <v>20</v>
      </c>
      <c r="M864">
        <v>7580000</v>
      </c>
      <c r="N864" s="19">
        <v>8179999.9999999991</v>
      </c>
      <c r="O864" s="19">
        <v>6658519.9999999991</v>
      </c>
      <c r="P864" t="str">
        <f t="shared" si="14"/>
        <v>Ninja Motorized</v>
      </c>
      <c r="Q864" t="str">
        <f t="shared" si="15"/>
        <v>Slushi</v>
      </c>
    </row>
    <row r="865" spans="1:17" x14ac:dyDescent="0.35">
      <c r="A865" t="str">
        <f>_xlfn.XLOOKUP(B865,Mapping!C:C,Mapping!D:D)</f>
        <v>Naver</v>
      </c>
      <c r="B865" t="s">
        <v>146</v>
      </c>
      <c r="C865" t="s">
        <v>327</v>
      </c>
      <c r="D865" s="3">
        <v>46228</v>
      </c>
      <c r="E865" s="3">
        <v>46229</v>
      </c>
      <c r="F865">
        <v>2</v>
      </c>
      <c r="G865" t="s">
        <v>84</v>
      </c>
      <c r="H865">
        <v>169900</v>
      </c>
      <c r="I865">
        <v>149900</v>
      </c>
      <c r="J865">
        <v>129900</v>
      </c>
      <c r="K865">
        <v>129000</v>
      </c>
      <c r="L865">
        <v>20</v>
      </c>
      <c r="M865">
        <v>2580000</v>
      </c>
      <c r="N865" s="19">
        <v>3089090.9090909087</v>
      </c>
      <c r="O865" s="19">
        <v>2514520</v>
      </c>
      <c r="P865" t="str">
        <f t="shared" si="14"/>
        <v>Ninja Motorized</v>
      </c>
      <c r="Q865" t="str">
        <f t="shared" si="15"/>
        <v>Trad</v>
      </c>
    </row>
    <row r="866" spans="1:17" x14ac:dyDescent="0.35">
      <c r="A866" t="str">
        <f>_xlfn.XLOOKUP(B866,Mapping!C:C,Mapping!D:D)</f>
        <v>Coupang</v>
      </c>
      <c r="B866" t="s">
        <v>14</v>
      </c>
      <c r="C866" t="s">
        <v>15</v>
      </c>
      <c r="D866" s="21">
        <v>46204</v>
      </c>
      <c r="E866" s="21">
        <v>46204</v>
      </c>
      <c r="F866">
        <v>1</v>
      </c>
      <c r="G866" t="s">
        <v>84</v>
      </c>
      <c r="H866" s="22">
        <v>169900</v>
      </c>
      <c r="I866" s="22">
        <v>149900</v>
      </c>
      <c r="J866" s="22">
        <v>129900</v>
      </c>
      <c r="K866" s="22">
        <v>119000</v>
      </c>
      <c r="L866">
        <v>250</v>
      </c>
      <c r="M866" s="23">
        <v>29750000</v>
      </c>
      <c r="N866" s="19">
        <v>26573182</v>
      </c>
      <c r="O866" s="19">
        <v>25244523</v>
      </c>
      <c r="P866" t="str">
        <f t="shared" si="14"/>
        <v>Ninja Motorized</v>
      </c>
      <c r="Q866" t="str">
        <f t="shared" si="15"/>
        <v>Trad</v>
      </c>
    </row>
    <row r="867" spans="1:17" x14ac:dyDescent="0.35">
      <c r="A867" t="str">
        <f>_xlfn.XLOOKUP(B867,Mapping!C:C,Mapping!D:D)</f>
        <v>Coupang</v>
      </c>
      <c r="B867" t="s">
        <v>14</v>
      </c>
      <c r="C867" t="s">
        <v>15</v>
      </c>
      <c r="D867" s="21">
        <v>46204</v>
      </c>
      <c r="E867" s="21">
        <v>46204</v>
      </c>
      <c r="F867">
        <v>1</v>
      </c>
      <c r="G867" t="s">
        <v>88</v>
      </c>
      <c r="H867" s="22">
        <v>599000</v>
      </c>
      <c r="I867" s="22">
        <v>499000</v>
      </c>
      <c r="J867" s="22">
        <v>399900</v>
      </c>
      <c r="K867" s="22">
        <v>389000</v>
      </c>
      <c r="L867">
        <v>150</v>
      </c>
      <c r="M867" s="23">
        <v>58350000</v>
      </c>
      <c r="N867" s="19">
        <v>53075455</v>
      </c>
      <c r="O867" s="19">
        <v>50421682</v>
      </c>
      <c r="P867" t="str">
        <f t="shared" si="14"/>
        <v>Shark Floorcare</v>
      </c>
      <c r="Q867" t="str">
        <f t="shared" si="15"/>
        <v>CS</v>
      </c>
    </row>
    <row r="868" spans="1:17" x14ac:dyDescent="0.35">
      <c r="A868" t="str">
        <f>_xlfn.XLOOKUP(B868,Mapping!C:C,Mapping!D:D)</f>
        <v>Coupang</v>
      </c>
      <c r="B868" t="s">
        <v>14</v>
      </c>
      <c r="C868" t="s">
        <v>15</v>
      </c>
      <c r="D868" s="21">
        <v>46206</v>
      </c>
      <c r="E868" s="21">
        <v>46206</v>
      </c>
      <c r="F868">
        <v>1</v>
      </c>
      <c r="G868" t="s">
        <v>38</v>
      </c>
      <c r="H868" s="22">
        <v>429900</v>
      </c>
      <c r="I868" s="22">
        <v>399900</v>
      </c>
      <c r="J868" s="22">
        <v>349900</v>
      </c>
      <c r="K868" s="22">
        <v>349900</v>
      </c>
      <c r="L868">
        <v>200</v>
      </c>
      <c r="M868" s="23">
        <v>69980000</v>
      </c>
      <c r="N868" s="19">
        <v>60967636</v>
      </c>
      <c r="O868" s="19">
        <v>57919255</v>
      </c>
      <c r="P868" t="str">
        <f t="shared" si="14"/>
        <v>Ninja Heated</v>
      </c>
      <c r="Q868" t="str">
        <f t="shared" si="15"/>
        <v>Grill</v>
      </c>
    </row>
    <row r="869" spans="1:17" x14ac:dyDescent="0.35">
      <c r="A869" t="str">
        <f>_xlfn.XLOOKUP(B869,Mapping!C:C,Mapping!D:D)</f>
        <v>Coupang</v>
      </c>
      <c r="B869" t="s">
        <v>14</v>
      </c>
      <c r="C869" t="s">
        <v>15</v>
      </c>
      <c r="D869" s="21">
        <v>46208</v>
      </c>
      <c r="E869" s="21">
        <v>46208</v>
      </c>
      <c r="F869">
        <v>1</v>
      </c>
      <c r="G869" t="s">
        <v>112</v>
      </c>
      <c r="H869" s="22">
        <v>799000</v>
      </c>
      <c r="I869" s="22">
        <v>599000</v>
      </c>
      <c r="J869" s="22">
        <v>599000</v>
      </c>
      <c r="K869" s="22">
        <v>536530</v>
      </c>
      <c r="L869">
        <v>200</v>
      </c>
      <c r="M869" s="23">
        <v>107306000</v>
      </c>
      <c r="N869" s="19">
        <v>99379636</v>
      </c>
      <c r="O869" s="19">
        <v>94410655</v>
      </c>
      <c r="P869" t="str">
        <f t="shared" si="14"/>
        <v>Shark Floorcare</v>
      </c>
      <c r="Q869" t="str">
        <f t="shared" si="15"/>
        <v>CS</v>
      </c>
    </row>
    <row r="870" spans="1:17" x14ac:dyDescent="0.35">
      <c r="A870" t="str">
        <f>_xlfn.XLOOKUP(B870,Mapping!C:C,Mapping!D:D)</f>
        <v>Coupang</v>
      </c>
      <c r="B870" t="s">
        <v>14</v>
      </c>
      <c r="C870" t="s">
        <v>80</v>
      </c>
      <c r="D870" s="21">
        <v>46209</v>
      </c>
      <c r="E870" s="21">
        <v>46215</v>
      </c>
      <c r="F870">
        <v>7</v>
      </c>
      <c r="G870" t="s">
        <v>104</v>
      </c>
      <c r="H870" s="22">
        <v>799000</v>
      </c>
      <c r="I870" s="22">
        <v>699000</v>
      </c>
      <c r="J870" s="22">
        <v>649000</v>
      </c>
      <c r="K870" s="22">
        <v>579000</v>
      </c>
      <c r="L870">
        <v>200</v>
      </c>
      <c r="M870" s="23">
        <v>115800000</v>
      </c>
      <c r="N870" s="19">
        <v>113312727</v>
      </c>
      <c r="O870" s="19">
        <v>107647091</v>
      </c>
      <c r="P870" t="str">
        <f t="shared" si="14"/>
        <v>Shark Floorcare</v>
      </c>
      <c r="Q870" t="str">
        <f t="shared" si="15"/>
        <v>FW</v>
      </c>
    </row>
    <row r="871" spans="1:17" x14ac:dyDescent="0.35">
      <c r="A871" t="str">
        <f>_xlfn.XLOOKUP(B871,Mapping!C:C,Mapping!D:D)</f>
        <v>Coupang</v>
      </c>
      <c r="B871" t="s">
        <v>14</v>
      </c>
      <c r="C871" t="s">
        <v>80</v>
      </c>
      <c r="D871" s="21">
        <v>46209</v>
      </c>
      <c r="E871" s="21">
        <v>46215</v>
      </c>
      <c r="F871">
        <v>7</v>
      </c>
      <c r="G871" t="s">
        <v>86</v>
      </c>
      <c r="H871" s="22">
        <v>149900</v>
      </c>
      <c r="I871" s="22">
        <v>139900</v>
      </c>
      <c r="J871" s="22">
        <v>109900</v>
      </c>
      <c r="K871" s="22">
        <v>49900</v>
      </c>
      <c r="L871" s="22">
        <v>2000</v>
      </c>
      <c r="M871" s="23">
        <v>99800000</v>
      </c>
      <c r="N871" s="19">
        <v>198403636</v>
      </c>
      <c r="O871" s="19">
        <v>188483455</v>
      </c>
      <c r="P871" t="str">
        <f t="shared" si="14"/>
        <v>Ninja Motorized</v>
      </c>
      <c r="Q871" t="str">
        <f t="shared" si="15"/>
        <v>Portable</v>
      </c>
    </row>
    <row r="872" spans="1:17" x14ac:dyDescent="0.35">
      <c r="A872" t="str">
        <f>_xlfn.XLOOKUP(B872,Mapping!C:C,Mapping!D:D)</f>
        <v>Coupang</v>
      </c>
      <c r="B872" t="s">
        <v>14</v>
      </c>
      <c r="C872" t="s">
        <v>80</v>
      </c>
      <c r="D872" s="21">
        <v>46209</v>
      </c>
      <c r="E872" s="21">
        <v>46215</v>
      </c>
      <c r="F872">
        <v>7</v>
      </c>
      <c r="G872" t="s">
        <v>87</v>
      </c>
      <c r="H872" s="22">
        <v>219900</v>
      </c>
      <c r="I872" s="22">
        <v>199900</v>
      </c>
      <c r="J872" s="22">
        <v>179900</v>
      </c>
      <c r="K872" s="22">
        <v>279000</v>
      </c>
      <c r="L872" s="22">
        <v>1000</v>
      </c>
      <c r="M872" s="23">
        <v>279000000</v>
      </c>
      <c r="N872" s="19">
        <v>155929091</v>
      </c>
      <c r="O872" s="19">
        <v>148132636</v>
      </c>
      <c r="P872" t="str">
        <f t="shared" si="14"/>
        <v>Shark Fan</v>
      </c>
      <c r="Q872" t="str">
        <f t="shared" si="15"/>
        <v>Fan</v>
      </c>
    </row>
    <row r="873" spans="1:17" x14ac:dyDescent="0.35">
      <c r="A873" t="str">
        <f>_xlfn.XLOOKUP(B873,Mapping!C:C,Mapping!D:D)</f>
        <v>Coupang</v>
      </c>
      <c r="B873" t="s">
        <v>14</v>
      </c>
      <c r="C873" t="s">
        <v>80</v>
      </c>
      <c r="D873" s="21">
        <v>46209</v>
      </c>
      <c r="E873" s="21">
        <v>46215</v>
      </c>
      <c r="F873">
        <v>7</v>
      </c>
      <c r="G873" t="s">
        <v>88</v>
      </c>
      <c r="H873" s="22">
        <v>599000</v>
      </c>
      <c r="I873" s="22">
        <v>499000</v>
      </c>
      <c r="J873" s="22">
        <v>399900</v>
      </c>
      <c r="K873" s="22">
        <v>219000</v>
      </c>
      <c r="L873">
        <v>300</v>
      </c>
      <c r="M873" s="23">
        <v>65700000</v>
      </c>
      <c r="N873" s="19">
        <v>106150909</v>
      </c>
      <c r="O873" s="19">
        <v>100843364</v>
      </c>
      <c r="P873" t="str">
        <f t="shared" si="14"/>
        <v>Shark Floorcare</v>
      </c>
      <c r="Q873" t="str">
        <f t="shared" si="15"/>
        <v>CS</v>
      </c>
    </row>
    <row r="874" spans="1:17" x14ac:dyDescent="0.35">
      <c r="A874" t="str">
        <f>_xlfn.XLOOKUP(B874,Mapping!C:C,Mapping!D:D)</f>
        <v>Coupang</v>
      </c>
      <c r="B874" t="s">
        <v>14</v>
      </c>
      <c r="C874" t="s">
        <v>80</v>
      </c>
      <c r="D874" s="21">
        <v>46209</v>
      </c>
      <c r="E874" s="21">
        <v>46215</v>
      </c>
      <c r="F874">
        <v>7</v>
      </c>
      <c r="G874" t="s">
        <v>84</v>
      </c>
      <c r="H874" s="22">
        <v>169900</v>
      </c>
      <c r="I874" s="22">
        <v>149900</v>
      </c>
      <c r="J874" s="22">
        <v>129900</v>
      </c>
      <c r="K874" s="22">
        <v>119000</v>
      </c>
      <c r="L874">
        <v>400</v>
      </c>
      <c r="M874" s="23">
        <v>47600000</v>
      </c>
      <c r="N874" s="19">
        <v>42517091</v>
      </c>
      <c r="O874" s="19">
        <v>40391236</v>
      </c>
      <c r="P874" t="str">
        <f t="shared" si="14"/>
        <v>Ninja Motorized</v>
      </c>
      <c r="Q874" t="str">
        <f t="shared" si="15"/>
        <v>Trad</v>
      </c>
    </row>
    <row r="875" spans="1:17" x14ac:dyDescent="0.35">
      <c r="A875" t="str">
        <f>_xlfn.XLOOKUP(B875,Mapping!C:C,Mapping!D:D)</f>
        <v>Coupang</v>
      </c>
      <c r="B875" t="s">
        <v>14</v>
      </c>
      <c r="C875" t="s">
        <v>80</v>
      </c>
      <c r="D875" s="21">
        <v>46209</v>
      </c>
      <c r="E875" s="21">
        <v>46215</v>
      </c>
      <c r="F875">
        <v>7</v>
      </c>
      <c r="G875" t="s">
        <v>76</v>
      </c>
      <c r="K875" s="22">
        <v>76900</v>
      </c>
      <c r="L875">
        <v>300</v>
      </c>
      <c r="M875" s="23">
        <v>23070000</v>
      </c>
      <c r="N875" s="19">
        <v>0</v>
      </c>
      <c r="O875" s="19">
        <v>0</v>
      </c>
      <c r="P875" t="str">
        <f t="shared" si="14"/>
        <v>Ninja Heated</v>
      </c>
      <c r="Q875" t="str">
        <f t="shared" si="15"/>
        <v>Crispi</v>
      </c>
    </row>
    <row r="876" spans="1:17" x14ac:dyDescent="0.35">
      <c r="A876" t="str">
        <f>_xlfn.XLOOKUP(B876,Mapping!C:C,Mapping!D:D)</f>
        <v>Coupang</v>
      </c>
      <c r="B876" t="s">
        <v>14</v>
      </c>
      <c r="C876" t="s">
        <v>80</v>
      </c>
      <c r="D876" s="21">
        <v>46209</v>
      </c>
      <c r="E876" s="21">
        <v>46215</v>
      </c>
      <c r="F876">
        <v>7</v>
      </c>
      <c r="G876" t="s">
        <v>37</v>
      </c>
      <c r="H876" s="22">
        <v>229900</v>
      </c>
      <c r="I876" s="22">
        <v>199900</v>
      </c>
      <c r="J876" s="22">
        <v>179900</v>
      </c>
      <c r="K876" s="22">
        <v>149000</v>
      </c>
      <c r="L876">
        <v>100</v>
      </c>
      <c r="M876" s="23">
        <v>14900000</v>
      </c>
      <c r="N876" s="19">
        <v>16302000</v>
      </c>
      <c r="O876" s="19">
        <v>15486900</v>
      </c>
      <c r="P876" t="str">
        <f t="shared" si="14"/>
        <v>Ninja Heated</v>
      </c>
      <c r="Q876" t="str">
        <f t="shared" si="15"/>
        <v>Airfry</v>
      </c>
    </row>
    <row r="877" spans="1:17" x14ac:dyDescent="0.35">
      <c r="A877" t="str">
        <f>_xlfn.XLOOKUP(B877,Mapping!C:C,Mapping!D:D)</f>
        <v>Coupang</v>
      </c>
      <c r="B877" t="s">
        <v>14</v>
      </c>
      <c r="C877" t="s">
        <v>80</v>
      </c>
      <c r="D877" s="21">
        <v>46209</v>
      </c>
      <c r="E877" s="21">
        <v>46215</v>
      </c>
      <c r="F877">
        <v>7</v>
      </c>
      <c r="G877" t="s">
        <v>39</v>
      </c>
      <c r="H877" s="22">
        <v>249900</v>
      </c>
      <c r="I877" s="22">
        <v>199900</v>
      </c>
      <c r="J877" s="22">
        <v>189900</v>
      </c>
      <c r="K877" s="22">
        <v>99000</v>
      </c>
      <c r="L877">
        <v>300</v>
      </c>
      <c r="M877" s="23">
        <v>29700000</v>
      </c>
      <c r="N877" s="19">
        <v>42524182</v>
      </c>
      <c r="O877" s="19">
        <v>40397973</v>
      </c>
      <c r="P877" t="str">
        <f t="shared" si="14"/>
        <v>Ninja Motorized</v>
      </c>
      <c r="Q877" t="str">
        <f t="shared" si="15"/>
        <v>Trad</v>
      </c>
    </row>
    <row r="878" spans="1:17" x14ac:dyDescent="0.35">
      <c r="A878" t="str">
        <f>_xlfn.XLOOKUP(B878,Mapping!C:C,Mapping!D:D)</f>
        <v>Coupang</v>
      </c>
      <c r="B878" t="s">
        <v>14</v>
      </c>
      <c r="C878" t="s">
        <v>80</v>
      </c>
      <c r="D878" s="21">
        <v>46209</v>
      </c>
      <c r="E878" s="21">
        <v>46215</v>
      </c>
      <c r="F878">
        <v>7</v>
      </c>
      <c r="G878" t="s">
        <v>69</v>
      </c>
      <c r="H878" s="22">
        <v>219900</v>
      </c>
      <c r="I878" s="22">
        <v>219900</v>
      </c>
      <c r="J878" s="22">
        <v>199900</v>
      </c>
      <c r="K878" s="22">
        <v>389000</v>
      </c>
      <c r="L878">
        <v>150</v>
      </c>
      <c r="M878" s="23">
        <v>58350000</v>
      </c>
      <c r="N878" s="19">
        <v>31898455</v>
      </c>
      <c r="O878" s="19">
        <v>30303532</v>
      </c>
      <c r="P878" t="str">
        <f t="shared" si="14"/>
        <v>Ninja Motorized</v>
      </c>
      <c r="Q878" t="str">
        <f t="shared" si="15"/>
        <v>Trad</v>
      </c>
    </row>
    <row r="879" spans="1:17" x14ac:dyDescent="0.35">
      <c r="A879" t="str">
        <f>_xlfn.XLOOKUP(B879,Mapping!C:C,Mapping!D:D)</f>
        <v>Coupang</v>
      </c>
      <c r="B879" t="s">
        <v>14</v>
      </c>
      <c r="C879" t="s">
        <v>80</v>
      </c>
      <c r="D879" s="21">
        <v>46209</v>
      </c>
      <c r="E879" s="21">
        <v>46215</v>
      </c>
      <c r="F879">
        <v>7</v>
      </c>
      <c r="G879" t="s">
        <v>112</v>
      </c>
      <c r="H879" s="22">
        <v>799000</v>
      </c>
      <c r="I879" s="22">
        <v>599000</v>
      </c>
      <c r="J879" s="22">
        <v>599000</v>
      </c>
      <c r="K879" s="22">
        <v>119000</v>
      </c>
      <c r="L879">
        <v>350</v>
      </c>
      <c r="M879" s="23">
        <v>41650000</v>
      </c>
      <c r="N879" s="19">
        <v>173914364</v>
      </c>
      <c r="O879" s="19">
        <v>165218645</v>
      </c>
      <c r="P879" t="str">
        <f t="shared" si="14"/>
        <v>Shark Floorcare</v>
      </c>
      <c r="Q879" t="str">
        <f t="shared" si="15"/>
        <v>CS</v>
      </c>
    </row>
    <row r="880" spans="1:17" x14ac:dyDescent="0.35">
      <c r="A880" t="str">
        <f>_xlfn.XLOOKUP(B880,Mapping!C:C,Mapping!D:D)</f>
        <v>Coupang</v>
      </c>
      <c r="B880" t="s">
        <v>14</v>
      </c>
      <c r="C880" t="s">
        <v>80</v>
      </c>
      <c r="D880" s="21">
        <v>46216</v>
      </c>
      <c r="E880" s="21">
        <v>46222</v>
      </c>
      <c r="F880"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579000</v>
      </c>
      <c r="L880">
        <v>250</v>
      </c>
      <c r="M880" s="23">
        <v>144750000</v>
      </c>
      <c r="N880" s="19">
        <v>141640909</v>
      </c>
      <c r="O880" s="19">
        <v>134558864</v>
      </c>
      <c r="P880" t="str">
        <f t="shared" si="14"/>
        <v>Shark Floorcare</v>
      </c>
      <c r="Q880" t="str">
        <f t="shared" si="15"/>
        <v>FW</v>
      </c>
    </row>
    <row r="881" spans="1:17" x14ac:dyDescent="0.35">
      <c r="A881" t="str">
        <f>_xlfn.XLOOKUP(B881,Mapping!C:C,Mapping!D:D)</f>
        <v>Coupang</v>
      </c>
      <c r="B881" t="s">
        <v>14</v>
      </c>
      <c r="C881" t="s">
        <v>80</v>
      </c>
      <c r="D881" s="21">
        <v>46216</v>
      </c>
      <c r="E881" s="21">
        <v>46222</v>
      </c>
      <c r="F881">
        <v>7</v>
      </c>
      <c r="G881" t="s">
        <v>106</v>
      </c>
      <c r="H881" s="22">
        <v>399900</v>
      </c>
      <c r="I881" s="22">
        <v>349900</v>
      </c>
      <c r="J881" s="22">
        <v>299900</v>
      </c>
      <c r="K881" s="22">
        <v>259000</v>
      </c>
      <c r="L881">
        <v>300</v>
      </c>
      <c r="M881" s="23">
        <v>77700000</v>
      </c>
      <c r="N881" s="19">
        <v>74433273</v>
      </c>
      <c r="O881" s="19">
        <v>70711609</v>
      </c>
      <c r="P881" t="str">
        <f t="shared" si="14"/>
        <v>Ninja Heated</v>
      </c>
      <c r="Q881" t="str">
        <f t="shared" si="15"/>
        <v>Combi</v>
      </c>
    </row>
    <row r="882" spans="1:17" x14ac:dyDescent="0.35">
      <c r="A882" t="str">
        <f>_xlfn.XLOOKUP(B882,Mapping!C:C,Mapping!D:D)</f>
        <v>Coupang</v>
      </c>
      <c r="B882" t="s">
        <v>14</v>
      </c>
      <c r="C882" t="s">
        <v>80</v>
      </c>
      <c r="D882" s="21">
        <v>46216</v>
      </c>
      <c r="E882" s="21">
        <v>46222</v>
      </c>
      <c r="F882">
        <v>7</v>
      </c>
      <c r="G882" t="s">
        <v>108</v>
      </c>
      <c r="H882" s="22">
        <v>199900</v>
      </c>
      <c r="I882" s="22">
        <v>179900</v>
      </c>
      <c r="J882" s="22">
        <v>169900</v>
      </c>
      <c r="K882" s="22">
        <v>159000</v>
      </c>
      <c r="L882">
        <v>300</v>
      </c>
      <c r="M882" s="23">
        <v>47700000</v>
      </c>
      <c r="N882" s="19">
        <v>38269636</v>
      </c>
      <c r="O882" s="19">
        <v>36356155</v>
      </c>
      <c r="P882" t="str">
        <f t="shared" ref="P882:P892" si="16">_xlfn.XLOOKUP(G882,$G$2:$G$529,$P$2:$P$529,"Not Found")</f>
        <v>Shark Floorcare</v>
      </c>
      <c r="Q882" t="str">
        <f t="shared" ref="Q882:Q892" si="17">_xlfn.XLOOKUP(G882,$G$2:$G$529,$Q$2:$Q$529,"Not Found")</f>
        <v>WV</v>
      </c>
    </row>
    <row r="883" spans="1:17" x14ac:dyDescent="0.35">
      <c r="A883" t="str">
        <f>_xlfn.XLOOKUP(B883,Mapping!C:C,Mapping!D:D)</f>
        <v>Coupang</v>
      </c>
      <c r="B883" t="s">
        <v>14</v>
      </c>
      <c r="C883" t="s">
        <v>80</v>
      </c>
      <c r="D883" s="21">
        <v>46216</v>
      </c>
      <c r="E883" s="21">
        <v>46222</v>
      </c>
      <c r="F883">
        <v>7</v>
      </c>
      <c r="G883" t="s">
        <v>105</v>
      </c>
      <c r="H883" s="22">
        <v>299900</v>
      </c>
      <c r="I883" s="22">
        <v>269900</v>
      </c>
      <c r="J883" s="22">
        <v>249900</v>
      </c>
      <c r="K883" s="22">
        <v>229000</v>
      </c>
      <c r="L883">
        <v>300</v>
      </c>
      <c r="M883" s="23">
        <v>68700000</v>
      </c>
      <c r="N883" s="19">
        <v>57415091</v>
      </c>
      <c r="O883" s="19">
        <v>54544336</v>
      </c>
      <c r="P883" t="str">
        <f t="shared" si="16"/>
        <v>Ninja Motorized</v>
      </c>
      <c r="Q883" t="str">
        <f t="shared" si="17"/>
        <v>Kitchen</v>
      </c>
    </row>
    <row r="884" spans="1:17" x14ac:dyDescent="0.35">
      <c r="A884" t="str">
        <f>_xlfn.XLOOKUP(B884,Mapping!C:C,Mapping!D:D)</f>
        <v>Coupang</v>
      </c>
      <c r="B884" t="s">
        <v>14</v>
      </c>
      <c r="C884" t="s">
        <v>80</v>
      </c>
      <c r="D884" s="21">
        <v>46216</v>
      </c>
      <c r="E884" s="21">
        <v>46222</v>
      </c>
      <c r="F884">
        <v>7</v>
      </c>
      <c r="G884" t="s">
        <v>109</v>
      </c>
      <c r="H884" s="22">
        <v>249900</v>
      </c>
      <c r="I884" s="22">
        <v>219900</v>
      </c>
      <c r="J884" s="22">
        <v>199900</v>
      </c>
      <c r="K884" s="22">
        <v>179000</v>
      </c>
      <c r="L884" s="22">
        <v>1500</v>
      </c>
      <c r="M884" s="23">
        <v>268500000</v>
      </c>
      <c r="N884" s="19">
        <v>265802727</v>
      </c>
      <c r="O884" s="19">
        <v>252512591</v>
      </c>
      <c r="P884" t="str">
        <f t="shared" si="16"/>
        <v>Shark Fan</v>
      </c>
      <c r="Q884" t="str">
        <f t="shared" si="17"/>
        <v>Fan</v>
      </c>
    </row>
    <row r="885" spans="1:17" x14ac:dyDescent="0.35">
      <c r="A885" t="str">
        <f>_xlfn.XLOOKUP(B885,Mapping!C:C,Mapping!D:D)</f>
        <v>Coupang</v>
      </c>
      <c r="B885" t="s">
        <v>14</v>
      </c>
      <c r="C885" t="s">
        <v>80</v>
      </c>
      <c r="D885" s="21">
        <v>46216</v>
      </c>
      <c r="E885" s="21">
        <v>46222</v>
      </c>
      <c r="F885">
        <v>7</v>
      </c>
      <c r="G885" t="s">
        <v>92</v>
      </c>
      <c r="H885" s="22">
        <v>119900</v>
      </c>
      <c r="I885" s="22">
        <v>99900</v>
      </c>
      <c r="J885" s="22">
        <v>84900</v>
      </c>
      <c r="K885" s="22">
        <v>76900</v>
      </c>
      <c r="L885" s="22">
        <v>3000</v>
      </c>
      <c r="M885" s="23">
        <v>230700000</v>
      </c>
      <c r="N885" s="19">
        <v>212514545</v>
      </c>
      <c r="O885" s="19">
        <v>201888818</v>
      </c>
      <c r="P885" t="str">
        <f t="shared" si="16"/>
        <v>Ninja Motorized</v>
      </c>
      <c r="Q885" t="str">
        <f t="shared" si="17"/>
        <v>Portable</v>
      </c>
    </row>
    <row r="886" spans="1:17" x14ac:dyDescent="0.35">
      <c r="A886" t="str">
        <f>_xlfn.XLOOKUP(B886,Mapping!C:C,Mapping!D:D)</f>
        <v>Coupang</v>
      </c>
      <c r="B886" t="s">
        <v>14</v>
      </c>
      <c r="C886" t="s">
        <v>80</v>
      </c>
      <c r="D886" s="21">
        <v>46216</v>
      </c>
      <c r="E886" s="21">
        <v>46222</v>
      </c>
      <c r="F886">
        <v>7</v>
      </c>
      <c r="G886" t="s">
        <v>96</v>
      </c>
      <c r="H886" s="22">
        <v>139900</v>
      </c>
      <c r="I886" s="22">
        <v>119900</v>
      </c>
      <c r="J886" s="22">
        <v>99900</v>
      </c>
      <c r="K886" s="22">
        <v>99000</v>
      </c>
      <c r="L886" s="22">
        <v>1000</v>
      </c>
      <c r="M886" s="23">
        <v>99000000</v>
      </c>
      <c r="N886" s="19">
        <v>85020000</v>
      </c>
      <c r="O886" s="19">
        <v>80769000</v>
      </c>
      <c r="P886" t="str">
        <f t="shared" si="16"/>
        <v>Shark Floorcare</v>
      </c>
      <c r="Q886" t="str">
        <f t="shared" si="17"/>
        <v>WV</v>
      </c>
    </row>
    <row r="887" spans="1:17" x14ac:dyDescent="0.35">
      <c r="A887" t="str">
        <f>_xlfn.XLOOKUP(B887,Mapping!C:C,Mapping!D:D)</f>
        <v>Coupang</v>
      </c>
      <c r="B887" t="s">
        <v>14</v>
      </c>
      <c r="C887" t="s">
        <v>15</v>
      </c>
      <c r="D887" s="21">
        <v>46217</v>
      </c>
      <c r="E887" s="21">
        <v>46217</v>
      </c>
      <c r="F887">
        <v>1</v>
      </c>
      <c r="G887" t="s">
        <v>96</v>
      </c>
      <c r="H887" s="22">
        <v>139900</v>
      </c>
      <c r="I887" s="22">
        <v>119900</v>
      </c>
      <c r="J887" s="22">
        <v>99900</v>
      </c>
      <c r="K887" s="22">
        <v>99000</v>
      </c>
      <c r="L887">
        <v>200</v>
      </c>
      <c r="M887" s="23">
        <v>19800000</v>
      </c>
      <c r="N887" s="19">
        <v>17004000</v>
      </c>
      <c r="O887" s="19">
        <v>16153800</v>
      </c>
      <c r="P887" t="str">
        <f t="shared" si="16"/>
        <v>Shark Floorcare</v>
      </c>
      <c r="Q887" t="str">
        <f t="shared" si="17"/>
        <v>WV</v>
      </c>
    </row>
    <row r="888" spans="1:17" x14ac:dyDescent="0.35">
      <c r="A888" t="str">
        <f>_xlfn.XLOOKUP(B888,Mapping!C:C,Mapping!D:D)</f>
        <v>Coupang</v>
      </c>
      <c r="B888" t="s">
        <v>14</v>
      </c>
      <c r="C888" t="s">
        <v>15</v>
      </c>
      <c r="D888" s="21">
        <v>46218</v>
      </c>
      <c r="E888" s="21">
        <v>46217</v>
      </c>
      <c r="F888">
        <v>0</v>
      </c>
      <c r="G888" t="s">
        <v>87</v>
      </c>
      <c r="H888" s="22">
        <v>219900</v>
      </c>
      <c r="I888" s="22">
        <v>199900</v>
      </c>
      <c r="J888" s="22">
        <v>179900</v>
      </c>
      <c r="K888" s="22">
        <v>109000</v>
      </c>
      <c r="L888">
        <v>200</v>
      </c>
      <c r="M888" s="23">
        <v>21800000</v>
      </c>
      <c r="N888" s="19">
        <v>31185818</v>
      </c>
      <c r="O888" s="19">
        <v>29626527</v>
      </c>
      <c r="P888" t="str">
        <f t="shared" si="16"/>
        <v>Shark Fan</v>
      </c>
      <c r="Q888" t="str">
        <f t="shared" si="17"/>
        <v>Fan</v>
      </c>
    </row>
    <row r="889" spans="1:17" x14ac:dyDescent="0.35">
      <c r="A889" t="str">
        <f>_xlfn.XLOOKUP(B889,Mapping!C:C,Mapping!D:D)</f>
        <v>Coupang</v>
      </c>
      <c r="B889" t="s">
        <v>14</v>
      </c>
      <c r="C889" t="s">
        <v>15</v>
      </c>
      <c r="D889" s="21">
        <v>46219</v>
      </c>
      <c r="E889" s="21">
        <v>46219</v>
      </c>
      <c r="F889">
        <v>1</v>
      </c>
      <c r="G889" t="s">
        <v>76</v>
      </c>
      <c r="K889" s="22">
        <v>169000</v>
      </c>
      <c r="L889">
        <v>250</v>
      </c>
      <c r="M889" s="23">
        <v>42250000</v>
      </c>
      <c r="N889" s="19">
        <v>0</v>
      </c>
      <c r="O889" s="19">
        <v>0</v>
      </c>
      <c r="P889" t="str">
        <f t="shared" si="16"/>
        <v>Ninja Heated</v>
      </c>
      <c r="Q889" t="str">
        <f t="shared" si="17"/>
        <v>Crispi</v>
      </c>
    </row>
    <row r="890" spans="1:17" x14ac:dyDescent="0.35">
      <c r="A890" t="str">
        <f>_xlfn.XLOOKUP(B890,Mapping!C:C,Mapping!D:D)</f>
        <v>Coupang</v>
      </c>
      <c r="B890" t="s">
        <v>14</v>
      </c>
      <c r="C890" t="s">
        <v>15</v>
      </c>
      <c r="D890" s="21">
        <v>46228</v>
      </c>
      <c r="E890" s="21">
        <v>46228</v>
      </c>
      <c r="F890">
        <v>1</v>
      </c>
      <c r="G890" t="s">
        <v>104</v>
      </c>
      <c r="H890" s="22">
        <v>799000</v>
      </c>
      <c r="I890" s="22">
        <v>699000</v>
      </c>
      <c r="J890" s="22">
        <v>649000</v>
      </c>
      <c r="K890" s="22">
        <v>599000</v>
      </c>
      <c r="L890">
        <v>100</v>
      </c>
      <c r="M890" s="23">
        <v>59900000</v>
      </c>
      <c r="N890" s="19">
        <v>56656364</v>
      </c>
      <c r="O890" s="19">
        <v>53823545</v>
      </c>
      <c r="P890" t="str">
        <f t="shared" si="16"/>
        <v>Shark Floorcare</v>
      </c>
      <c r="Q890" t="str">
        <f t="shared" si="17"/>
        <v>FW</v>
      </c>
    </row>
    <row r="891" spans="1:17" x14ac:dyDescent="0.35">
      <c r="A891" t="str">
        <f>_xlfn.XLOOKUP(B891,Mapping!C:C,Mapping!D:D)</f>
        <v>Coupang</v>
      </c>
      <c r="B891" t="s">
        <v>14</v>
      </c>
      <c r="C891" t="s">
        <v>15</v>
      </c>
      <c r="D891" s="21">
        <v>46234</v>
      </c>
      <c r="E891" s="21">
        <v>46234</v>
      </c>
      <c r="F891">
        <v>1</v>
      </c>
      <c r="G891" t="s">
        <v>26</v>
      </c>
      <c r="H891" s="22">
        <v>899000</v>
      </c>
      <c r="I891" s="22">
        <v>849000</v>
      </c>
      <c r="J891" s="22">
        <v>799000</v>
      </c>
      <c r="K891" s="22">
        <v>759000</v>
      </c>
      <c r="L891">
        <v>200</v>
      </c>
      <c r="M891" s="23">
        <v>151800000</v>
      </c>
      <c r="N891" s="19">
        <v>127494545</v>
      </c>
      <c r="O891" s="19">
        <v>121119818</v>
      </c>
      <c r="P891" t="str">
        <f t="shared" si="16"/>
        <v>Shark Floorcare</v>
      </c>
      <c r="Q891" t="str">
        <f t="shared" si="17"/>
        <v>FW</v>
      </c>
    </row>
    <row r="892" spans="1:17" x14ac:dyDescent="0.35">
      <c r="A892" t="str">
        <f>_xlfn.XLOOKUP(B892,Mapping!C:C,Mapping!D:D)</f>
        <v>Coupang</v>
      </c>
      <c r="B892" t="s">
        <v>14</v>
      </c>
      <c r="C892" t="s">
        <v>15</v>
      </c>
      <c r="D892" s="21">
        <v>46231</v>
      </c>
      <c r="E892" s="21">
        <v>46231</v>
      </c>
      <c r="F892">
        <v>1</v>
      </c>
      <c r="G892" t="s">
        <v>112</v>
      </c>
      <c r="H892" s="22">
        <v>799000</v>
      </c>
      <c r="I892" s="22">
        <v>599000</v>
      </c>
      <c r="J892" s="22">
        <v>599000</v>
      </c>
      <c r="K892" s="22">
        <v>559000</v>
      </c>
      <c r="L892">
        <v>100</v>
      </c>
      <c r="M892" s="23">
        <v>55900000</v>
      </c>
      <c r="N892" s="19">
        <v>49689818</v>
      </c>
      <c r="O892" s="19">
        <v>47205327</v>
      </c>
      <c r="P892" t="str">
        <f t="shared" si="16"/>
        <v>Shark Floorcare</v>
      </c>
      <c r="Q892" t="str">
        <f t="shared" si="17"/>
        <v>CS</v>
      </c>
    </row>
    <row r="893" spans="1:17" x14ac:dyDescent="0.35">
      <c r="A893" t="str">
        <f>_xlfn.XLOOKUP(B893,Mapping!C:C,Mapping!D:D)</f>
        <v>other Online malls</v>
      </c>
      <c r="B893" t="s">
        <v>294</v>
      </c>
      <c r="C893" t="s">
        <v>328</v>
      </c>
      <c r="D893" s="21">
        <v>46223</v>
      </c>
      <c r="E893" s="21">
        <v>46229</v>
      </c>
      <c r="F893">
        <v>7</v>
      </c>
      <c r="G893" t="s">
        <v>87</v>
      </c>
      <c r="H893" s="22">
        <v>219900</v>
      </c>
      <c r="I893" s="22">
        <v>199900</v>
      </c>
      <c r="J893" s="22">
        <v>179900</v>
      </c>
      <c r="K893" s="22">
        <v>149900</v>
      </c>
      <c r="L893">
        <v>4</v>
      </c>
      <c r="M893" s="22">
        <v>599600</v>
      </c>
      <c r="N893" s="19">
        <v>545091</v>
      </c>
      <c r="O893" s="19">
        <v>545091</v>
      </c>
      <c r="P893" t="str">
        <f t="shared" ref="P893:P956" si="18">_xlfn.XLOOKUP(G893,$G$2:$G$529,$P$2:$P$529,"Not Found")</f>
        <v>Shark Fan</v>
      </c>
      <c r="Q893" t="str">
        <f t="shared" ref="Q893:Q956" si="19">_xlfn.XLOOKUP(G893,$G$2:$G$529,$Q$2:$Q$529,"Not Found")</f>
        <v>Fan</v>
      </c>
    </row>
    <row r="894" spans="1:17" x14ac:dyDescent="0.35">
      <c r="A894" t="str">
        <f>_xlfn.XLOOKUP(B894,Mapping!C:C,Mapping!D:D)</f>
        <v>other Online malls</v>
      </c>
      <c r="B894" t="s">
        <v>294</v>
      </c>
      <c r="C894" t="s">
        <v>328</v>
      </c>
      <c r="D894" s="21">
        <v>46223</v>
      </c>
      <c r="E894" s="21">
        <v>46229</v>
      </c>
      <c r="F894">
        <v>7</v>
      </c>
      <c r="G894" t="s">
        <v>99</v>
      </c>
      <c r="H894" s="22">
        <v>219900</v>
      </c>
      <c r="I894" s="22">
        <v>199900</v>
      </c>
      <c r="J894" s="22">
        <v>179900</v>
      </c>
      <c r="K894" s="22">
        <v>149900</v>
      </c>
      <c r="L894">
        <v>5</v>
      </c>
      <c r="M894" s="22">
        <v>749500</v>
      </c>
      <c r="N894" s="19">
        <v>681364</v>
      </c>
      <c r="O894" s="19">
        <v>681364</v>
      </c>
      <c r="P894" t="str">
        <f t="shared" si="18"/>
        <v>Shark Fan</v>
      </c>
      <c r="Q894" t="str">
        <f t="shared" si="19"/>
        <v>Fan</v>
      </c>
    </row>
    <row r="895" spans="1:17" x14ac:dyDescent="0.35">
      <c r="A895" t="str">
        <f>_xlfn.XLOOKUP(B895,Mapping!C:C,Mapping!D:D)</f>
        <v>other Online malls</v>
      </c>
      <c r="B895" t="s">
        <v>294</v>
      </c>
      <c r="C895" t="s">
        <v>328</v>
      </c>
      <c r="D895" s="21">
        <v>46223</v>
      </c>
      <c r="E895" s="21">
        <v>46229</v>
      </c>
      <c r="F895">
        <v>7</v>
      </c>
      <c r="G895" t="s">
        <v>91</v>
      </c>
      <c r="H895" s="22">
        <v>219900</v>
      </c>
      <c r="I895" s="22">
        <v>199900</v>
      </c>
      <c r="J895" s="22">
        <v>179900</v>
      </c>
      <c r="K895" s="22">
        <v>149900</v>
      </c>
      <c r="L895">
        <v>6</v>
      </c>
      <c r="M895" s="22">
        <v>899400</v>
      </c>
      <c r="N895" s="19">
        <v>817636</v>
      </c>
      <c r="O895" s="19">
        <v>817636</v>
      </c>
      <c r="P895" t="str">
        <f t="shared" si="18"/>
        <v>Shark Fan</v>
      </c>
      <c r="Q895" t="str">
        <f t="shared" si="19"/>
        <v>Fan</v>
      </c>
    </row>
    <row r="896" spans="1:17" x14ac:dyDescent="0.35">
      <c r="A896" t="str">
        <f>_xlfn.XLOOKUP(B896,Mapping!C:C,Mapping!D:D)</f>
        <v>other Online malls</v>
      </c>
      <c r="B896" t="s">
        <v>294</v>
      </c>
      <c r="C896" t="s">
        <v>328</v>
      </c>
      <c r="D896" s="21">
        <v>46223</v>
      </c>
      <c r="E896" s="21">
        <v>46229</v>
      </c>
      <c r="F896">
        <v>7</v>
      </c>
      <c r="G896" t="s">
        <v>290</v>
      </c>
      <c r="H896" s="22">
        <v>249900</v>
      </c>
      <c r="I896" s="22">
        <v>219900</v>
      </c>
      <c r="J896" s="22">
        <v>199900</v>
      </c>
      <c r="K896" s="22">
        <v>179900</v>
      </c>
      <c r="L896">
        <v>7</v>
      </c>
      <c r="M896" s="22">
        <v>1259300</v>
      </c>
      <c r="N896" s="19">
        <v>1144818</v>
      </c>
      <c r="O896" s="19">
        <v>1144818</v>
      </c>
      <c r="P896" t="str">
        <f t="shared" si="18"/>
        <v>Not Found</v>
      </c>
      <c r="Q896" t="str">
        <f t="shared" si="19"/>
        <v>Not Found</v>
      </c>
    </row>
    <row r="897" spans="1:17" x14ac:dyDescent="0.35">
      <c r="A897" t="str">
        <f>_xlfn.XLOOKUP(B897,Mapping!C:C,Mapping!D:D)</f>
        <v>other Online malls</v>
      </c>
      <c r="B897" t="s">
        <v>294</v>
      </c>
      <c r="C897" t="s">
        <v>328</v>
      </c>
      <c r="D897" s="21">
        <v>46223</v>
      </c>
      <c r="E897" s="21">
        <v>46229</v>
      </c>
      <c r="F897">
        <v>7</v>
      </c>
      <c r="G897" t="s">
        <v>111</v>
      </c>
      <c r="H897" s="22">
        <v>249900</v>
      </c>
      <c r="I897" s="22">
        <v>219900</v>
      </c>
      <c r="J897" s="22">
        <v>199900</v>
      </c>
      <c r="K897" s="22">
        <v>149900</v>
      </c>
      <c r="L897">
        <v>8</v>
      </c>
      <c r="M897" s="22">
        <v>1199200</v>
      </c>
      <c r="N897" s="19">
        <v>1090182</v>
      </c>
      <c r="O897" s="19">
        <v>1090182</v>
      </c>
      <c r="P897" t="str">
        <f t="shared" si="18"/>
        <v>Shark Fan</v>
      </c>
      <c r="Q897" t="str">
        <f t="shared" si="19"/>
        <v>Fan</v>
      </c>
    </row>
    <row r="898" spans="1:17" x14ac:dyDescent="0.35">
      <c r="A898" t="str">
        <f>_xlfn.XLOOKUP(B898,Mapping!C:C,Mapping!D:D)</f>
        <v>other Online malls</v>
      </c>
      <c r="B898" t="s">
        <v>294</v>
      </c>
      <c r="C898" t="s">
        <v>328</v>
      </c>
      <c r="D898" s="21">
        <v>46223</v>
      </c>
      <c r="E898" s="21">
        <v>46229</v>
      </c>
      <c r="F898">
        <v>7</v>
      </c>
      <c r="G898" t="s">
        <v>42</v>
      </c>
      <c r="H898" s="22">
        <v>399900</v>
      </c>
      <c r="I898" s="22">
        <v>349900</v>
      </c>
      <c r="J898" s="22">
        <v>299900</v>
      </c>
      <c r="K898" s="22">
        <v>179900</v>
      </c>
      <c r="L898">
        <v>9</v>
      </c>
      <c r="M898" s="22">
        <v>1619100</v>
      </c>
      <c r="N898" s="19">
        <v>1471909</v>
      </c>
      <c r="O898" s="19">
        <v>1471909</v>
      </c>
      <c r="P898" t="str">
        <f t="shared" si="18"/>
        <v>Shark Fan</v>
      </c>
      <c r="Q898" t="str">
        <f t="shared" si="19"/>
        <v>Fan</v>
      </c>
    </row>
    <row r="899" spans="1:17" x14ac:dyDescent="0.35">
      <c r="A899" t="str">
        <f>_xlfn.XLOOKUP(B899,Mapping!C:C,Mapping!D:D)</f>
        <v>other Online malls</v>
      </c>
      <c r="B899" t="s">
        <v>294</v>
      </c>
      <c r="C899" t="s">
        <v>328</v>
      </c>
      <c r="D899" s="21">
        <v>46223</v>
      </c>
      <c r="E899" s="21">
        <v>46229</v>
      </c>
      <c r="F899">
        <v>7</v>
      </c>
      <c r="G899" t="s">
        <v>33</v>
      </c>
      <c r="H899" s="22">
        <v>399900</v>
      </c>
      <c r="I899" s="22">
        <v>349900</v>
      </c>
      <c r="J899" s="22">
        <v>299900</v>
      </c>
      <c r="K899" s="22">
        <v>399900</v>
      </c>
      <c r="L899">
        <v>2</v>
      </c>
      <c r="M899" s="22">
        <v>799800</v>
      </c>
      <c r="N899" s="19">
        <v>727091</v>
      </c>
      <c r="O899" s="19">
        <v>727091</v>
      </c>
      <c r="P899" t="str">
        <f t="shared" si="18"/>
        <v>Shark Fan</v>
      </c>
      <c r="Q899" t="str">
        <f t="shared" si="19"/>
        <v>Fan</v>
      </c>
    </row>
    <row r="900" spans="1:17" x14ac:dyDescent="0.35">
      <c r="A900" t="str">
        <f>_xlfn.XLOOKUP(B900,Mapping!C:C,Mapping!D:D)</f>
        <v>other Online malls</v>
      </c>
      <c r="B900" t="s">
        <v>294</v>
      </c>
      <c r="C900" t="s">
        <v>328</v>
      </c>
      <c r="D900" s="21">
        <v>46223</v>
      </c>
      <c r="E900" s="21">
        <v>46229</v>
      </c>
      <c r="F900">
        <v>7</v>
      </c>
      <c r="G900" t="s">
        <v>75</v>
      </c>
      <c r="H900" s="22">
        <v>249900</v>
      </c>
      <c r="I900" s="22">
        <v>219900</v>
      </c>
      <c r="J900" s="22">
        <v>199900</v>
      </c>
      <c r="K900" s="22">
        <v>249900</v>
      </c>
      <c r="L900">
        <v>2</v>
      </c>
      <c r="M900" s="22">
        <v>499800</v>
      </c>
      <c r="N900" s="19">
        <v>454364</v>
      </c>
      <c r="O900" s="19">
        <v>454364</v>
      </c>
      <c r="P900" t="str">
        <f t="shared" si="18"/>
        <v>Ninja Heated</v>
      </c>
      <c r="Q900" t="str">
        <f t="shared" si="19"/>
        <v>Crispi</v>
      </c>
    </row>
    <row r="901" spans="1:17" x14ac:dyDescent="0.35">
      <c r="A901" t="str">
        <f>_xlfn.XLOOKUP(B901,Mapping!C:C,Mapping!D:D)</f>
        <v>other Online malls</v>
      </c>
      <c r="B901" t="s">
        <v>294</v>
      </c>
      <c r="C901" t="s">
        <v>328</v>
      </c>
      <c r="D901" s="21">
        <v>46223</v>
      </c>
      <c r="E901" s="21">
        <v>46229</v>
      </c>
      <c r="F901">
        <v>7</v>
      </c>
      <c r="G901" t="s">
        <v>29</v>
      </c>
      <c r="H901" s="22">
        <v>349900</v>
      </c>
      <c r="I901" s="22">
        <v>299900</v>
      </c>
      <c r="J901" s="22">
        <v>279900</v>
      </c>
      <c r="K901" s="22">
        <v>349900</v>
      </c>
      <c r="L901">
        <v>2</v>
      </c>
      <c r="M901" s="22">
        <v>699800</v>
      </c>
      <c r="N901" s="19">
        <v>636182</v>
      </c>
      <c r="O901" s="19">
        <v>636182</v>
      </c>
      <c r="P901" t="str">
        <f t="shared" si="18"/>
        <v>Ninja Heated</v>
      </c>
      <c r="Q901" t="str">
        <f t="shared" si="19"/>
        <v>Airfry</v>
      </c>
    </row>
    <row r="902" spans="1:17" x14ac:dyDescent="0.35">
      <c r="A902" t="str">
        <f>_xlfn.XLOOKUP(B902,Mapping!C:C,Mapping!D:D)</f>
        <v>other Online malls</v>
      </c>
      <c r="B902" t="s">
        <v>294</v>
      </c>
      <c r="C902" t="s">
        <v>328</v>
      </c>
      <c r="D902" s="21">
        <v>46223</v>
      </c>
      <c r="E902" s="21">
        <v>46229</v>
      </c>
      <c r="F902">
        <v>7</v>
      </c>
      <c r="G902" t="s">
        <v>37</v>
      </c>
      <c r="H902" s="22">
        <v>229900</v>
      </c>
      <c r="I902" s="22">
        <v>199900</v>
      </c>
      <c r="J902" s="22">
        <v>179900</v>
      </c>
      <c r="K902" s="22">
        <v>229900</v>
      </c>
      <c r="L902">
        <v>2</v>
      </c>
      <c r="M902" s="22">
        <v>459800</v>
      </c>
      <c r="N902" s="19">
        <v>418000</v>
      </c>
      <c r="O902" s="19">
        <v>418000</v>
      </c>
      <c r="P902" t="str">
        <f t="shared" si="18"/>
        <v>Ninja Heated</v>
      </c>
      <c r="Q902" t="str">
        <f t="shared" si="19"/>
        <v>Airfry</v>
      </c>
    </row>
    <row r="903" spans="1:17" x14ac:dyDescent="0.35">
      <c r="A903" t="str">
        <f>_xlfn.XLOOKUP(B903,Mapping!C:C,Mapping!D:D)</f>
        <v>other Online malls</v>
      </c>
      <c r="B903" t="s">
        <v>294</v>
      </c>
      <c r="C903" t="s">
        <v>328</v>
      </c>
      <c r="D903" s="21">
        <v>46223</v>
      </c>
      <c r="E903" s="21">
        <v>46229</v>
      </c>
      <c r="F903">
        <v>7</v>
      </c>
      <c r="G903" t="s">
        <v>106</v>
      </c>
      <c r="H903" s="22">
        <v>399900</v>
      </c>
      <c r="I903" s="22">
        <v>349900</v>
      </c>
      <c r="J903" s="22">
        <v>299900</v>
      </c>
      <c r="K903" s="22">
        <v>349900</v>
      </c>
      <c r="L903">
        <v>2</v>
      </c>
      <c r="M903" s="22">
        <v>699800</v>
      </c>
      <c r="N903" s="19">
        <v>636182</v>
      </c>
      <c r="O903" s="19">
        <v>636182</v>
      </c>
      <c r="P903" t="str">
        <f t="shared" si="18"/>
        <v>Ninja Heated</v>
      </c>
      <c r="Q903" t="str">
        <f t="shared" si="19"/>
        <v>Combi</v>
      </c>
    </row>
    <row r="904" spans="1:17" x14ac:dyDescent="0.35">
      <c r="A904" t="str">
        <f>_xlfn.XLOOKUP(B904,Mapping!C:C,Mapping!D:D)</f>
        <v>other Online malls</v>
      </c>
      <c r="B904" t="s">
        <v>294</v>
      </c>
      <c r="C904" t="s">
        <v>328</v>
      </c>
      <c r="D904" s="21">
        <v>46223</v>
      </c>
      <c r="E904" s="21">
        <v>46229</v>
      </c>
      <c r="F904">
        <v>7</v>
      </c>
      <c r="G904" t="s">
        <v>38</v>
      </c>
      <c r="H904" s="22">
        <v>429900</v>
      </c>
      <c r="I904" s="22">
        <v>399900</v>
      </c>
      <c r="J904" s="22">
        <v>349900</v>
      </c>
      <c r="K904" s="22">
        <v>429900</v>
      </c>
      <c r="L904">
        <v>2</v>
      </c>
      <c r="M904" s="22">
        <v>859800</v>
      </c>
      <c r="N904" s="19">
        <v>781636</v>
      </c>
      <c r="O904" s="19">
        <v>781636</v>
      </c>
      <c r="P904" t="str">
        <f t="shared" si="18"/>
        <v>Ninja Heated</v>
      </c>
      <c r="Q904" t="str">
        <f t="shared" si="19"/>
        <v>Grill</v>
      </c>
    </row>
    <row r="905" spans="1:17" x14ac:dyDescent="0.35">
      <c r="A905" t="str">
        <f>_xlfn.XLOOKUP(B905,Mapping!C:C,Mapping!D:D)</f>
        <v>other Online malls</v>
      </c>
      <c r="B905" t="s">
        <v>294</v>
      </c>
      <c r="C905" t="s">
        <v>328</v>
      </c>
      <c r="D905" s="21">
        <v>46223</v>
      </c>
      <c r="E905" s="21">
        <v>46229</v>
      </c>
      <c r="F905">
        <v>7</v>
      </c>
      <c r="G905" t="s">
        <v>97</v>
      </c>
      <c r="H905" s="22">
        <v>349900</v>
      </c>
      <c r="I905" s="22">
        <v>299900</v>
      </c>
      <c r="J905" s="22">
        <v>249900</v>
      </c>
      <c r="K905" s="22">
        <v>349900</v>
      </c>
      <c r="L905">
        <v>2</v>
      </c>
      <c r="M905" s="22">
        <v>699800</v>
      </c>
      <c r="N905" s="19">
        <v>636182</v>
      </c>
      <c r="O905" s="19">
        <v>636182</v>
      </c>
      <c r="P905" t="str">
        <f t="shared" si="18"/>
        <v>Ninja Heated</v>
      </c>
      <c r="Q905" t="str">
        <f t="shared" si="19"/>
        <v>Grill</v>
      </c>
    </row>
    <row r="906" spans="1:17" x14ac:dyDescent="0.35">
      <c r="A906" t="str">
        <f>_xlfn.XLOOKUP(B906,Mapping!C:C,Mapping!D:D)</f>
        <v>other Online malls</v>
      </c>
      <c r="B906" t="s">
        <v>294</v>
      </c>
      <c r="C906" t="s">
        <v>328</v>
      </c>
      <c r="D906" s="21">
        <v>46223</v>
      </c>
      <c r="E906" s="21">
        <v>46229</v>
      </c>
      <c r="F906">
        <v>7</v>
      </c>
      <c r="G906" t="s">
        <v>95</v>
      </c>
      <c r="H906" s="22">
        <v>79900</v>
      </c>
      <c r="I906" s="22">
        <v>54900</v>
      </c>
      <c r="J906" s="22">
        <v>54900</v>
      </c>
      <c r="K906" s="22">
        <v>54900</v>
      </c>
      <c r="L906">
        <v>2</v>
      </c>
      <c r="M906" s="22">
        <v>109800</v>
      </c>
      <c r="N906" s="19">
        <v>99818</v>
      </c>
      <c r="O906" s="19">
        <v>99818</v>
      </c>
      <c r="P906" t="str">
        <f t="shared" si="18"/>
        <v>Ninja Motorized</v>
      </c>
      <c r="Q906" t="str">
        <f t="shared" si="19"/>
        <v>Food process</v>
      </c>
    </row>
    <row r="907" spans="1:17" x14ac:dyDescent="0.35">
      <c r="A907" t="str">
        <f>_xlfn.XLOOKUP(B907,Mapping!C:C,Mapping!D:D)</f>
        <v>other Online malls</v>
      </c>
      <c r="B907" t="s">
        <v>294</v>
      </c>
      <c r="C907" t="s">
        <v>328</v>
      </c>
      <c r="D907" s="21">
        <v>46223</v>
      </c>
      <c r="E907" s="21">
        <v>46229</v>
      </c>
      <c r="F907">
        <v>7</v>
      </c>
      <c r="G907" t="s">
        <v>27</v>
      </c>
      <c r="H907" s="22">
        <v>329900</v>
      </c>
      <c r="I907" s="22">
        <v>299900</v>
      </c>
      <c r="J907" s="22">
        <v>279900</v>
      </c>
      <c r="K907" s="22">
        <v>299900</v>
      </c>
      <c r="L907">
        <v>2</v>
      </c>
      <c r="M907" s="22">
        <v>599800</v>
      </c>
      <c r="N907" s="19">
        <v>545273</v>
      </c>
      <c r="O907" s="19">
        <v>545273</v>
      </c>
      <c r="P907" t="str">
        <f t="shared" si="18"/>
        <v>Ninja Motorized</v>
      </c>
      <c r="Q907" t="str">
        <f t="shared" si="19"/>
        <v>Trad</v>
      </c>
    </row>
    <row r="908" spans="1:17" x14ac:dyDescent="0.35">
      <c r="A908" t="str">
        <f>_xlfn.XLOOKUP(B908,Mapping!C:C,Mapping!D:D)</f>
        <v>other Online malls</v>
      </c>
      <c r="B908" t="s">
        <v>294</v>
      </c>
      <c r="C908" t="s">
        <v>328</v>
      </c>
      <c r="D908" s="21">
        <v>46223</v>
      </c>
      <c r="E908" s="21">
        <v>46229</v>
      </c>
      <c r="F908">
        <v>7</v>
      </c>
      <c r="G908" t="s">
        <v>32</v>
      </c>
      <c r="H908" s="22">
        <v>349900</v>
      </c>
      <c r="I908" s="22">
        <v>299900</v>
      </c>
      <c r="J908" s="22">
        <v>269900</v>
      </c>
      <c r="K908" s="22">
        <v>299900</v>
      </c>
      <c r="L908">
        <v>2</v>
      </c>
      <c r="M908" s="22">
        <v>599800</v>
      </c>
      <c r="N908" s="19">
        <v>545273</v>
      </c>
      <c r="O908" s="19">
        <v>545273</v>
      </c>
      <c r="P908" t="str">
        <f t="shared" si="18"/>
        <v>Ninja Motorized</v>
      </c>
      <c r="Q908" t="str">
        <f t="shared" si="19"/>
        <v>Icecream</v>
      </c>
    </row>
    <row r="909" spans="1:17" x14ac:dyDescent="0.35">
      <c r="A909" t="str">
        <f>_xlfn.XLOOKUP(B909,Mapping!C:C,Mapping!D:D)</f>
        <v>other Online malls</v>
      </c>
      <c r="B909" t="s">
        <v>294</v>
      </c>
      <c r="C909" t="s">
        <v>328</v>
      </c>
      <c r="D909" s="21">
        <v>46223</v>
      </c>
      <c r="E909" s="21">
        <v>46229</v>
      </c>
      <c r="F909">
        <v>7</v>
      </c>
      <c r="G909" t="s">
        <v>40</v>
      </c>
      <c r="H909" s="22">
        <v>349900</v>
      </c>
      <c r="I909" s="22">
        <v>319900</v>
      </c>
      <c r="J909" s="22">
        <v>299900</v>
      </c>
      <c r="K909" s="22">
        <v>319900</v>
      </c>
      <c r="L909">
        <v>2</v>
      </c>
      <c r="M909" s="22">
        <v>639800</v>
      </c>
      <c r="N909" s="19">
        <v>581636</v>
      </c>
      <c r="O909" s="19">
        <v>581636</v>
      </c>
      <c r="P909" t="str">
        <f t="shared" si="18"/>
        <v>Ninja Motorized</v>
      </c>
      <c r="Q909" t="str">
        <f t="shared" si="19"/>
        <v>Hot</v>
      </c>
    </row>
    <row r="910" spans="1:17" x14ac:dyDescent="0.35">
      <c r="A910" t="str">
        <f>_xlfn.XLOOKUP(B910,Mapping!C:C,Mapping!D:D)</f>
        <v>other Online malls</v>
      </c>
      <c r="B910" t="s">
        <v>294</v>
      </c>
      <c r="C910" t="s">
        <v>328</v>
      </c>
      <c r="D910" s="21">
        <v>46223</v>
      </c>
      <c r="E910" s="21">
        <v>46229</v>
      </c>
      <c r="F910">
        <v>7</v>
      </c>
      <c r="G910" t="s">
        <v>73</v>
      </c>
      <c r="H910" s="22">
        <v>139900</v>
      </c>
      <c r="I910" s="22">
        <v>129900</v>
      </c>
      <c r="J910" s="22">
        <v>119900</v>
      </c>
      <c r="K910" s="22">
        <v>129900</v>
      </c>
      <c r="L910">
        <v>2</v>
      </c>
      <c r="M910" s="22">
        <v>259800</v>
      </c>
      <c r="N910" s="19">
        <v>236182</v>
      </c>
      <c r="O910" s="19">
        <v>236182</v>
      </c>
      <c r="P910" t="str">
        <f t="shared" si="18"/>
        <v>Ninja Motorized</v>
      </c>
      <c r="Q910" t="str">
        <f t="shared" si="19"/>
        <v>Hand</v>
      </c>
    </row>
    <row r="911" spans="1:17" x14ac:dyDescent="0.35">
      <c r="A911" t="str">
        <f>_xlfn.XLOOKUP(B911,Mapping!C:C,Mapping!D:D)</f>
        <v>other Online malls</v>
      </c>
      <c r="B911" t="s">
        <v>294</v>
      </c>
      <c r="C911" t="s">
        <v>328</v>
      </c>
      <c r="D911" s="21">
        <v>46223</v>
      </c>
      <c r="E911" s="21">
        <v>46229</v>
      </c>
      <c r="F911">
        <v>7</v>
      </c>
      <c r="G911" t="s">
        <v>39</v>
      </c>
      <c r="H911" s="22">
        <v>249900</v>
      </c>
      <c r="I911" s="22">
        <v>199900</v>
      </c>
      <c r="J911" s="22">
        <v>189900</v>
      </c>
      <c r="K911" s="22">
        <v>189000</v>
      </c>
      <c r="L911">
        <v>2</v>
      </c>
      <c r="M911" s="22">
        <v>378000</v>
      </c>
      <c r="N911" s="19">
        <v>343636</v>
      </c>
      <c r="O911" s="19">
        <v>343636</v>
      </c>
      <c r="P911" t="str">
        <f t="shared" si="18"/>
        <v>Ninja Motorized</v>
      </c>
      <c r="Q911" t="str">
        <f t="shared" si="19"/>
        <v>Trad</v>
      </c>
    </row>
    <row r="912" spans="1:17" x14ac:dyDescent="0.35">
      <c r="A912" t="str">
        <f>_xlfn.XLOOKUP(B912,Mapping!C:C,Mapping!D:D)</f>
        <v>other Online malls</v>
      </c>
      <c r="B912" t="s">
        <v>294</v>
      </c>
      <c r="C912" t="s">
        <v>328</v>
      </c>
      <c r="D912" s="21">
        <v>46223</v>
      </c>
      <c r="E912" s="21">
        <v>46229</v>
      </c>
      <c r="F912">
        <v>7</v>
      </c>
      <c r="G912" t="s">
        <v>16</v>
      </c>
      <c r="H912" s="22">
        <v>199900</v>
      </c>
      <c r="I912" s="22">
        <v>129900</v>
      </c>
      <c r="J912" s="22">
        <v>129900</v>
      </c>
      <c r="K912" s="22">
        <v>199900</v>
      </c>
      <c r="L912">
        <v>2</v>
      </c>
      <c r="M912" s="22">
        <v>399800</v>
      </c>
      <c r="N912" s="19">
        <v>363455</v>
      </c>
      <c r="O912" s="19">
        <v>363455</v>
      </c>
      <c r="P912" t="str">
        <f t="shared" si="18"/>
        <v>Ninja Motorized</v>
      </c>
      <c r="Q912" t="str">
        <f t="shared" si="19"/>
        <v>Trad</v>
      </c>
    </row>
    <row r="913" spans="1:17" x14ac:dyDescent="0.35">
      <c r="A913" t="str">
        <f>_xlfn.XLOOKUP(B913,Mapping!C:C,Mapping!D:D)</f>
        <v>other Online malls</v>
      </c>
      <c r="B913" t="s">
        <v>294</v>
      </c>
      <c r="C913" t="s">
        <v>328</v>
      </c>
      <c r="D913" s="21">
        <v>46223</v>
      </c>
      <c r="E913" s="21">
        <v>46229</v>
      </c>
      <c r="F913">
        <v>7</v>
      </c>
      <c r="G913" t="s">
        <v>110</v>
      </c>
      <c r="H913" s="22">
        <v>129900</v>
      </c>
      <c r="I913" s="22">
        <v>114900</v>
      </c>
      <c r="J913" s="22">
        <v>99900</v>
      </c>
      <c r="K913" s="22">
        <v>129900</v>
      </c>
      <c r="L913">
        <v>2</v>
      </c>
      <c r="M913" s="22">
        <v>259800</v>
      </c>
      <c r="N913" s="19">
        <v>236182</v>
      </c>
      <c r="O913" s="19">
        <v>236182</v>
      </c>
      <c r="P913" t="str">
        <f t="shared" si="18"/>
        <v>Ninja Motorized</v>
      </c>
      <c r="Q913" t="str">
        <f t="shared" si="19"/>
        <v>Trad</v>
      </c>
    </row>
    <row r="914" spans="1:17" x14ac:dyDescent="0.35">
      <c r="A914" t="str">
        <f>_xlfn.XLOOKUP(B914,Mapping!C:C,Mapping!D:D)</f>
        <v>other Online malls</v>
      </c>
      <c r="B914" t="s">
        <v>294</v>
      </c>
      <c r="C914" t="s">
        <v>328</v>
      </c>
      <c r="D914" s="21">
        <v>46223</v>
      </c>
      <c r="E914" s="21">
        <v>46229</v>
      </c>
      <c r="F914">
        <v>7</v>
      </c>
      <c r="G914" t="s">
        <v>84</v>
      </c>
      <c r="H914" s="22">
        <v>169900</v>
      </c>
      <c r="I914" s="22">
        <v>149900</v>
      </c>
      <c r="J914" s="22">
        <v>129900</v>
      </c>
      <c r="K914" s="22">
        <v>169900</v>
      </c>
      <c r="L914">
        <v>2</v>
      </c>
      <c r="M914" s="22">
        <v>339800</v>
      </c>
      <c r="N914" s="19">
        <v>308909</v>
      </c>
      <c r="O914" s="19">
        <v>308909</v>
      </c>
      <c r="P914" t="str">
        <f t="shared" si="18"/>
        <v>Ninja Motorized</v>
      </c>
      <c r="Q914" t="str">
        <f t="shared" si="19"/>
        <v>Trad</v>
      </c>
    </row>
    <row r="915" spans="1:17" x14ac:dyDescent="0.35">
      <c r="A915" t="str">
        <f>_xlfn.XLOOKUP(B915,Mapping!C:C,Mapping!D:D)</f>
        <v>other Online malls</v>
      </c>
      <c r="B915" t="s">
        <v>294</v>
      </c>
      <c r="C915" t="s">
        <v>328</v>
      </c>
      <c r="D915" s="21">
        <v>46223</v>
      </c>
      <c r="E915" s="21">
        <v>46229</v>
      </c>
      <c r="F915">
        <v>7</v>
      </c>
      <c r="G915" t="s">
        <v>105</v>
      </c>
      <c r="H915" s="22">
        <v>299900</v>
      </c>
      <c r="I915" s="22">
        <v>269900</v>
      </c>
      <c r="J915" s="22">
        <v>249900</v>
      </c>
      <c r="K915" s="22">
        <v>299900</v>
      </c>
      <c r="L915">
        <v>2</v>
      </c>
      <c r="M915" s="22">
        <v>599800</v>
      </c>
      <c r="N915" s="19">
        <v>545273</v>
      </c>
      <c r="O915" s="19">
        <v>545273</v>
      </c>
      <c r="P915" t="str">
        <f t="shared" si="18"/>
        <v>Ninja Motorized</v>
      </c>
      <c r="Q915" t="str">
        <f t="shared" si="19"/>
        <v>Kitchen</v>
      </c>
    </row>
    <row r="916" spans="1:17" x14ac:dyDescent="0.35">
      <c r="A916" t="str">
        <f>_xlfn.XLOOKUP(B916,Mapping!C:C,Mapping!D:D)</f>
        <v>other Online malls</v>
      </c>
      <c r="B916" t="s">
        <v>294</v>
      </c>
      <c r="C916" t="s">
        <v>328</v>
      </c>
      <c r="D916" s="21">
        <v>46223</v>
      </c>
      <c r="E916" s="21">
        <v>46229</v>
      </c>
      <c r="F916">
        <v>7</v>
      </c>
      <c r="G916" t="s">
        <v>85</v>
      </c>
      <c r="H916" s="22">
        <v>349900</v>
      </c>
      <c r="I916" s="22">
        <v>319900</v>
      </c>
      <c r="J916" s="22">
        <v>299900</v>
      </c>
      <c r="K916" s="22">
        <v>349900</v>
      </c>
      <c r="L916">
        <v>2</v>
      </c>
      <c r="M916" s="22">
        <v>699800</v>
      </c>
      <c r="N916" s="19">
        <v>636182</v>
      </c>
      <c r="O916" s="19">
        <v>636182</v>
      </c>
      <c r="P916" t="str">
        <f t="shared" si="18"/>
        <v>Ninja Motorized</v>
      </c>
      <c r="Q916" t="str">
        <f t="shared" si="19"/>
        <v>Kitchen</v>
      </c>
    </row>
    <row r="917" spans="1:17" x14ac:dyDescent="0.35">
      <c r="A917" t="str">
        <f>_xlfn.XLOOKUP(B917,Mapping!C:C,Mapping!D:D)</f>
        <v>other Online malls</v>
      </c>
      <c r="B917" t="s">
        <v>294</v>
      </c>
      <c r="C917" t="s">
        <v>328</v>
      </c>
      <c r="D917" s="21">
        <v>46223</v>
      </c>
      <c r="E917" s="21">
        <v>46229</v>
      </c>
      <c r="F917">
        <v>7</v>
      </c>
      <c r="G917" t="s">
        <v>112</v>
      </c>
      <c r="H917" s="22">
        <v>799000</v>
      </c>
      <c r="I917" s="22">
        <v>599000</v>
      </c>
      <c r="J917" s="22">
        <v>599000</v>
      </c>
      <c r="K917" s="22">
        <v>599000</v>
      </c>
      <c r="L917">
        <v>2</v>
      </c>
      <c r="M917" s="22">
        <v>1198000</v>
      </c>
      <c r="N917" s="19">
        <v>1089091</v>
      </c>
      <c r="O917" s="19">
        <v>1089091</v>
      </c>
      <c r="P917" t="str">
        <f t="shared" si="18"/>
        <v>Shark Floorcare</v>
      </c>
      <c r="Q917" t="str">
        <f t="shared" si="19"/>
        <v>CS</v>
      </c>
    </row>
    <row r="918" spans="1:17" x14ac:dyDescent="0.35">
      <c r="A918" t="str">
        <f>_xlfn.XLOOKUP(B918,Mapping!C:C,Mapping!D:D)</f>
        <v>other Online malls</v>
      </c>
      <c r="B918" t="s">
        <v>294</v>
      </c>
      <c r="C918" t="s">
        <v>328</v>
      </c>
      <c r="D918" s="21">
        <v>46223</v>
      </c>
      <c r="E918" s="21">
        <v>46224</v>
      </c>
      <c r="F918">
        <v>2</v>
      </c>
      <c r="G918" t="s">
        <v>26</v>
      </c>
      <c r="H918" s="22">
        <v>899000</v>
      </c>
      <c r="I918" s="22">
        <v>849000</v>
      </c>
      <c r="J918" s="22">
        <v>799000</v>
      </c>
      <c r="K918" s="22">
        <v>849000</v>
      </c>
      <c r="L918">
        <v>15</v>
      </c>
      <c r="M918" s="22">
        <v>12735000</v>
      </c>
      <c r="N918" s="19">
        <v>11577273</v>
      </c>
      <c r="O918" s="19">
        <v>11577273</v>
      </c>
      <c r="P918" t="str">
        <f t="shared" si="18"/>
        <v>Shark Floorcare</v>
      </c>
      <c r="Q918" t="str">
        <f t="shared" si="19"/>
        <v>FW</v>
      </c>
    </row>
    <row r="919" spans="1:17" x14ac:dyDescent="0.35">
      <c r="A919" t="str">
        <f>_xlfn.XLOOKUP(B919,Mapping!C:C,Mapping!D:D)</f>
        <v>other Online malls</v>
      </c>
      <c r="B919" t="s">
        <v>294</v>
      </c>
      <c r="C919" t="s">
        <v>328</v>
      </c>
      <c r="D919" s="21">
        <v>46225</v>
      </c>
      <c r="E919" s="21">
        <v>46229</v>
      </c>
      <c r="F919">
        <v>5</v>
      </c>
      <c r="G919" t="s">
        <v>26</v>
      </c>
      <c r="H919" s="22">
        <v>899000</v>
      </c>
      <c r="I919" s="22">
        <v>849000</v>
      </c>
      <c r="J919" s="22">
        <v>799000</v>
      </c>
      <c r="K919" s="22">
        <v>899000</v>
      </c>
      <c r="L919">
        <v>2</v>
      </c>
      <c r="M919" s="22">
        <v>1798000</v>
      </c>
      <c r="N919" s="19">
        <v>1634545</v>
      </c>
      <c r="O919" s="19">
        <v>0</v>
      </c>
      <c r="P919" t="str">
        <f t="shared" si="18"/>
        <v>Shark Floorcare</v>
      </c>
      <c r="Q919" t="str">
        <f t="shared" si="19"/>
        <v>FW</v>
      </c>
    </row>
    <row r="920" spans="1:17" x14ac:dyDescent="0.35">
      <c r="A920" t="str">
        <f>_xlfn.XLOOKUP(B920,Mapping!C:C,Mapping!D:D)</f>
        <v>other Online malls</v>
      </c>
      <c r="B920" t="s">
        <v>294</v>
      </c>
      <c r="C920" t="s">
        <v>328</v>
      </c>
      <c r="D920" s="21">
        <v>46223</v>
      </c>
      <c r="E920" s="21">
        <v>46229</v>
      </c>
      <c r="F920">
        <v>7</v>
      </c>
      <c r="G920" t="s">
        <v>54</v>
      </c>
      <c r="H920" s="22">
        <v>699000</v>
      </c>
      <c r="I920" s="22">
        <v>499000</v>
      </c>
      <c r="J920" s="22">
        <v>499000</v>
      </c>
      <c r="K920" s="22">
        <v>489000</v>
      </c>
      <c r="L920">
        <v>10</v>
      </c>
      <c r="M920" s="22">
        <v>4890000</v>
      </c>
      <c r="N920" s="19">
        <v>4445455</v>
      </c>
      <c r="O920" s="19">
        <v>4445455</v>
      </c>
      <c r="P920" t="str">
        <f t="shared" si="18"/>
        <v>Shark Floorcare</v>
      </c>
      <c r="Q920" t="str">
        <f t="shared" si="19"/>
        <v>FW</v>
      </c>
    </row>
    <row r="921" spans="1:17" x14ac:dyDescent="0.35">
      <c r="A921" t="str">
        <f>_xlfn.XLOOKUP(B921,Mapping!C:C,Mapping!D:D)</f>
        <v>other Online malls</v>
      </c>
      <c r="B921" t="s">
        <v>294</v>
      </c>
      <c r="C921" t="s">
        <v>328</v>
      </c>
      <c r="D921" s="21">
        <v>46223</v>
      </c>
      <c r="E921" s="21">
        <v>46229</v>
      </c>
      <c r="F921">
        <v>7</v>
      </c>
      <c r="G921" t="s">
        <v>31</v>
      </c>
      <c r="H921" s="22">
        <v>849000</v>
      </c>
      <c r="I921" s="22">
        <v>749000</v>
      </c>
      <c r="J921" s="22">
        <v>699000</v>
      </c>
      <c r="K921" s="22">
        <v>799000</v>
      </c>
      <c r="L921">
        <v>2</v>
      </c>
      <c r="M921" s="22">
        <v>1598000</v>
      </c>
      <c r="N921" s="19">
        <v>1452727</v>
      </c>
      <c r="O921" s="19">
        <v>1452727</v>
      </c>
      <c r="P921" t="str">
        <f t="shared" si="18"/>
        <v>Shark Floorcare</v>
      </c>
      <c r="Q921" t="str">
        <f t="shared" si="19"/>
        <v>FW</v>
      </c>
    </row>
    <row r="922" spans="1:17" x14ac:dyDescent="0.35">
      <c r="A922" t="str">
        <f>_xlfn.XLOOKUP(B922,Mapping!C:C,Mapping!D:D)</f>
        <v>other Online malls</v>
      </c>
      <c r="B922" t="s">
        <v>294</v>
      </c>
      <c r="C922" t="s">
        <v>328</v>
      </c>
      <c r="D922" s="21">
        <v>46223</v>
      </c>
      <c r="E922" s="21">
        <v>46229</v>
      </c>
      <c r="F922">
        <v>7</v>
      </c>
      <c r="G922" t="s">
        <v>104</v>
      </c>
      <c r="H922" s="22">
        <v>799000</v>
      </c>
      <c r="I922" s="22">
        <v>699000</v>
      </c>
      <c r="J922" s="22">
        <v>649000</v>
      </c>
      <c r="K922" s="22">
        <v>699000</v>
      </c>
      <c r="L922">
        <v>2</v>
      </c>
      <c r="M922" s="22">
        <v>1398000</v>
      </c>
      <c r="N922" s="19">
        <v>1270909</v>
      </c>
      <c r="O922" s="19">
        <v>1270909</v>
      </c>
      <c r="P922" t="str">
        <f t="shared" si="18"/>
        <v>Shark Floorcare</v>
      </c>
      <c r="Q922" t="str">
        <f t="shared" si="19"/>
        <v>FW</v>
      </c>
    </row>
    <row r="923" spans="1:17" x14ac:dyDescent="0.35">
      <c r="A923" t="str">
        <f>_xlfn.XLOOKUP(B923,Mapping!C:C,Mapping!D:D)</f>
        <v>other Online malls</v>
      </c>
      <c r="B923" t="s">
        <v>294</v>
      </c>
      <c r="C923" t="s">
        <v>328</v>
      </c>
      <c r="D923" s="21">
        <v>46223</v>
      </c>
      <c r="E923" s="21">
        <v>46229</v>
      </c>
      <c r="F923">
        <v>7</v>
      </c>
      <c r="G923" t="s">
        <v>28</v>
      </c>
      <c r="H923" s="22">
        <v>299900</v>
      </c>
      <c r="I923" s="22">
        <v>219900</v>
      </c>
      <c r="J923" s="22">
        <v>219900</v>
      </c>
      <c r="K923" s="22">
        <v>219900</v>
      </c>
      <c r="L923">
        <v>2</v>
      </c>
      <c r="M923" s="22">
        <v>439800</v>
      </c>
      <c r="N923" s="19">
        <v>399818</v>
      </c>
      <c r="O923" s="19">
        <v>399818</v>
      </c>
      <c r="P923" t="str">
        <f t="shared" si="18"/>
        <v>Shark Floorcare</v>
      </c>
      <c r="Q923" t="str">
        <f t="shared" si="19"/>
        <v>WD</v>
      </c>
    </row>
    <row r="924" spans="1:17" x14ac:dyDescent="0.35">
      <c r="A924" t="str">
        <f>_xlfn.XLOOKUP(B924,Mapping!C:C,Mapping!D:D)</f>
        <v>other Online malls</v>
      </c>
      <c r="B924" t="s">
        <v>294</v>
      </c>
      <c r="C924" t="s">
        <v>328</v>
      </c>
      <c r="D924" s="21">
        <v>46223</v>
      </c>
      <c r="E924" s="21">
        <v>46229</v>
      </c>
      <c r="F924">
        <v>7</v>
      </c>
      <c r="G924" t="s">
        <v>36</v>
      </c>
      <c r="H924" s="22">
        <v>469900</v>
      </c>
      <c r="I924" s="22">
        <v>399900</v>
      </c>
      <c r="J924" s="22">
        <v>399000</v>
      </c>
      <c r="K924" s="22">
        <v>399900</v>
      </c>
      <c r="L924">
        <v>2</v>
      </c>
      <c r="M924" s="22">
        <v>799800</v>
      </c>
      <c r="N924" s="19">
        <v>727091</v>
      </c>
      <c r="O924" s="19">
        <v>727091</v>
      </c>
      <c r="P924" t="str">
        <f t="shared" si="18"/>
        <v>Shark Floorcare</v>
      </c>
      <c r="Q924" t="str">
        <f t="shared" si="19"/>
        <v>WD</v>
      </c>
    </row>
    <row r="925" spans="1:17" x14ac:dyDescent="0.35">
      <c r="A925" t="str">
        <f>_xlfn.XLOOKUP(B925,Mapping!C:C,Mapping!D:D)</f>
        <v>other Online malls</v>
      </c>
      <c r="B925" t="s">
        <v>294</v>
      </c>
      <c r="C925" t="s">
        <v>328</v>
      </c>
      <c r="D925" s="21">
        <v>46223</v>
      </c>
      <c r="E925" s="21">
        <v>46229</v>
      </c>
      <c r="F925">
        <v>7</v>
      </c>
      <c r="G925" t="s">
        <v>88</v>
      </c>
      <c r="H925" s="22">
        <v>599000</v>
      </c>
      <c r="I925" s="22">
        <v>499000</v>
      </c>
      <c r="J925" s="22">
        <v>399900</v>
      </c>
      <c r="K925" s="22">
        <v>499000</v>
      </c>
      <c r="L925">
        <v>2</v>
      </c>
      <c r="M925" s="22">
        <v>998000</v>
      </c>
      <c r="N925" s="19">
        <v>907273</v>
      </c>
      <c r="O925" s="19">
        <v>907273</v>
      </c>
      <c r="P925" t="str">
        <f t="shared" si="18"/>
        <v>Shark Floorcare</v>
      </c>
      <c r="Q925" t="str">
        <f t="shared" si="19"/>
        <v>CS</v>
      </c>
    </row>
    <row r="926" spans="1:17" x14ac:dyDescent="0.35">
      <c r="A926" t="str">
        <f>_xlfn.XLOOKUP(B926,Mapping!C:C,Mapping!D:D)</f>
        <v>other Online malls</v>
      </c>
      <c r="B926" t="s">
        <v>294</v>
      </c>
      <c r="C926" t="s">
        <v>328</v>
      </c>
      <c r="D926" s="21">
        <v>46223</v>
      </c>
      <c r="E926" s="21">
        <v>46229</v>
      </c>
      <c r="F926">
        <v>7</v>
      </c>
      <c r="G926" t="s">
        <v>108</v>
      </c>
      <c r="H926" s="22">
        <v>199900</v>
      </c>
      <c r="I926" s="22">
        <v>179900</v>
      </c>
      <c r="J926" s="22">
        <v>169900</v>
      </c>
      <c r="K926" s="22">
        <v>179900</v>
      </c>
      <c r="L926">
        <v>5</v>
      </c>
      <c r="M926" s="22">
        <v>899500</v>
      </c>
      <c r="N926" s="19">
        <v>817727</v>
      </c>
      <c r="O926" s="19">
        <v>817727</v>
      </c>
      <c r="P926" t="str">
        <f t="shared" si="18"/>
        <v>Shark Floorcare</v>
      </c>
      <c r="Q926" t="str">
        <f t="shared" si="19"/>
        <v>WV</v>
      </c>
    </row>
    <row r="927" spans="1:17" x14ac:dyDescent="0.35">
      <c r="A927" t="str">
        <f>_xlfn.XLOOKUP(B927,Mapping!C:C,Mapping!D:D)</f>
        <v>other Online malls</v>
      </c>
      <c r="B927" t="s">
        <v>294</v>
      </c>
      <c r="C927" t="s">
        <v>328</v>
      </c>
      <c r="D927" s="21">
        <v>46223</v>
      </c>
      <c r="E927" s="21">
        <v>46229</v>
      </c>
      <c r="F927">
        <v>7</v>
      </c>
      <c r="G927" t="s">
        <v>96</v>
      </c>
      <c r="H927" s="22">
        <v>139900</v>
      </c>
      <c r="I927" s="22">
        <v>119900</v>
      </c>
      <c r="J927" s="22">
        <v>99900</v>
      </c>
      <c r="K927" s="22">
        <v>119900</v>
      </c>
      <c r="L927">
        <v>5</v>
      </c>
      <c r="M927" s="22">
        <v>599500</v>
      </c>
      <c r="N927" s="19">
        <v>545000</v>
      </c>
      <c r="O927" s="19">
        <v>545000</v>
      </c>
      <c r="P927" t="str">
        <f t="shared" si="18"/>
        <v>Shark Floorcare</v>
      </c>
      <c r="Q927" t="str">
        <f t="shared" si="19"/>
        <v>WV</v>
      </c>
    </row>
    <row r="928" spans="1:17" x14ac:dyDescent="0.35">
      <c r="A928" t="str">
        <f>_xlfn.XLOOKUP(B928,Mapping!C:C,Mapping!D:D)</f>
        <v>other Online malls</v>
      </c>
      <c r="B928" t="s">
        <v>294</v>
      </c>
      <c r="C928" t="s">
        <v>328</v>
      </c>
      <c r="D928" s="21">
        <v>46223</v>
      </c>
      <c r="E928" s="21">
        <v>46229</v>
      </c>
      <c r="F928">
        <v>7</v>
      </c>
      <c r="G928" t="s">
        <v>62</v>
      </c>
      <c r="H928" s="22">
        <v>349900</v>
      </c>
      <c r="I928" s="22">
        <v>319900</v>
      </c>
      <c r="J928" s="22">
        <v>299900</v>
      </c>
      <c r="K928" s="22">
        <v>349900</v>
      </c>
      <c r="L928">
        <v>5</v>
      </c>
      <c r="M928" s="22">
        <v>1749500</v>
      </c>
      <c r="N928" s="19">
        <v>1590455</v>
      </c>
      <c r="O928" s="19">
        <v>1590455</v>
      </c>
      <c r="P928" t="str">
        <f t="shared" si="18"/>
        <v>Shark Floorcare</v>
      </c>
      <c r="Q928" t="str">
        <f t="shared" si="19"/>
        <v>WV</v>
      </c>
    </row>
    <row r="929" spans="1:17" x14ac:dyDescent="0.35">
      <c r="A929" t="str">
        <f>_xlfn.XLOOKUP(B929,Mapping!C:C,Mapping!D:D)</f>
        <v>other Online malls</v>
      </c>
      <c r="B929" t="s">
        <v>294</v>
      </c>
      <c r="C929" t="s">
        <v>328</v>
      </c>
      <c r="D929" s="21">
        <v>46223</v>
      </c>
      <c r="E929" s="21">
        <v>46229</v>
      </c>
      <c r="F929">
        <v>7</v>
      </c>
      <c r="G929" t="s">
        <v>329</v>
      </c>
      <c r="H929" s="22">
        <v>119900</v>
      </c>
      <c r="I929" s="22">
        <v>99900</v>
      </c>
      <c r="J929" s="22">
        <v>84900</v>
      </c>
      <c r="K929" s="22">
        <v>74900</v>
      </c>
      <c r="L929">
        <v>5</v>
      </c>
      <c r="M929" s="22">
        <v>374500</v>
      </c>
      <c r="N929" s="19">
        <v>340455</v>
      </c>
      <c r="O929" s="19">
        <v>340455</v>
      </c>
      <c r="P929" t="str">
        <f t="shared" si="18"/>
        <v>Not Found</v>
      </c>
      <c r="Q929" t="str">
        <f t="shared" si="19"/>
        <v>Not Found</v>
      </c>
    </row>
    <row r="930" spans="1:17" x14ac:dyDescent="0.35">
      <c r="A930" t="str">
        <f>_xlfn.XLOOKUP(B930,Mapping!C:C,Mapping!D:D)</f>
        <v>other Online malls</v>
      </c>
      <c r="B930" t="s">
        <v>294</v>
      </c>
      <c r="C930" t="s">
        <v>328</v>
      </c>
      <c r="D930" s="21">
        <v>46223</v>
      </c>
      <c r="E930" s="21">
        <v>46229</v>
      </c>
      <c r="F930">
        <v>7</v>
      </c>
      <c r="G930" t="s">
        <v>93</v>
      </c>
      <c r="H930" s="22">
        <v>119900</v>
      </c>
      <c r="I930" s="22">
        <v>99900</v>
      </c>
      <c r="J930" s="22">
        <v>84900</v>
      </c>
      <c r="K930" s="22">
        <v>74900</v>
      </c>
      <c r="L930">
        <v>5</v>
      </c>
      <c r="M930" s="22">
        <v>374500</v>
      </c>
      <c r="N930" s="19">
        <v>340455</v>
      </c>
      <c r="O930" s="19">
        <v>340455</v>
      </c>
      <c r="P930" t="str">
        <f t="shared" si="18"/>
        <v>Ninja Motorized</v>
      </c>
      <c r="Q930" t="str">
        <f t="shared" si="19"/>
        <v>Portable</v>
      </c>
    </row>
    <row r="931" spans="1:17" x14ac:dyDescent="0.35">
      <c r="A931" t="str">
        <f>_xlfn.XLOOKUP(B931,Mapping!C:C,Mapping!D:D)</f>
        <v>other Online malls</v>
      </c>
      <c r="B931" t="s">
        <v>294</v>
      </c>
      <c r="C931" t="s">
        <v>328</v>
      </c>
      <c r="D931" s="21">
        <v>46223</v>
      </c>
      <c r="E931" s="21">
        <v>46229</v>
      </c>
      <c r="F931">
        <v>7</v>
      </c>
      <c r="G931" t="s">
        <v>94</v>
      </c>
      <c r="H931" s="22">
        <v>119900</v>
      </c>
      <c r="I931" s="22">
        <v>99900</v>
      </c>
      <c r="J931" s="22">
        <v>84900</v>
      </c>
      <c r="K931" s="22">
        <v>74900</v>
      </c>
      <c r="L931">
        <v>5</v>
      </c>
      <c r="M931" s="22">
        <v>374500</v>
      </c>
      <c r="N931" s="19">
        <v>340455</v>
      </c>
      <c r="O931" s="19">
        <v>340455</v>
      </c>
      <c r="P931" t="str">
        <f t="shared" si="18"/>
        <v>Ninja Motorized</v>
      </c>
      <c r="Q931" t="str">
        <f t="shared" si="19"/>
        <v>Portable</v>
      </c>
    </row>
    <row r="932" spans="1:17" x14ac:dyDescent="0.35">
      <c r="A932" t="str">
        <f>_xlfn.XLOOKUP(B932,Mapping!C:C,Mapping!D:D)</f>
        <v>other Online malls</v>
      </c>
      <c r="B932" t="s">
        <v>294</v>
      </c>
      <c r="C932" t="s">
        <v>328</v>
      </c>
      <c r="D932" s="21">
        <v>46223</v>
      </c>
      <c r="E932" s="21">
        <v>46229</v>
      </c>
      <c r="F932">
        <v>7</v>
      </c>
      <c r="G932" t="s">
        <v>89</v>
      </c>
      <c r="H932" s="22">
        <v>119900</v>
      </c>
      <c r="I932" s="22">
        <v>99900</v>
      </c>
      <c r="J932" s="22">
        <v>84900</v>
      </c>
      <c r="K932" s="22">
        <v>74900</v>
      </c>
      <c r="L932">
        <v>5</v>
      </c>
      <c r="M932" s="22">
        <v>374500</v>
      </c>
      <c r="N932" s="19">
        <v>340455</v>
      </c>
      <c r="O932" s="19">
        <v>340455</v>
      </c>
      <c r="P932" t="str">
        <f t="shared" si="18"/>
        <v>Ninja Motorized</v>
      </c>
      <c r="Q932" t="str">
        <f t="shared" si="19"/>
        <v>Portable</v>
      </c>
    </row>
    <row r="933" spans="1:17" x14ac:dyDescent="0.35">
      <c r="A933" t="str">
        <f>_xlfn.XLOOKUP(B933,Mapping!C:C,Mapping!D:D)</f>
        <v>other Online malls</v>
      </c>
      <c r="B933" t="s">
        <v>294</v>
      </c>
      <c r="C933" t="s">
        <v>328</v>
      </c>
      <c r="D933" s="21">
        <v>46223</v>
      </c>
      <c r="E933" s="21">
        <v>46229</v>
      </c>
      <c r="F933">
        <v>7</v>
      </c>
      <c r="G933" t="s">
        <v>100</v>
      </c>
      <c r="H933" s="22">
        <v>119900</v>
      </c>
      <c r="I933" s="22">
        <v>99900</v>
      </c>
      <c r="J933" s="22">
        <v>84900</v>
      </c>
      <c r="K933" s="22">
        <v>74900</v>
      </c>
      <c r="L933">
        <v>5</v>
      </c>
      <c r="M933" s="22">
        <v>374500</v>
      </c>
      <c r="N933" s="19">
        <v>340455</v>
      </c>
      <c r="O933" s="19">
        <v>340455</v>
      </c>
      <c r="P933" t="str">
        <f t="shared" si="18"/>
        <v>Ninja Motorized</v>
      </c>
      <c r="Q933" t="str">
        <f t="shared" si="19"/>
        <v>Portable</v>
      </c>
    </row>
    <row r="934" spans="1:17" x14ac:dyDescent="0.35">
      <c r="A934" t="str">
        <f>_xlfn.XLOOKUP(B934,Mapping!C:C,Mapping!D:D)</f>
        <v>other Online malls</v>
      </c>
      <c r="B934" t="s">
        <v>294</v>
      </c>
      <c r="C934" t="s">
        <v>328</v>
      </c>
      <c r="D934" s="21">
        <v>46223</v>
      </c>
      <c r="E934" s="21">
        <v>46229</v>
      </c>
      <c r="F934">
        <v>7</v>
      </c>
      <c r="G934" t="s">
        <v>81</v>
      </c>
      <c r="H934" s="22">
        <v>119900</v>
      </c>
      <c r="I934" s="22">
        <v>99900</v>
      </c>
      <c r="J934" s="22">
        <v>84900</v>
      </c>
      <c r="K934" s="22">
        <v>74900</v>
      </c>
      <c r="L934">
        <v>5</v>
      </c>
      <c r="M934" s="22">
        <v>374500</v>
      </c>
      <c r="N934" s="19">
        <v>340455</v>
      </c>
      <c r="O934" s="19">
        <v>340455</v>
      </c>
      <c r="P934" t="str">
        <f t="shared" si="18"/>
        <v>Ninja Motorized</v>
      </c>
      <c r="Q934" t="str">
        <f t="shared" si="19"/>
        <v>Portable</v>
      </c>
    </row>
    <row r="935" spans="1:17" x14ac:dyDescent="0.35">
      <c r="A935" t="str">
        <f>_xlfn.XLOOKUP(B935,Mapping!C:C,Mapping!D:D)</f>
        <v>other Online malls</v>
      </c>
      <c r="B935" t="s">
        <v>294</v>
      </c>
      <c r="C935" t="s">
        <v>328</v>
      </c>
      <c r="D935" s="21">
        <v>46223</v>
      </c>
      <c r="E935" s="21">
        <v>46229</v>
      </c>
      <c r="F935">
        <v>7</v>
      </c>
      <c r="G935" t="s">
        <v>303</v>
      </c>
      <c r="H935" s="22">
        <v>249900</v>
      </c>
      <c r="I935" s="22">
        <v>229900</v>
      </c>
      <c r="J935" s="22">
        <v>199900</v>
      </c>
      <c r="K935" s="22">
        <v>249000</v>
      </c>
      <c r="L935">
        <v>3</v>
      </c>
      <c r="M935" s="22">
        <v>747000</v>
      </c>
      <c r="N935" s="19">
        <v>679091</v>
      </c>
      <c r="O935" s="19">
        <v>679091</v>
      </c>
      <c r="P935" t="str">
        <f t="shared" si="18"/>
        <v>Not Found</v>
      </c>
      <c r="Q935" t="str">
        <f t="shared" si="19"/>
        <v>Not Found</v>
      </c>
    </row>
    <row r="936" spans="1:17" x14ac:dyDescent="0.35">
      <c r="A936" t="str">
        <f>_xlfn.XLOOKUP(B936,Mapping!C:C,Mapping!D:D)</f>
        <v>other Online malls</v>
      </c>
      <c r="B936" t="s">
        <v>294</v>
      </c>
      <c r="C936" t="s">
        <v>328</v>
      </c>
      <c r="D936" s="21">
        <v>46223</v>
      </c>
      <c r="E936" s="21">
        <v>46229</v>
      </c>
      <c r="F936">
        <v>7</v>
      </c>
      <c r="G936" t="s">
        <v>66</v>
      </c>
      <c r="H936" s="22">
        <v>249900</v>
      </c>
      <c r="I936" s="22">
        <v>229900</v>
      </c>
      <c r="J936" s="22">
        <v>199900</v>
      </c>
      <c r="K936" s="22">
        <v>249000</v>
      </c>
      <c r="L936">
        <v>3</v>
      </c>
      <c r="M936" s="22">
        <v>747000</v>
      </c>
      <c r="N936" s="19">
        <v>679091</v>
      </c>
      <c r="O936" s="19">
        <v>679091</v>
      </c>
      <c r="P936" t="str">
        <f t="shared" si="18"/>
        <v>Ninja Motorized</v>
      </c>
      <c r="Q936" t="str">
        <f t="shared" si="19"/>
        <v>Portable</v>
      </c>
    </row>
    <row r="937" spans="1:17" x14ac:dyDescent="0.35">
      <c r="A937" t="str">
        <f>_xlfn.XLOOKUP(B937,Mapping!C:C,Mapping!D:D)</f>
        <v>other Online malls</v>
      </c>
      <c r="B937" t="s">
        <v>294</v>
      </c>
      <c r="C937" t="s">
        <v>328</v>
      </c>
      <c r="D937" s="21">
        <v>46223</v>
      </c>
      <c r="E937" s="21">
        <v>46229</v>
      </c>
      <c r="F937">
        <v>7</v>
      </c>
      <c r="G937" t="s">
        <v>34</v>
      </c>
      <c r="H937" s="22">
        <v>249900</v>
      </c>
      <c r="I937" s="22">
        <v>229900</v>
      </c>
      <c r="J937" s="22">
        <v>199900</v>
      </c>
      <c r="K937" s="22">
        <v>249000</v>
      </c>
      <c r="L937">
        <v>3</v>
      </c>
      <c r="M937" s="22">
        <v>747000</v>
      </c>
      <c r="N937" s="19">
        <v>679091</v>
      </c>
      <c r="O937" s="19">
        <v>679091</v>
      </c>
      <c r="P937" t="str">
        <f t="shared" si="18"/>
        <v>Ninja Motorized</v>
      </c>
      <c r="Q937" t="str">
        <f t="shared" si="19"/>
        <v>Portable</v>
      </c>
    </row>
    <row r="938" spans="1:17" x14ac:dyDescent="0.35">
      <c r="A938" t="str">
        <f>_xlfn.XLOOKUP(B938,Mapping!C:C,Mapping!D:D)</f>
        <v>other Online malls</v>
      </c>
      <c r="B938" t="s">
        <v>294</v>
      </c>
      <c r="C938" t="s">
        <v>328</v>
      </c>
      <c r="D938" s="21">
        <v>46223</v>
      </c>
      <c r="E938" s="21">
        <v>46229</v>
      </c>
      <c r="F938">
        <v>7</v>
      </c>
      <c r="G938" t="s">
        <v>90</v>
      </c>
      <c r="H938" s="22">
        <v>149900</v>
      </c>
      <c r="I938" s="22">
        <v>139900</v>
      </c>
      <c r="J938" s="22">
        <v>109900</v>
      </c>
      <c r="K938" s="22">
        <v>109900</v>
      </c>
      <c r="L938">
        <v>5</v>
      </c>
      <c r="M938" s="22">
        <v>549500</v>
      </c>
      <c r="N938" s="19">
        <v>499545</v>
      </c>
      <c r="O938" s="19">
        <v>499545</v>
      </c>
      <c r="P938" t="str">
        <f t="shared" si="18"/>
        <v>Ninja Motorized</v>
      </c>
      <c r="Q938" t="str">
        <f t="shared" si="19"/>
        <v>Portable</v>
      </c>
    </row>
    <row r="939" spans="1:17" x14ac:dyDescent="0.35">
      <c r="A939" t="str">
        <f>_xlfn.XLOOKUP(B939,Mapping!C:C,Mapping!D:D)</f>
        <v>other Online malls</v>
      </c>
      <c r="B939" t="s">
        <v>294</v>
      </c>
      <c r="C939" t="s">
        <v>328</v>
      </c>
      <c r="D939" s="21">
        <v>46223</v>
      </c>
      <c r="E939" s="21">
        <v>46229</v>
      </c>
      <c r="F939">
        <v>7</v>
      </c>
      <c r="G939" t="s">
        <v>101</v>
      </c>
      <c r="H939" s="22">
        <v>149900</v>
      </c>
      <c r="I939" s="22">
        <v>139900</v>
      </c>
      <c r="J939" s="22">
        <v>109900</v>
      </c>
      <c r="K939" s="22">
        <v>109900</v>
      </c>
      <c r="L939">
        <v>5</v>
      </c>
      <c r="M939" s="22">
        <v>549500</v>
      </c>
      <c r="N939" s="19">
        <v>499545</v>
      </c>
      <c r="O939" s="19">
        <v>499545</v>
      </c>
      <c r="P939" t="str">
        <f t="shared" si="18"/>
        <v>Ninja Motorized</v>
      </c>
      <c r="Q939" t="str">
        <f t="shared" si="19"/>
        <v>Portable</v>
      </c>
    </row>
    <row r="940" spans="1:17" x14ac:dyDescent="0.35">
      <c r="A940" t="str">
        <f>_xlfn.XLOOKUP(B940,Mapping!C:C,Mapping!D:D)</f>
        <v>other Online malls</v>
      </c>
      <c r="B940" t="s">
        <v>294</v>
      </c>
      <c r="C940" t="s">
        <v>328</v>
      </c>
      <c r="D940" s="21">
        <v>46223</v>
      </c>
      <c r="E940" s="21">
        <v>46229</v>
      </c>
      <c r="F940">
        <v>7</v>
      </c>
      <c r="G940" t="s">
        <v>102</v>
      </c>
      <c r="H940" s="22">
        <v>149900</v>
      </c>
      <c r="I940" s="22">
        <v>139900</v>
      </c>
      <c r="J940" s="22">
        <v>109900</v>
      </c>
      <c r="K940" s="22">
        <v>109900</v>
      </c>
      <c r="L940">
        <v>5</v>
      </c>
      <c r="M940" s="22">
        <v>549500</v>
      </c>
      <c r="N940" s="19">
        <v>499545</v>
      </c>
      <c r="O940" s="19">
        <v>499545</v>
      </c>
      <c r="P940" t="str">
        <f t="shared" si="18"/>
        <v>Ninja Motorized</v>
      </c>
      <c r="Q940" t="str">
        <f t="shared" si="19"/>
        <v>Portable</v>
      </c>
    </row>
    <row r="941" spans="1:17" x14ac:dyDescent="0.35">
      <c r="A941" t="str">
        <f>_xlfn.XLOOKUP(B941,Mapping!C:C,Mapping!D:D)</f>
        <v>other Online malls</v>
      </c>
      <c r="B941" t="s">
        <v>294</v>
      </c>
      <c r="C941" t="s">
        <v>328</v>
      </c>
      <c r="D941" s="21">
        <v>46223</v>
      </c>
      <c r="E941" s="21">
        <v>46229</v>
      </c>
      <c r="F941">
        <v>7</v>
      </c>
      <c r="G941" t="s">
        <v>103</v>
      </c>
      <c r="H941" s="22">
        <v>149900</v>
      </c>
      <c r="I941" s="22">
        <v>139900</v>
      </c>
      <c r="J941" s="22">
        <v>109900</v>
      </c>
      <c r="K941" s="22">
        <v>109900</v>
      </c>
      <c r="L941">
        <v>5</v>
      </c>
      <c r="M941" s="22">
        <v>549500</v>
      </c>
      <c r="N941" s="19">
        <v>499545</v>
      </c>
      <c r="O941" s="19">
        <v>499545</v>
      </c>
      <c r="P941" t="str">
        <f t="shared" si="18"/>
        <v>Ninja Motorized</v>
      </c>
      <c r="Q941" t="str">
        <f t="shared" si="19"/>
        <v>Portable</v>
      </c>
    </row>
    <row r="942" spans="1:17" x14ac:dyDescent="0.35">
      <c r="A942" t="str">
        <f>_xlfn.XLOOKUP(B942,Mapping!C:C,Mapping!D:D)</f>
        <v>other Online malls</v>
      </c>
      <c r="B942" t="s">
        <v>298</v>
      </c>
      <c r="C942" t="s">
        <v>330</v>
      </c>
      <c r="D942" s="21">
        <v>46226</v>
      </c>
      <c r="E942" s="21">
        <v>46226</v>
      </c>
      <c r="F942">
        <v>1</v>
      </c>
      <c r="G942" t="s">
        <v>21</v>
      </c>
      <c r="H942" s="22">
        <v>449900</v>
      </c>
      <c r="I942" s="22">
        <v>379900</v>
      </c>
      <c r="J942" s="22">
        <v>349900</v>
      </c>
      <c r="K942" s="22">
        <v>329900</v>
      </c>
      <c r="L942">
        <v>15</v>
      </c>
      <c r="M942" s="22">
        <v>4948500</v>
      </c>
      <c r="N942" s="19">
        <v>4498636</v>
      </c>
      <c r="O942" s="19">
        <v>4498636</v>
      </c>
      <c r="P942" t="str">
        <f t="shared" si="18"/>
        <v>Ninja Motorized</v>
      </c>
      <c r="Q942" t="str">
        <f t="shared" si="19"/>
        <v>Slushi</v>
      </c>
    </row>
    <row r="943" spans="1:17" x14ac:dyDescent="0.35">
      <c r="A943" t="str">
        <f>_xlfn.XLOOKUP(B943,Mapping!C:C,Mapping!D:D)</f>
        <v>other Online malls</v>
      </c>
      <c r="B943" t="s">
        <v>298</v>
      </c>
      <c r="C943" t="s">
        <v>330</v>
      </c>
      <c r="D943" s="21">
        <v>46226</v>
      </c>
      <c r="E943" s="21">
        <v>46226</v>
      </c>
      <c r="F943">
        <v>1</v>
      </c>
      <c r="G943" t="s">
        <v>32</v>
      </c>
      <c r="H943" s="22">
        <v>349900</v>
      </c>
      <c r="I943" s="22">
        <v>299900</v>
      </c>
      <c r="J943" s="22">
        <v>269900</v>
      </c>
      <c r="K943" s="22">
        <v>239900</v>
      </c>
      <c r="L943">
        <v>10</v>
      </c>
      <c r="M943" s="22">
        <v>2399000</v>
      </c>
      <c r="N943" s="19">
        <v>2180909</v>
      </c>
      <c r="O943" s="19">
        <v>2180909</v>
      </c>
      <c r="P943" t="str">
        <f t="shared" si="18"/>
        <v>Ninja Motorized</v>
      </c>
      <c r="Q943" t="str">
        <f t="shared" si="19"/>
        <v>Icecream</v>
      </c>
    </row>
    <row r="944" spans="1:17" x14ac:dyDescent="0.35">
      <c r="A944" t="str">
        <f>_xlfn.XLOOKUP(B944,Mapping!C:C,Mapping!D:D)</f>
        <v>other Online malls</v>
      </c>
      <c r="B944" t="s">
        <v>298</v>
      </c>
      <c r="C944" t="s">
        <v>330</v>
      </c>
      <c r="D944" s="21">
        <v>46226</v>
      </c>
      <c r="E944" s="21">
        <v>46226</v>
      </c>
      <c r="F944">
        <v>1</v>
      </c>
      <c r="G944" t="s">
        <v>303</v>
      </c>
      <c r="H944" s="22">
        <v>249900</v>
      </c>
      <c r="I944" s="22">
        <v>229900</v>
      </c>
      <c r="J944" s="22">
        <v>199900</v>
      </c>
      <c r="K944" s="22">
        <v>219900</v>
      </c>
      <c r="L944">
        <v>10</v>
      </c>
      <c r="M944" s="22">
        <v>2199000</v>
      </c>
      <c r="N944" s="19">
        <v>1999091</v>
      </c>
      <c r="O944" s="19">
        <v>1999091</v>
      </c>
      <c r="P944" t="str">
        <f t="shared" si="18"/>
        <v>Not Found</v>
      </c>
      <c r="Q944" t="str">
        <f t="shared" si="19"/>
        <v>Not Found</v>
      </c>
    </row>
    <row r="945" spans="1:17" x14ac:dyDescent="0.35">
      <c r="A945" t="str">
        <f>_xlfn.XLOOKUP(B945,Mapping!C:C,Mapping!D:D)</f>
        <v>other Online malls</v>
      </c>
      <c r="B945" t="s">
        <v>298</v>
      </c>
      <c r="C945" t="s">
        <v>330</v>
      </c>
      <c r="D945" s="21">
        <v>46226</v>
      </c>
      <c r="E945" s="21">
        <v>46226</v>
      </c>
      <c r="F945">
        <v>1</v>
      </c>
      <c r="G945" t="s">
        <v>304</v>
      </c>
      <c r="H945" s="22">
        <v>249900</v>
      </c>
      <c r="I945" s="22">
        <v>219900</v>
      </c>
      <c r="J945" s="22">
        <v>199900</v>
      </c>
      <c r="K945" s="22">
        <v>210000</v>
      </c>
      <c r="L945">
        <v>20</v>
      </c>
      <c r="M945" s="22">
        <v>4200000</v>
      </c>
      <c r="N945" s="19">
        <v>3818182</v>
      </c>
      <c r="O945" s="19">
        <v>3818182</v>
      </c>
      <c r="P945" t="str">
        <f t="shared" si="18"/>
        <v>Not Found</v>
      </c>
      <c r="Q945" t="str">
        <f t="shared" si="19"/>
        <v>Not Found</v>
      </c>
    </row>
    <row r="946" spans="1:17" x14ac:dyDescent="0.35">
      <c r="A946" t="str">
        <f>_xlfn.XLOOKUP(B946,Mapping!C:C,Mapping!D:D)</f>
        <v>other Online malls</v>
      </c>
      <c r="B946" t="s">
        <v>298</v>
      </c>
      <c r="C946" t="s">
        <v>330</v>
      </c>
      <c r="D946" s="21">
        <v>46226</v>
      </c>
      <c r="E946" s="21">
        <v>46226</v>
      </c>
      <c r="F946">
        <v>1</v>
      </c>
      <c r="G946" t="s">
        <v>33</v>
      </c>
      <c r="H946" s="22">
        <v>399900</v>
      </c>
      <c r="I946" s="22">
        <v>349900</v>
      </c>
      <c r="J946" s="22">
        <v>299900</v>
      </c>
      <c r="K946" s="22">
        <v>340000</v>
      </c>
      <c r="L946">
        <v>20</v>
      </c>
      <c r="M946" s="22">
        <v>6800000</v>
      </c>
      <c r="N946" s="19">
        <v>6181818</v>
      </c>
      <c r="O946" s="19">
        <v>6181818</v>
      </c>
      <c r="P946" t="str">
        <f t="shared" si="18"/>
        <v>Shark Fan</v>
      </c>
      <c r="Q946" t="str">
        <f t="shared" si="19"/>
        <v>Fan</v>
      </c>
    </row>
    <row r="947" spans="1:17" x14ac:dyDescent="0.35">
      <c r="A947" t="str">
        <f>_xlfn.XLOOKUP(B947,Mapping!C:C,Mapping!D:D)</f>
        <v>other Online malls</v>
      </c>
      <c r="B947" t="s">
        <v>298</v>
      </c>
      <c r="C947" t="s">
        <v>330</v>
      </c>
      <c r="D947" s="21">
        <v>46226</v>
      </c>
      <c r="E947" s="21">
        <v>46226</v>
      </c>
      <c r="F947">
        <v>1</v>
      </c>
      <c r="G947" t="s">
        <v>54</v>
      </c>
      <c r="H947" s="22">
        <v>699000</v>
      </c>
      <c r="I947" s="22">
        <v>499000</v>
      </c>
      <c r="J947" s="22">
        <v>499000</v>
      </c>
      <c r="K947" s="22">
        <v>429000</v>
      </c>
      <c r="L947">
        <v>5</v>
      </c>
      <c r="M947" s="22">
        <v>2145000</v>
      </c>
      <c r="N947" s="19">
        <v>1950000</v>
      </c>
      <c r="O947" s="19">
        <v>1950000</v>
      </c>
      <c r="P947" t="str">
        <f t="shared" si="18"/>
        <v>Shark Floorcare</v>
      </c>
      <c r="Q947" t="str">
        <f t="shared" si="19"/>
        <v>FW</v>
      </c>
    </row>
    <row r="948" spans="1:17" x14ac:dyDescent="0.35">
      <c r="A948" t="str">
        <f>_xlfn.XLOOKUP(B948,Mapping!C:C,Mapping!D:D)</f>
        <v>other Online malls</v>
      </c>
      <c r="B948" t="s">
        <v>298</v>
      </c>
      <c r="C948" t="s">
        <v>330</v>
      </c>
      <c r="D948" s="21">
        <v>46226</v>
      </c>
      <c r="E948" s="21">
        <v>46226</v>
      </c>
      <c r="F948">
        <v>1</v>
      </c>
      <c r="G948" t="s">
        <v>289</v>
      </c>
      <c r="H948" s="22">
        <v>149900</v>
      </c>
      <c r="I948" s="22">
        <v>139900</v>
      </c>
      <c r="J948" s="22">
        <v>109900</v>
      </c>
      <c r="K948" s="22">
        <v>109000</v>
      </c>
      <c r="L948">
        <v>10</v>
      </c>
      <c r="M948" s="22">
        <v>1090000</v>
      </c>
      <c r="N948" s="19">
        <v>990909</v>
      </c>
      <c r="O948" s="19">
        <v>990909</v>
      </c>
      <c r="P948" t="str">
        <f t="shared" si="18"/>
        <v>Not Found</v>
      </c>
      <c r="Q948" t="str">
        <f t="shared" si="19"/>
        <v>Not Found</v>
      </c>
    </row>
    <row r="949" spans="1:17" x14ac:dyDescent="0.35">
      <c r="A949" t="str">
        <f>_xlfn.XLOOKUP(B949,Mapping!C:C,Mapping!D:D)</f>
        <v>other Online malls</v>
      </c>
      <c r="B949" t="s">
        <v>298</v>
      </c>
      <c r="C949" t="s">
        <v>330</v>
      </c>
      <c r="D949" s="21">
        <v>46226</v>
      </c>
      <c r="E949" s="21">
        <v>46226</v>
      </c>
      <c r="F949">
        <v>1</v>
      </c>
      <c r="G949" t="s">
        <v>329</v>
      </c>
      <c r="H949" s="22">
        <v>119900</v>
      </c>
      <c r="I949" s="22">
        <v>99900</v>
      </c>
      <c r="J949" s="22">
        <v>84900</v>
      </c>
      <c r="K949" s="22">
        <v>74900</v>
      </c>
      <c r="L949">
        <v>10</v>
      </c>
      <c r="M949" s="22">
        <v>749000</v>
      </c>
      <c r="N949" s="19">
        <v>680909</v>
      </c>
      <c r="O949" s="19">
        <v>680909</v>
      </c>
      <c r="P949" t="str">
        <f t="shared" si="18"/>
        <v>Not Found</v>
      </c>
      <c r="Q949" t="str">
        <f t="shared" si="19"/>
        <v>Not Found</v>
      </c>
    </row>
    <row r="950" spans="1:17" x14ac:dyDescent="0.35">
      <c r="A950" t="str">
        <f>_xlfn.XLOOKUP(B950,Mapping!C:C,Mapping!D:D)</f>
        <v>other Online malls</v>
      </c>
      <c r="B950" t="s">
        <v>298</v>
      </c>
      <c r="C950" t="s">
        <v>331</v>
      </c>
      <c r="D950" s="21">
        <v>46232</v>
      </c>
      <c r="E950" s="21">
        <v>46232</v>
      </c>
      <c r="F950">
        <v>1</v>
      </c>
      <c r="G950" t="s">
        <v>54</v>
      </c>
      <c r="H950" s="22">
        <v>699000</v>
      </c>
      <c r="I950" s="22">
        <v>499000</v>
      </c>
      <c r="J950" s="22">
        <v>499000</v>
      </c>
      <c r="K950" s="22">
        <v>439000</v>
      </c>
      <c r="L950">
        <v>20</v>
      </c>
      <c r="M950" s="22">
        <v>8780000</v>
      </c>
      <c r="N950" s="19">
        <v>7981818</v>
      </c>
      <c r="O950" s="19">
        <v>7981818</v>
      </c>
      <c r="P950" t="str">
        <f t="shared" si="18"/>
        <v>Shark Floorcare</v>
      </c>
      <c r="Q950" t="str">
        <f t="shared" si="19"/>
        <v>FW</v>
      </c>
    </row>
    <row r="951" spans="1:17" x14ac:dyDescent="0.35">
      <c r="A951" t="str">
        <f>_xlfn.XLOOKUP(B951,Mapping!C:C,Mapping!D:D)</f>
        <v>Coupang</v>
      </c>
      <c r="B951" t="s">
        <v>14</v>
      </c>
      <c r="C951" t="s">
        <v>80</v>
      </c>
      <c r="D951" s="21">
        <v>46237</v>
      </c>
      <c r="E951" s="21">
        <v>46243</v>
      </c>
      <c r="F951">
        <v>7</v>
      </c>
      <c r="G951" t="s">
        <v>106</v>
      </c>
      <c r="H951">
        <v>399900</v>
      </c>
      <c r="I951">
        <v>349900</v>
      </c>
      <c r="J951">
        <v>299900</v>
      </c>
      <c r="K951">
        <v>259000</v>
      </c>
      <c r="L951">
        <v>300</v>
      </c>
      <c r="M951">
        <v>77700000</v>
      </c>
      <c r="N951" s="19">
        <v>74433272.727272719</v>
      </c>
      <c r="O951" s="19">
        <v>70711609.090909079</v>
      </c>
      <c r="P951" t="str">
        <f t="shared" si="18"/>
        <v>Ninja Heated</v>
      </c>
      <c r="Q951" t="str">
        <f t="shared" si="19"/>
        <v>Combi</v>
      </c>
    </row>
    <row r="952" spans="1:17" x14ac:dyDescent="0.35">
      <c r="A952" t="str">
        <f>_xlfn.XLOOKUP(B952,Mapping!C:C,Mapping!D:D)</f>
        <v>Coupang</v>
      </c>
      <c r="B952" t="s">
        <v>14</v>
      </c>
      <c r="C952" t="s">
        <v>80</v>
      </c>
      <c r="D952" s="21">
        <v>46237</v>
      </c>
      <c r="E952" s="21">
        <v>46243</v>
      </c>
      <c r="F952">
        <v>7</v>
      </c>
      <c r="G952" t="s">
        <v>37</v>
      </c>
      <c r="H952">
        <v>229900</v>
      </c>
      <c r="I952">
        <v>199900</v>
      </c>
      <c r="J952">
        <v>179900</v>
      </c>
      <c r="K952">
        <v>149000</v>
      </c>
      <c r="L952">
        <v>100</v>
      </c>
      <c r="M952">
        <v>14900000</v>
      </c>
      <c r="N952" s="19">
        <v>16302000</v>
      </c>
      <c r="O952" s="19">
        <v>15486900</v>
      </c>
      <c r="P952" t="str">
        <f t="shared" si="18"/>
        <v>Ninja Heated</v>
      </c>
      <c r="Q952" t="str">
        <f t="shared" si="19"/>
        <v>Airfry</v>
      </c>
    </row>
    <row r="953" spans="1:17" x14ac:dyDescent="0.35">
      <c r="A953" t="str">
        <f>_xlfn.XLOOKUP(B953,Mapping!C:C,Mapping!D:D)</f>
        <v>Coupang</v>
      </c>
      <c r="B953" t="s">
        <v>14</v>
      </c>
      <c r="C953" t="s">
        <v>15</v>
      </c>
      <c r="D953" s="21">
        <v>46237</v>
      </c>
      <c r="E953" s="21">
        <v>46237</v>
      </c>
      <c r="F953">
        <v>1</v>
      </c>
      <c r="G953" t="s">
        <v>278</v>
      </c>
      <c r="H953">
        <v>209900</v>
      </c>
      <c r="I953">
        <v>169900</v>
      </c>
      <c r="J953">
        <v>149900</v>
      </c>
      <c r="K953">
        <v>149900</v>
      </c>
      <c r="L953">
        <v>150</v>
      </c>
      <c r="M953">
        <v>22485000</v>
      </c>
      <c r="N953" s="19">
        <v>26580272.727272727</v>
      </c>
      <c r="O953" s="19">
        <v>25251259.09090909</v>
      </c>
      <c r="P953" t="str">
        <f t="shared" si="18"/>
        <v>Not Found</v>
      </c>
      <c r="Q953" t="str">
        <f t="shared" si="19"/>
        <v>Not Found</v>
      </c>
    </row>
    <row r="954" spans="1:17" x14ac:dyDescent="0.35">
      <c r="A954" t="str">
        <f>_xlfn.XLOOKUP(B954,Mapping!C:C,Mapping!D:D)</f>
        <v>Coupang</v>
      </c>
      <c r="B954" t="s">
        <v>14</v>
      </c>
      <c r="C954" t="s">
        <v>80</v>
      </c>
      <c r="D954" s="21">
        <v>46237</v>
      </c>
      <c r="E954" s="21">
        <v>46243</v>
      </c>
      <c r="F954">
        <v>7</v>
      </c>
      <c r="G954" t="s">
        <v>105</v>
      </c>
      <c r="H954">
        <v>299900</v>
      </c>
      <c r="I954">
        <v>269900</v>
      </c>
      <c r="J954">
        <v>249900</v>
      </c>
      <c r="K954">
        <v>229000</v>
      </c>
      <c r="L954">
        <v>300</v>
      </c>
      <c r="M954">
        <v>68700000</v>
      </c>
      <c r="N954" s="19">
        <v>57415090.909090906</v>
      </c>
      <c r="O954" s="19">
        <v>54544336.36363636</v>
      </c>
      <c r="P954" t="str">
        <f t="shared" si="18"/>
        <v>Ninja Motorized</v>
      </c>
      <c r="Q954" t="str">
        <f t="shared" si="19"/>
        <v>Kitchen</v>
      </c>
    </row>
    <row r="955" spans="1:17" x14ac:dyDescent="0.35">
      <c r="A955" t="str">
        <f>_xlfn.XLOOKUP(B955,Mapping!C:C,Mapping!D:D)</f>
        <v>Coupang</v>
      </c>
      <c r="B955" t="s">
        <v>14</v>
      </c>
      <c r="C955" t="s">
        <v>80</v>
      </c>
      <c r="D955" s="21">
        <v>46237</v>
      </c>
      <c r="E955" s="21">
        <v>46243</v>
      </c>
      <c r="F955">
        <v>7</v>
      </c>
      <c r="G955" t="s">
        <v>28</v>
      </c>
      <c r="H955">
        <v>299900</v>
      </c>
      <c r="I955">
        <v>219900</v>
      </c>
      <c r="J955">
        <v>219900</v>
      </c>
      <c r="K955">
        <v>189000</v>
      </c>
      <c r="L955">
        <v>150</v>
      </c>
      <c r="M955">
        <v>28350000</v>
      </c>
      <c r="N955" s="19">
        <v>21262090.909090906</v>
      </c>
      <c r="O955" s="19">
        <v>20198986.36363636</v>
      </c>
      <c r="P955" t="str">
        <f t="shared" si="18"/>
        <v>Shark Floorcare</v>
      </c>
      <c r="Q955" t="str">
        <f t="shared" si="19"/>
        <v>WD</v>
      </c>
    </row>
    <row r="956" spans="1:17" x14ac:dyDescent="0.35">
      <c r="A956" t="str">
        <f>_xlfn.XLOOKUP(B956,Mapping!C:C,Mapping!D:D)</f>
        <v>Coupang</v>
      </c>
      <c r="B956" t="s">
        <v>14</v>
      </c>
      <c r="C956" t="s">
        <v>80</v>
      </c>
      <c r="D956" s="21">
        <v>46237</v>
      </c>
      <c r="E956" s="21">
        <v>46243</v>
      </c>
      <c r="F956">
        <v>7</v>
      </c>
      <c r="G956" t="s">
        <v>108</v>
      </c>
      <c r="H956">
        <v>199900</v>
      </c>
      <c r="I956">
        <v>179900</v>
      </c>
      <c r="J956">
        <v>169900</v>
      </c>
      <c r="K956">
        <v>159000</v>
      </c>
      <c r="L956">
        <v>300</v>
      </c>
      <c r="M956">
        <v>47700000</v>
      </c>
      <c r="N956" s="19">
        <v>38269636.36363636</v>
      </c>
      <c r="O956" s="19">
        <v>36356154.545454539</v>
      </c>
      <c r="P956" t="str">
        <f t="shared" si="18"/>
        <v>Shark Floorcare</v>
      </c>
      <c r="Q956" t="str">
        <f t="shared" si="19"/>
        <v>WV</v>
      </c>
    </row>
    <row r="957" spans="1:17" x14ac:dyDescent="0.35">
      <c r="A957" t="str">
        <f>_xlfn.XLOOKUP(B957,Mapping!C:C,Mapping!D:D)</f>
        <v>Coupang</v>
      </c>
      <c r="B957" t="s">
        <v>14</v>
      </c>
      <c r="C957" t="s">
        <v>80</v>
      </c>
      <c r="D957" s="21">
        <v>46237</v>
      </c>
      <c r="E957" s="21">
        <v>46243</v>
      </c>
      <c r="F957">
        <v>7</v>
      </c>
      <c r="G957" t="s">
        <v>88</v>
      </c>
      <c r="H957">
        <v>449000</v>
      </c>
      <c r="I957">
        <v>399000</v>
      </c>
      <c r="J957">
        <v>0</v>
      </c>
      <c r="K957">
        <v>389000</v>
      </c>
      <c r="L957">
        <v>150</v>
      </c>
      <c r="M957">
        <v>58350000</v>
      </c>
      <c r="N957" s="19">
        <v>53075454.545454539</v>
      </c>
      <c r="O957" s="19">
        <v>50421681.818181813</v>
      </c>
      <c r="P957" t="str">
        <f t="shared" ref="P957:P1020" si="20">_xlfn.XLOOKUP(G957,$G$2:$G$529,$P$2:$P$529,"Not Found")</f>
        <v>Shark Floorcare</v>
      </c>
      <c r="Q957" t="str">
        <f t="shared" ref="Q957:Q1020" si="21">_xlfn.XLOOKUP(G957,$G$2:$G$529,$Q$2:$Q$529,"Not Found")</f>
        <v>CS</v>
      </c>
    </row>
    <row r="958" spans="1:17" x14ac:dyDescent="0.35">
      <c r="A958" t="str">
        <f>_xlfn.XLOOKUP(B958,Mapping!C:C,Mapping!D:D)</f>
        <v>Coupang</v>
      </c>
      <c r="B958" t="s">
        <v>14</v>
      </c>
      <c r="C958" t="s">
        <v>15</v>
      </c>
      <c r="D958" s="21">
        <v>46240</v>
      </c>
      <c r="E958" s="21">
        <v>46240</v>
      </c>
      <c r="F958">
        <v>1</v>
      </c>
      <c r="G958" t="s">
        <v>38</v>
      </c>
      <c r="H958">
        <v>429900</v>
      </c>
      <c r="I958">
        <v>399900</v>
      </c>
      <c r="J958">
        <v>349900</v>
      </c>
      <c r="K958">
        <v>349000</v>
      </c>
      <c r="L958">
        <v>80</v>
      </c>
      <c r="M958">
        <v>27920000</v>
      </c>
      <c r="N958" s="19">
        <v>24387054.545454539</v>
      </c>
      <c r="O958" s="19">
        <v>23167701.818181813</v>
      </c>
      <c r="P958" t="str">
        <f t="shared" si="20"/>
        <v>Ninja Heated</v>
      </c>
      <c r="Q958" t="str">
        <f t="shared" si="21"/>
        <v>Grill</v>
      </c>
    </row>
    <row r="959" spans="1:17" x14ac:dyDescent="0.35">
      <c r="A959" t="str">
        <f>_xlfn.XLOOKUP(B959,Mapping!C:C,Mapping!D:D)</f>
        <v>Coupang</v>
      </c>
      <c r="B959" t="s">
        <v>14</v>
      </c>
      <c r="C959" t="s">
        <v>80</v>
      </c>
      <c r="D959" s="21">
        <v>46244</v>
      </c>
      <c r="E959" s="21">
        <v>46250</v>
      </c>
      <c r="F959">
        <v>7</v>
      </c>
      <c r="G959" t="s">
        <v>97</v>
      </c>
      <c r="H959">
        <v>349900</v>
      </c>
      <c r="I959">
        <v>299900</v>
      </c>
      <c r="J959">
        <v>249900</v>
      </c>
      <c r="K959">
        <v>239000</v>
      </c>
      <c r="L959">
        <v>300</v>
      </c>
      <c r="M959">
        <v>71700000</v>
      </c>
      <c r="N959" s="19">
        <v>74433272.727272719</v>
      </c>
      <c r="O959" s="19">
        <v>70711609.090909079</v>
      </c>
      <c r="P959" t="str">
        <f t="shared" si="20"/>
        <v>Ninja Heated</v>
      </c>
      <c r="Q959" t="str">
        <f t="shared" si="21"/>
        <v>Grill</v>
      </c>
    </row>
    <row r="960" spans="1:17" x14ac:dyDescent="0.35">
      <c r="A960" t="str">
        <f>_xlfn.XLOOKUP(B960,Mapping!C:C,Mapping!D:D)</f>
        <v>Coupang</v>
      </c>
      <c r="B960" t="s">
        <v>14</v>
      </c>
      <c r="C960" t="s">
        <v>80</v>
      </c>
      <c r="D960" s="21">
        <v>46244</v>
      </c>
      <c r="E960" s="21">
        <v>46250</v>
      </c>
      <c r="F960">
        <v>7</v>
      </c>
      <c r="G960" t="s">
        <v>29</v>
      </c>
      <c r="H960">
        <v>349900</v>
      </c>
      <c r="I960">
        <v>299900</v>
      </c>
      <c r="J960">
        <v>279900</v>
      </c>
      <c r="K960">
        <v>259000</v>
      </c>
      <c r="L960">
        <v>50</v>
      </c>
      <c r="M960">
        <v>12950000</v>
      </c>
      <c r="N960" s="19">
        <v>12405545.454545453</v>
      </c>
      <c r="O960" s="19">
        <v>11785268.18181818</v>
      </c>
      <c r="P960" t="str">
        <f t="shared" si="20"/>
        <v>Ninja Heated</v>
      </c>
      <c r="Q960" t="str">
        <f t="shared" si="21"/>
        <v>Airfry</v>
      </c>
    </row>
    <row r="961" spans="1:17" x14ac:dyDescent="0.35">
      <c r="A961" t="str">
        <f>_xlfn.XLOOKUP(B961,Mapping!C:C,Mapping!D:D)</f>
        <v>Coupang</v>
      </c>
      <c r="B961" t="s">
        <v>14</v>
      </c>
      <c r="C961" t="s">
        <v>80</v>
      </c>
      <c r="D961" s="21">
        <v>46244</v>
      </c>
      <c r="E961" s="21">
        <v>46250</v>
      </c>
      <c r="F961">
        <v>7</v>
      </c>
      <c r="G961" t="s">
        <v>32</v>
      </c>
      <c r="H961">
        <v>349900</v>
      </c>
      <c r="I961">
        <v>299900</v>
      </c>
      <c r="J961">
        <v>269900</v>
      </c>
      <c r="K961">
        <v>249900</v>
      </c>
      <c r="L961">
        <v>140</v>
      </c>
      <c r="M961">
        <v>34986000</v>
      </c>
      <c r="N961" s="19">
        <v>34735527.272727266</v>
      </c>
      <c r="O961" s="19">
        <v>32998750.909090903</v>
      </c>
      <c r="P961" t="str">
        <f t="shared" si="20"/>
        <v>Ninja Motorized</v>
      </c>
      <c r="Q961" t="str">
        <f t="shared" si="21"/>
        <v>Icecream</v>
      </c>
    </row>
    <row r="962" spans="1:17" x14ac:dyDescent="0.35">
      <c r="A962" t="str">
        <f>_xlfn.XLOOKUP(B962,Mapping!C:C,Mapping!D:D)</f>
        <v>Coupang</v>
      </c>
      <c r="B962" t="s">
        <v>14</v>
      </c>
      <c r="C962" t="s">
        <v>80</v>
      </c>
      <c r="D962" s="21">
        <v>46244</v>
      </c>
      <c r="E962" s="21">
        <v>46250</v>
      </c>
      <c r="F962">
        <v>7</v>
      </c>
      <c r="G962" t="s">
        <v>112</v>
      </c>
      <c r="H962">
        <v>799000</v>
      </c>
      <c r="I962">
        <v>599000</v>
      </c>
      <c r="J962">
        <v>599000</v>
      </c>
      <c r="K962">
        <v>559000</v>
      </c>
      <c r="L962">
        <v>100</v>
      </c>
      <c r="M962">
        <v>55900000</v>
      </c>
      <c r="N962" s="19">
        <v>49689818.18181818</v>
      </c>
      <c r="O962" s="19">
        <v>47205327.272727273</v>
      </c>
      <c r="P962" t="str">
        <f t="shared" si="20"/>
        <v>Shark Floorcare</v>
      </c>
      <c r="Q962" t="str">
        <f t="shared" si="21"/>
        <v>CS</v>
      </c>
    </row>
    <row r="963" spans="1:17" x14ac:dyDescent="0.35">
      <c r="A963" t="str">
        <f>_xlfn.XLOOKUP(B963,Mapping!C:C,Mapping!D:D)</f>
        <v>Coupang</v>
      </c>
      <c r="B963" t="s">
        <v>14</v>
      </c>
      <c r="C963" t="s">
        <v>15</v>
      </c>
      <c r="D963" s="21">
        <v>46246</v>
      </c>
      <c r="E963" s="21">
        <v>46246</v>
      </c>
      <c r="F963" t="s">
        <v>115</v>
      </c>
      <c r="G963" t="s">
        <v>96</v>
      </c>
      <c r="H963">
        <v>139900</v>
      </c>
      <c r="I963">
        <v>119900</v>
      </c>
      <c r="J963">
        <v>99900</v>
      </c>
      <c r="K963">
        <v>99900</v>
      </c>
      <c r="L963">
        <v>150</v>
      </c>
      <c r="M963">
        <v>14985000</v>
      </c>
      <c r="N963" s="19">
        <v>12753000</v>
      </c>
      <c r="O963" s="19">
        <v>12115350</v>
      </c>
      <c r="P963" t="str">
        <f t="shared" si="20"/>
        <v>Shark Floorcare</v>
      </c>
      <c r="Q963" t="str">
        <f t="shared" si="21"/>
        <v>WV</v>
      </c>
    </row>
    <row r="964" spans="1:17" x14ac:dyDescent="0.35">
      <c r="A964" t="str">
        <f>_xlfn.XLOOKUP(B964,Mapping!C:C,Mapping!D:D)</f>
        <v>Coupang</v>
      </c>
      <c r="B964" t="s">
        <v>14</v>
      </c>
      <c r="C964" t="s">
        <v>15</v>
      </c>
      <c r="D964" s="21">
        <v>46251</v>
      </c>
      <c r="E964" s="21">
        <v>46251</v>
      </c>
      <c r="F964" t="s">
        <v>115</v>
      </c>
      <c r="G964" t="s">
        <v>26</v>
      </c>
      <c r="H964">
        <v>899000</v>
      </c>
      <c r="I964">
        <v>749000</v>
      </c>
      <c r="J964">
        <v>699000</v>
      </c>
      <c r="K964">
        <v>759000</v>
      </c>
      <c r="L964">
        <v>150</v>
      </c>
      <c r="M964">
        <v>113850000</v>
      </c>
      <c r="N964" s="19">
        <v>95620909.090909079</v>
      </c>
      <c r="O964" s="19">
        <v>90839863.636363626</v>
      </c>
      <c r="P964" t="str">
        <f t="shared" si="20"/>
        <v>Shark Floorcare</v>
      </c>
      <c r="Q964" t="str">
        <f t="shared" si="21"/>
        <v>FW</v>
      </c>
    </row>
    <row r="965" spans="1:17" x14ac:dyDescent="0.35">
      <c r="A965" t="str">
        <f>_xlfn.XLOOKUP(B965,Mapping!C:C,Mapping!D:D)</f>
        <v>other Online malls</v>
      </c>
      <c r="B965" t="s">
        <v>292</v>
      </c>
      <c r="C965" t="s">
        <v>337</v>
      </c>
      <c r="D965" s="21">
        <v>46235</v>
      </c>
      <c r="E965" s="21">
        <v>46239</v>
      </c>
      <c r="F965">
        <v>5</v>
      </c>
      <c r="G965" t="s">
        <v>37</v>
      </c>
      <c r="H965">
        <v>229900</v>
      </c>
      <c r="I965">
        <v>199900</v>
      </c>
      <c r="J965">
        <v>179900</v>
      </c>
      <c r="K965">
        <v>219900</v>
      </c>
      <c r="L965">
        <v>5</v>
      </c>
      <c r="M965">
        <v>1099500</v>
      </c>
      <c r="N965" s="19">
        <v>999545.45454545435</v>
      </c>
      <c r="O965" s="19">
        <v>999545.45454545435</v>
      </c>
      <c r="P965" t="str">
        <f t="shared" si="20"/>
        <v>Ninja Heated</v>
      </c>
      <c r="Q965" t="str">
        <f t="shared" si="21"/>
        <v>Airfry</v>
      </c>
    </row>
    <row r="966" spans="1:17" x14ac:dyDescent="0.35">
      <c r="A966" t="str">
        <f>_xlfn.XLOOKUP(B966,Mapping!C:C,Mapping!D:D)</f>
        <v>other Online malls</v>
      </c>
      <c r="B966" t="s">
        <v>292</v>
      </c>
      <c r="C966" t="s">
        <v>337</v>
      </c>
      <c r="D966" s="21">
        <v>46235</v>
      </c>
      <c r="E966" s="21">
        <v>46239</v>
      </c>
      <c r="F966">
        <v>5</v>
      </c>
      <c r="G966" t="s">
        <v>97</v>
      </c>
      <c r="H966">
        <v>349900</v>
      </c>
      <c r="I966">
        <v>299900</v>
      </c>
      <c r="J966">
        <v>249900</v>
      </c>
      <c r="K966">
        <v>299900</v>
      </c>
      <c r="L966">
        <v>5</v>
      </c>
      <c r="M966">
        <v>1499500</v>
      </c>
      <c r="N966" s="19">
        <v>1363181.8181818179</v>
      </c>
      <c r="O966" s="19">
        <v>1363181.8181818179</v>
      </c>
      <c r="P966" t="str">
        <f t="shared" si="20"/>
        <v>Ninja Heated</v>
      </c>
      <c r="Q966" t="str">
        <f t="shared" si="21"/>
        <v>Grill</v>
      </c>
    </row>
    <row r="967" spans="1:17" x14ac:dyDescent="0.35">
      <c r="A967" t="str">
        <f>_xlfn.XLOOKUP(B967,Mapping!C:C,Mapping!D:D)</f>
        <v>other Online malls</v>
      </c>
      <c r="B967" t="s">
        <v>292</v>
      </c>
      <c r="C967" t="s">
        <v>337</v>
      </c>
      <c r="D967" s="21">
        <v>46235</v>
      </c>
      <c r="E967" s="21">
        <v>46239</v>
      </c>
      <c r="F967">
        <v>5</v>
      </c>
      <c r="G967" t="s">
        <v>38</v>
      </c>
      <c r="H967">
        <v>429900</v>
      </c>
      <c r="I967">
        <v>399900</v>
      </c>
      <c r="J967">
        <v>349900</v>
      </c>
      <c r="K967">
        <v>419900</v>
      </c>
      <c r="L967">
        <v>5</v>
      </c>
      <c r="M967">
        <v>2099500</v>
      </c>
      <c r="N967" s="19">
        <v>1908636.3636363635</v>
      </c>
      <c r="O967" s="19">
        <v>1908636.3636363635</v>
      </c>
      <c r="P967" t="str">
        <f t="shared" si="20"/>
        <v>Ninja Heated</v>
      </c>
      <c r="Q967" t="str">
        <f t="shared" si="21"/>
        <v>Grill</v>
      </c>
    </row>
    <row r="968" spans="1:17" x14ac:dyDescent="0.35">
      <c r="A968" t="str">
        <f>_xlfn.XLOOKUP(B968,Mapping!C:C,Mapping!D:D)</f>
        <v>other Online malls</v>
      </c>
      <c r="B968" t="s">
        <v>292</v>
      </c>
      <c r="C968" t="s">
        <v>337</v>
      </c>
      <c r="D968" s="21">
        <v>46235</v>
      </c>
      <c r="E968" s="21">
        <v>46239</v>
      </c>
      <c r="F968">
        <v>5</v>
      </c>
      <c r="G968" t="s">
        <v>19</v>
      </c>
      <c r="H968">
        <v>249900</v>
      </c>
      <c r="I968">
        <v>219900</v>
      </c>
      <c r="J968">
        <v>199900</v>
      </c>
      <c r="K968">
        <v>239890</v>
      </c>
      <c r="L968">
        <v>10</v>
      </c>
      <c r="M968">
        <v>2398900</v>
      </c>
      <c r="N968" s="19">
        <v>2180818.1818181816</v>
      </c>
      <c r="O968" s="19">
        <v>2180818.1818181816</v>
      </c>
      <c r="P968" t="str">
        <f t="shared" si="20"/>
        <v>Ninja Heated</v>
      </c>
      <c r="Q968" t="str">
        <f t="shared" si="21"/>
        <v>Crispi</v>
      </c>
    </row>
    <row r="969" spans="1:17" x14ac:dyDescent="0.35">
      <c r="A969" t="str">
        <f>_xlfn.XLOOKUP(B969,Mapping!C:C,Mapping!D:D)</f>
        <v>other Online malls</v>
      </c>
      <c r="B969" t="s">
        <v>292</v>
      </c>
      <c r="C969" t="s">
        <v>337</v>
      </c>
      <c r="D969" s="21">
        <v>46235</v>
      </c>
      <c r="E969" s="21">
        <v>46239</v>
      </c>
      <c r="F969">
        <v>5</v>
      </c>
      <c r="G969" t="s">
        <v>75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 t="shared" si="20"/>
        <v>Ninja Heated</v>
      </c>
      <c r="Q969" t="str">
        <f t="shared" si="21"/>
        <v>Crispi</v>
      </c>
    </row>
    <row r="970" spans="1:17" x14ac:dyDescent="0.35">
      <c r="A970" t="str">
        <f>_xlfn.XLOOKUP(B970,Mapping!C:C,Mapping!D:D)</f>
        <v>other Online malls</v>
      </c>
      <c r="B970" t="s">
        <v>292</v>
      </c>
      <c r="C970" t="s">
        <v>337</v>
      </c>
      <c r="D970" s="21">
        <v>46235</v>
      </c>
      <c r="E970" s="21">
        <v>46239</v>
      </c>
      <c r="F970">
        <v>5</v>
      </c>
      <c r="G970" t="s">
        <v>20</v>
      </c>
      <c r="H970">
        <v>249900</v>
      </c>
      <c r="I970">
        <v>219900</v>
      </c>
      <c r="J970">
        <v>199900</v>
      </c>
      <c r="K970">
        <v>239890</v>
      </c>
      <c r="L970">
        <v>20</v>
      </c>
      <c r="M970">
        <v>4797800</v>
      </c>
      <c r="N970" s="19">
        <v>4361636.3636363633</v>
      </c>
      <c r="O970" s="19">
        <v>4361636.3636363633</v>
      </c>
      <c r="P970" t="str">
        <f t="shared" si="20"/>
        <v>Ninja Heated</v>
      </c>
      <c r="Q970" t="str">
        <f t="shared" si="21"/>
        <v>Crispi</v>
      </c>
    </row>
    <row r="971" spans="1:17" x14ac:dyDescent="0.35">
      <c r="A971" t="str">
        <f>_xlfn.XLOOKUP(B971,Mapping!C:C,Mapping!D:D)</f>
        <v>other Online malls</v>
      </c>
      <c r="B971" t="s">
        <v>292</v>
      </c>
      <c r="C971" t="s">
        <v>337</v>
      </c>
      <c r="D971" s="21">
        <v>46235</v>
      </c>
      <c r="E971" s="21">
        <v>46239</v>
      </c>
      <c r="F971">
        <v>5</v>
      </c>
      <c r="G971" t="s">
        <v>106</v>
      </c>
      <c r="H971">
        <v>399900</v>
      </c>
      <c r="I971">
        <v>349900</v>
      </c>
      <c r="J971">
        <v>299900</v>
      </c>
      <c r="K971">
        <v>349900</v>
      </c>
      <c r="L971">
        <v>5</v>
      </c>
      <c r="M971">
        <v>1749500</v>
      </c>
      <c r="N971" s="19">
        <v>1590454.5454545454</v>
      </c>
      <c r="O971" s="19">
        <v>1590454.5454545454</v>
      </c>
      <c r="P971" t="str">
        <f t="shared" si="20"/>
        <v>Ninja Heated</v>
      </c>
      <c r="Q971" t="str">
        <f t="shared" si="21"/>
        <v>Combi</v>
      </c>
    </row>
    <row r="972" spans="1:17" x14ac:dyDescent="0.35">
      <c r="A972" t="str">
        <f>_xlfn.XLOOKUP(B972,Mapping!C:C,Mapping!D:D)</f>
        <v>other Online malls</v>
      </c>
      <c r="B972" t="s">
        <v>292</v>
      </c>
      <c r="C972" t="s">
        <v>337</v>
      </c>
      <c r="D972" s="21">
        <v>46235</v>
      </c>
      <c r="E972" s="21">
        <v>46239</v>
      </c>
      <c r="F972">
        <v>5</v>
      </c>
      <c r="G972" t="s">
        <v>29</v>
      </c>
      <c r="H972">
        <v>349900</v>
      </c>
      <c r="I972">
        <v>299900</v>
      </c>
      <c r="J972">
        <v>279900</v>
      </c>
      <c r="K972">
        <v>299900</v>
      </c>
      <c r="L972">
        <v>5</v>
      </c>
      <c r="M972">
        <v>1499500</v>
      </c>
      <c r="N972" s="19">
        <v>1363181.8181818179</v>
      </c>
      <c r="O972" s="19">
        <v>1363181.8181818179</v>
      </c>
      <c r="P972" t="str">
        <f t="shared" si="20"/>
        <v>Ninja Heated</v>
      </c>
      <c r="Q972" t="str">
        <f t="shared" si="21"/>
        <v>Airfry</v>
      </c>
    </row>
    <row r="973" spans="1:17" x14ac:dyDescent="0.35">
      <c r="A973" t="str">
        <f>_xlfn.XLOOKUP(B973,Mapping!C:C,Mapping!D:D)</f>
        <v>other Online malls</v>
      </c>
      <c r="B973" t="s">
        <v>292</v>
      </c>
      <c r="C973" t="s">
        <v>337</v>
      </c>
      <c r="D973" s="21">
        <v>46235</v>
      </c>
      <c r="E973" s="21">
        <v>46239</v>
      </c>
      <c r="F973">
        <v>5</v>
      </c>
      <c r="G973" t="s">
        <v>32</v>
      </c>
      <c r="H973">
        <v>349900</v>
      </c>
      <c r="I973">
        <v>299900</v>
      </c>
      <c r="J973">
        <v>269900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 t="shared" si="20"/>
        <v>Ninja Motorized</v>
      </c>
      <c r="Q973" t="str">
        <f t="shared" si="21"/>
        <v>Icecream</v>
      </c>
    </row>
    <row r="974" spans="1:17" x14ac:dyDescent="0.35">
      <c r="A974" t="str">
        <f>_xlfn.XLOOKUP(B974,Mapping!C:C,Mapping!D:D)</f>
        <v>other Online malls</v>
      </c>
      <c r="B974" t="s">
        <v>292</v>
      </c>
      <c r="C974" t="s">
        <v>337</v>
      </c>
      <c r="D974" s="21">
        <v>46235</v>
      </c>
      <c r="E974" s="21">
        <v>46239</v>
      </c>
      <c r="F974">
        <v>5</v>
      </c>
      <c r="G974" t="s">
        <v>100</v>
      </c>
      <c r="H974">
        <v>119900</v>
      </c>
      <c r="I974">
        <v>99900</v>
      </c>
      <c r="J974">
        <v>84900</v>
      </c>
      <c r="K974">
        <v>74900</v>
      </c>
      <c r="L974">
        <v>10</v>
      </c>
      <c r="M974">
        <v>749000</v>
      </c>
      <c r="N974" s="19">
        <v>680909.09090909082</v>
      </c>
      <c r="O974" s="19">
        <v>680909.09090909082</v>
      </c>
      <c r="P974" t="str">
        <f t="shared" si="20"/>
        <v>Ninja Motorized</v>
      </c>
      <c r="Q974" t="str">
        <f t="shared" si="21"/>
        <v>Portable</v>
      </c>
    </row>
    <row r="975" spans="1:17" x14ac:dyDescent="0.35">
      <c r="A975" t="str">
        <f>_xlfn.XLOOKUP(B975,Mapping!C:C,Mapping!D:D)</f>
        <v>other Online malls</v>
      </c>
      <c r="B975" t="s">
        <v>292</v>
      </c>
      <c r="C975" t="s">
        <v>337</v>
      </c>
      <c r="D975" s="21">
        <v>46235</v>
      </c>
      <c r="E975" s="21">
        <v>46239</v>
      </c>
      <c r="F975">
        <v>5</v>
      </c>
      <c r="G975" t="s">
        <v>93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 t="shared" si="20"/>
        <v>Ninja Motorized</v>
      </c>
      <c r="Q975" t="str">
        <f t="shared" si="21"/>
        <v>Portable</v>
      </c>
    </row>
    <row r="976" spans="1:17" x14ac:dyDescent="0.35">
      <c r="A976" t="str">
        <f>_xlfn.XLOOKUP(B976,Mapping!C:C,Mapping!D:D)</f>
        <v>other Online malls</v>
      </c>
      <c r="B976" t="s">
        <v>292</v>
      </c>
      <c r="C976" t="s">
        <v>337</v>
      </c>
      <c r="D976" s="21">
        <v>46235</v>
      </c>
      <c r="E976" s="21">
        <v>46239</v>
      </c>
      <c r="F976">
        <v>5</v>
      </c>
      <c r="G976" t="s">
        <v>89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 t="shared" si="20"/>
        <v>Ninja Motorized</v>
      </c>
      <c r="Q976" t="str">
        <f t="shared" si="21"/>
        <v>Portable</v>
      </c>
    </row>
    <row r="977" spans="1:17" x14ac:dyDescent="0.35">
      <c r="A977" t="str">
        <f>_xlfn.XLOOKUP(B977,Mapping!C:C,Mapping!D:D)</f>
        <v>other Online malls</v>
      </c>
      <c r="B977" t="s">
        <v>292</v>
      </c>
      <c r="C977" t="s">
        <v>337</v>
      </c>
      <c r="D977" s="21">
        <v>46235</v>
      </c>
      <c r="E977" s="21">
        <v>46239</v>
      </c>
      <c r="F977">
        <v>5</v>
      </c>
      <c r="G977" t="s">
        <v>102</v>
      </c>
      <c r="H977">
        <v>149900</v>
      </c>
      <c r="I977">
        <v>139900</v>
      </c>
      <c r="J977">
        <v>109900</v>
      </c>
      <c r="K977">
        <v>109900</v>
      </c>
      <c r="L977">
        <v>10</v>
      </c>
      <c r="M977">
        <v>1099000</v>
      </c>
      <c r="N977" s="19">
        <v>999090.90909090894</v>
      </c>
      <c r="O977" s="19">
        <v>999090.90909090894</v>
      </c>
      <c r="P977" t="str">
        <f t="shared" si="20"/>
        <v>Ninja Motorized</v>
      </c>
      <c r="Q977" t="str">
        <f t="shared" si="21"/>
        <v>Portable</v>
      </c>
    </row>
    <row r="978" spans="1:17" x14ac:dyDescent="0.35">
      <c r="A978" t="str">
        <f>_xlfn.XLOOKUP(B978,Mapping!C:C,Mapping!D:D)</f>
        <v>other Online malls</v>
      </c>
      <c r="B978" t="s">
        <v>292</v>
      </c>
      <c r="C978" t="s">
        <v>337</v>
      </c>
      <c r="D978" s="21">
        <v>46235</v>
      </c>
      <c r="E978" s="21">
        <v>46239</v>
      </c>
      <c r="F978">
        <v>5</v>
      </c>
      <c r="G978" t="s">
        <v>86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 t="shared" si="20"/>
        <v>Ninja Motorized</v>
      </c>
      <c r="Q978" t="str">
        <f t="shared" si="21"/>
        <v>Portable</v>
      </c>
    </row>
    <row r="979" spans="1:17" x14ac:dyDescent="0.35">
      <c r="A979" t="str">
        <f>_xlfn.XLOOKUP(B979,Mapping!C:C,Mapping!D:D)</f>
        <v>other Online malls</v>
      </c>
      <c r="B979" t="s">
        <v>292</v>
      </c>
      <c r="C979" t="s">
        <v>337</v>
      </c>
      <c r="D979" s="21">
        <v>46235</v>
      </c>
      <c r="E979" s="21">
        <v>46239</v>
      </c>
      <c r="F979">
        <v>5</v>
      </c>
      <c r="G979" t="s">
        <v>82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 t="shared" si="20"/>
        <v>Ninja Motorized</v>
      </c>
      <c r="Q979" t="str">
        <f t="shared" si="21"/>
        <v>Portable</v>
      </c>
    </row>
    <row r="980" spans="1:17" x14ac:dyDescent="0.35">
      <c r="A980" t="str">
        <f>_xlfn.XLOOKUP(B980,Mapping!C:C,Mapping!D:D)</f>
        <v>other Online malls</v>
      </c>
      <c r="B980" t="s">
        <v>292</v>
      </c>
      <c r="C980" t="s">
        <v>337</v>
      </c>
      <c r="D980" s="21">
        <v>46235</v>
      </c>
      <c r="E980" s="21">
        <v>46239</v>
      </c>
      <c r="F980">
        <v>5</v>
      </c>
      <c r="G980" t="s">
        <v>103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 t="shared" si="20"/>
        <v>Ninja Motorized</v>
      </c>
      <c r="Q980" t="str">
        <f t="shared" si="21"/>
        <v>Portable</v>
      </c>
    </row>
    <row r="981" spans="1:17" x14ac:dyDescent="0.35">
      <c r="A981" t="str">
        <f>_xlfn.XLOOKUP(B981,Mapping!C:C,Mapping!D:D)</f>
        <v>other Online malls</v>
      </c>
      <c r="B981" t="s">
        <v>292</v>
      </c>
      <c r="C981" t="s">
        <v>337</v>
      </c>
      <c r="D981" s="21">
        <v>46235</v>
      </c>
      <c r="E981" s="21">
        <v>46239</v>
      </c>
      <c r="F981">
        <v>5</v>
      </c>
      <c r="G981" t="s">
        <v>101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 t="shared" si="20"/>
        <v>Ninja Motorized</v>
      </c>
      <c r="Q981" t="str">
        <f t="shared" si="21"/>
        <v>Portable</v>
      </c>
    </row>
    <row r="982" spans="1:17" x14ac:dyDescent="0.35">
      <c r="A982" t="str">
        <f>_xlfn.XLOOKUP(B982,Mapping!C:C,Mapping!D:D)</f>
        <v>other Online malls</v>
      </c>
      <c r="B982" t="s">
        <v>292</v>
      </c>
      <c r="C982" t="s">
        <v>337</v>
      </c>
      <c r="D982" s="21">
        <v>46235</v>
      </c>
      <c r="E982" s="21">
        <v>46239</v>
      </c>
      <c r="F982">
        <v>5</v>
      </c>
      <c r="G982" t="s">
        <v>34</v>
      </c>
      <c r="H982">
        <v>249900</v>
      </c>
      <c r="I982">
        <v>229900</v>
      </c>
      <c r="J982">
        <v>199900</v>
      </c>
      <c r="K982">
        <v>229900</v>
      </c>
      <c r="L982">
        <v>5</v>
      </c>
      <c r="M982">
        <v>1149500</v>
      </c>
      <c r="N982" s="19">
        <v>1044999.9999999999</v>
      </c>
      <c r="O982" s="19">
        <v>1044999.9999999999</v>
      </c>
      <c r="P982" t="str">
        <f t="shared" si="20"/>
        <v>Ninja Motorized</v>
      </c>
      <c r="Q982" t="str">
        <f t="shared" si="21"/>
        <v>Portable</v>
      </c>
    </row>
    <row r="983" spans="1:17" x14ac:dyDescent="0.35">
      <c r="A983" t="str">
        <f>_xlfn.XLOOKUP(B983,Mapping!C:C,Mapping!D:D)</f>
        <v>other Online malls</v>
      </c>
      <c r="B983" t="s">
        <v>292</v>
      </c>
      <c r="C983" t="s">
        <v>337</v>
      </c>
      <c r="D983" s="21">
        <v>46235</v>
      </c>
      <c r="E983" s="21">
        <v>46239</v>
      </c>
      <c r="F983">
        <v>5</v>
      </c>
      <c r="G983" t="s">
        <v>65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 t="shared" si="20"/>
        <v>Ninja Motorized</v>
      </c>
      <c r="Q983" t="str">
        <f t="shared" si="21"/>
        <v>Portable</v>
      </c>
    </row>
    <row r="984" spans="1:17" x14ac:dyDescent="0.35">
      <c r="A984" t="str">
        <f>_xlfn.XLOOKUP(B984,Mapping!C:C,Mapping!D:D)</f>
        <v>other Online malls</v>
      </c>
      <c r="B984" t="s">
        <v>292</v>
      </c>
      <c r="C984" t="s">
        <v>337</v>
      </c>
      <c r="D984" s="21">
        <v>46235</v>
      </c>
      <c r="E984" s="21">
        <v>46239</v>
      </c>
      <c r="F984">
        <v>5</v>
      </c>
      <c r="G984" t="s">
        <v>66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 t="shared" si="20"/>
        <v>Ninja Motorized</v>
      </c>
      <c r="Q984" t="str">
        <f t="shared" si="21"/>
        <v>Portable</v>
      </c>
    </row>
    <row r="985" spans="1:17" x14ac:dyDescent="0.35">
      <c r="A985" t="str">
        <f>_xlfn.XLOOKUP(B985,Mapping!C:C,Mapping!D:D)</f>
        <v>other Online malls</v>
      </c>
      <c r="B985" t="s">
        <v>292</v>
      </c>
      <c r="C985" t="s">
        <v>337</v>
      </c>
      <c r="D985" s="21">
        <v>46235</v>
      </c>
      <c r="E985" s="21">
        <v>46239</v>
      </c>
      <c r="F985">
        <v>5</v>
      </c>
      <c r="G985" t="s">
        <v>110</v>
      </c>
      <c r="H985">
        <v>129900</v>
      </c>
      <c r="I985">
        <v>114900</v>
      </c>
      <c r="J985">
        <v>99900</v>
      </c>
      <c r="K985">
        <v>114900</v>
      </c>
      <c r="L985">
        <v>5</v>
      </c>
      <c r="M985">
        <v>574500</v>
      </c>
      <c r="N985" s="19">
        <v>522272.72727272718</v>
      </c>
      <c r="O985" s="19">
        <v>522272.72727272718</v>
      </c>
      <c r="P985" t="str">
        <f t="shared" si="20"/>
        <v>Ninja Motorized</v>
      </c>
      <c r="Q985" t="str">
        <f t="shared" si="21"/>
        <v>Trad</v>
      </c>
    </row>
    <row r="986" spans="1:17" x14ac:dyDescent="0.35">
      <c r="A986" t="str">
        <f>_xlfn.XLOOKUP(B986,Mapping!C:C,Mapping!D:D)</f>
        <v>other Online malls</v>
      </c>
      <c r="B986" t="s">
        <v>292</v>
      </c>
      <c r="C986" t="s">
        <v>337</v>
      </c>
      <c r="D986" s="21">
        <v>46235</v>
      </c>
      <c r="E986" s="21">
        <v>46239</v>
      </c>
      <c r="F986">
        <v>5</v>
      </c>
      <c r="G986" t="s">
        <v>84</v>
      </c>
      <c r="H986">
        <v>169900</v>
      </c>
      <c r="I986">
        <v>149900</v>
      </c>
      <c r="J986">
        <v>129900</v>
      </c>
      <c r="K986">
        <v>149900</v>
      </c>
      <c r="L986">
        <v>5</v>
      </c>
      <c r="M986">
        <v>749500</v>
      </c>
      <c r="N986" s="19">
        <v>681363.63636363635</v>
      </c>
      <c r="O986" s="19">
        <v>681363.63636363635</v>
      </c>
      <c r="P986" t="str">
        <f t="shared" si="20"/>
        <v>Ninja Motorized</v>
      </c>
      <c r="Q986" t="str">
        <f t="shared" si="21"/>
        <v>Trad</v>
      </c>
    </row>
    <row r="987" spans="1:17" x14ac:dyDescent="0.35">
      <c r="A987" t="str">
        <f>_xlfn.XLOOKUP(B987,Mapping!C:C,Mapping!D:D)</f>
        <v>other Online malls</v>
      </c>
      <c r="B987" t="s">
        <v>292</v>
      </c>
      <c r="C987" t="s">
        <v>337</v>
      </c>
      <c r="D987" s="21">
        <v>46235</v>
      </c>
      <c r="E987" s="21">
        <v>46239</v>
      </c>
      <c r="F987">
        <v>5</v>
      </c>
      <c r="G987" t="s">
        <v>105</v>
      </c>
      <c r="H987">
        <v>299900</v>
      </c>
      <c r="I987">
        <v>269900</v>
      </c>
      <c r="J987">
        <v>249900</v>
      </c>
      <c r="K987">
        <v>269900</v>
      </c>
      <c r="L987">
        <v>5</v>
      </c>
      <c r="M987">
        <v>1349500</v>
      </c>
      <c r="N987" s="19">
        <v>1226818.1818181816</v>
      </c>
      <c r="O987" s="19">
        <v>1226818.1818181816</v>
      </c>
      <c r="P987" t="str">
        <f t="shared" si="20"/>
        <v>Ninja Motorized</v>
      </c>
      <c r="Q987" t="str">
        <f t="shared" si="21"/>
        <v>Kitchen</v>
      </c>
    </row>
    <row r="988" spans="1:17" x14ac:dyDescent="0.35">
      <c r="A988" t="str">
        <f>_xlfn.XLOOKUP(B988,Mapping!C:C,Mapping!D:D)</f>
        <v>other Online malls</v>
      </c>
      <c r="B988" t="s">
        <v>292</v>
      </c>
      <c r="C988" t="s">
        <v>337</v>
      </c>
      <c r="D988" s="21">
        <v>46235</v>
      </c>
      <c r="E988" s="21">
        <v>46239</v>
      </c>
      <c r="F988">
        <v>5</v>
      </c>
      <c r="G988" t="s">
        <v>16</v>
      </c>
      <c r="H988">
        <v>199900</v>
      </c>
      <c r="I988">
        <v>129900</v>
      </c>
      <c r="J988">
        <v>129900</v>
      </c>
      <c r="K988">
        <v>129900</v>
      </c>
      <c r="L988">
        <v>5</v>
      </c>
      <c r="M988">
        <v>649500</v>
      </c>
      <c r="N988" s="19">
        <v>590454.54545454541</v>
      </c>
      <c r="O988" s="19">
        <v>590454.54545454541</v>
      </c>
      <c r="P988" t="str">
        <f t="shared" si="20"/>
        <v>Ninja Motorized</v>
      </c>
      <c r="Q988" t="str">
        <f t="shared" si="21"/>
        <v>Trad</v>
      </c>
    </row>
    <row r="989" spans="1:17" x14ac:dyDescent="0.35">
      <c r="A989" t="str">
        <f>_xlfn.XLOOKUP(B989,Mapping!C:C,Mapping!D:D)</f>
        <v>other Online malls</v>
      </c>
      <c r="B989" t="s">
        <v>292</v>
      </c>
      <c r="C989" t="s">
        <v>337</v>
      </c>
      <c r="D989" s="21">
        <v>46235</v>
      </c>
      <c r="E989" s="21">
        <v>46239</v>
      </c>
      <c r="F989">
        <v>5</v>
      </c>
      <c r="G989" t="s">
        <v>39</v>
      </c>
      <c r="H989">
        <v>249900</v>
      </c>
      <c r="I989">
        <v>199900</v>
      </c>
      <c r="J989">
        <v>189900</v>
      </c>
      <c r="K989">
        <v>199900</v>
      </c>
      <c r="L989">
        <v>5</v>
      </c>
      <c r="M989">
        <v>999500</v>
      </c>
      <c r="N989" s="19">
        <v>908636.36363636353</v>
      </c>
      <c r="O989" s="19">
        <v>908636.36363636353</v>
      </c>
      <c r="P989" t="str">
        <f t="shared" si="20"/>
        <v>Ninja Motorized</v>
      </c>
      <c r="Q989" t="str">
        <f t="shared" si="21"/>
        <v>Trad</v>
      </c>
    </row>
    <row r="990" spans="1:17" x14ac:dyDescent="0.35">
      <c r="A990" t="str">
        <f>_xlfn.XLOOKUP(B990,Mapping!C:C,Mapping!D:D)</f>
        <v>other Online malls</v>
      </c>
      <c r="B990" t="s">
        <v>292</v>
      </c>
      <c r="C990" t="s">
        <v>337</v>
      </c>
      <c r="D990" s="21">
        <v>46235</v>
      </c>
      <c r="E990" s="21">
        <v>46239</v>
      </c>
      <c r="F990">
        <v>5</v>
      </c>
      <c r="G990" t="s">
        <v>85</v>
      </c>
      <c r="H990">
        <v>349900</v>
      </c>
      <c r="I990">
        <v>319900</v>
      </c>
      <c r="J990">
        <v>299900</v>
      </c>
      <c r="K990">
        <v>319900</v>
      </c>
      <c r="L990">
        <v>5</v>
      </c>
      <c r="M990">
        <v>1599500</v>
      </c>
      <c r="N990" s="19">
        <v>1454090.9090909092</v>
      </c>
      <c r="O990" s="19">
        <v>1454090.9090909092</v>
      </c>
      <c r="P990" t="str">
        <f t="shared" si="20"/>
        <v>Ninja Motorized</v>
      </c>
      <c r="Q990" t="str">
        <f t="shared" si="21"/>
        <v>Kitchen</v>
      </c>
    </row>
    <row r="991" spans="1:17" x14ac:dyDescent="0.35">
      <c r="A991" t="str">
        <f>_xlfn.XLOOKUP(B991,Mapping!C:C,Mapping!D:D)</f>
        <v>other Online malls</v>
      </c>
      <c r="B991" t="s">
        <v>292</v>
      </c>
      <c r="C991" t="s">
        <v>337</v>
      </c>
      <c r="D991" s="21">
        <v>46235</v>
      </c>
      <c r="E991" s="21">
        <v>46239</v>
      </c>
      <c r="F991">
        <v>5</v>
      </c>
      <c r="G991" t="s">
        <v>27</v>
      </c>
      <c r="H991">
        <v>329900</v>
      </c>
      <c r="I991">
        <v>299900</v>
      </c>
      <c r="J991">
        <v>279900</v>
      </c>
      <c r="K991">
        <v>299900</v>
      </c>
      <c r="L991">
        <v>5</v>
      </c>
      <c r="M991">
        <v>1499500</v>
      </c>
      <c r="N991" s="19">
        <v>1363181.8181818179</v>
      </c>
      <c r="O991" s="19">
        <v>1363181.8181818179</v>
      </c>
      <c r="P991" t="str">
        <f t="shared" si="20"/>
        <v>Ninja Motorized</v>
      </c>
      <c r="Q991" t="str">
        <f t="shared" si="21"/>
        <v>Trad</v>
      </c>
    </row>
    <row r="992" spans="1:17" x14ac:dyDescent="0.35">
      <c r="A992" t="str">
        <f>_xlfn.XLOOKUP(B992,Mapping!C:C,Mapping!D:D)</f>
        <v>other Online malls</v>
      </c>
      <c r="B992" t="s">
        <v>292</v>
      </c>
      <c r="C992" t="s">
        <v>337</v>
      </c>
      <c r="D992" s="21">
        <v>46235</v>
      </c>
      <c r="E992" s="21">
        <v>46239</v>
      </c>
      <c r="F992">
        <v>5</v>
      </c>
      <c r="G992" t="s">
        <v>40</v>
      </c>
      <c r="H992">
        <v>349900</v>
      </c>
      <c r="I992">
        <v>319900</v>
      </c>
      <c r="J992">
        <v>299900</v>
      </c>
      <c r="K992">
        <v>319900</v>
      </c>
      <c r="L992">
        <v>5</v>
      </c>
      <c r="M992">
        <v>1599500</v>
      </c>
      <c r="N992" s="19">
        <v>1454090.9090909092</v>
      </c>
      <c r="O992" s="19">
        <v>1454090.9090909092</v>
      </c>
      <c r="P992" t="str">
        <f t="shared" si="20"/>
        <v>Ninja Motorized</v>
      </c>
      <c r="Q992" t="str">
        <f t="shared" si="21"/>
        <v>Hot</v>
      </c>
    </row>
    <row r="993" spans="1:17" x14ac:dyDescent="0.35">
      <c r="A993" t="str">
        <f>_xlfn.XLOOKUP(B993,Mapping!C:C,Mapping!D:D)</f>
        <v>other Online malls</v>
      </c>
      <c r="B993" t="s">
        <v>292</v>
      </c>
      <c r="C993" t="s">
        <v>337</v>
      </c>
      <c r="D993" s="21">
        <v>46235</v>
      </c>
      <c r="E993" s="21">
        <v>46239</v>
      </c>
      <c r="F993">
        <v>5</v>
      </c>
      <c r="G993" t="s">
        <v>95</v>
      </c>
      <c r="H993">
        <v>79900</v>
      </c>
      <c r="I993">
        <v>54900</v>
      </c>
      <c r="J993">
        <v>54900</v>
      </c>
      <c r="K993">
        <v>54900</v>
      </c>
      <c r="L993">
        <v>5</v>
      </c>
      <c r="M993">
        <v>274500</v>
      </c>
      <c r="N993" s="19">
        <v>249545.45454545453</v>
      </c>
      <c r="O993" s="19">
        <v>249545.45454545453</v>
      </c>
      <c r="P993" t="str">
        <f t="shared" si="20"/>
        <v>Ninja Motorized</v>
      </c>
      <c r="Q993" t="str">
        <f t="shared" si="21"/>
        <v>Food process</v>
      </c>
    </row>
    <row r="994" spans="1:17" x14ac:dyDescent="0.35">
      <c r="A994" t="str">
        <f>_xlfn.XLOOKUP(B994,Mapping!C:C,Mapping!D:D)</f>
        <v>other Online malls</v>
      </c>
      <c r="B994" t="s">
        <v>292</v>
      </c>
      <c r="C994" t="s">
        <v>337</v>
      </c>
      <c r="D994" s="21">
        <v>46235</v>
      </c>
      <c r="E994" s="21">
        <v>46239</v>
      </c>
      <c r="F994">
        <v>5</v>
      </c>
      <c r="G994" t="s">
        <v>50</v>
      </c>
      <c r="H994">
        <v>199900</v>
      </c>
      <c r="I994">
        <v>179900</v>
      </c>
      <c r="J994">
        <v>159900</v>
      </c>
      <c r="K994">
        <v>179900</v>
      </c>
      <c r="L994">
        <v>5</v>
      </c>
      <c r="M994">
        <v>899500</v>
      </c>
      <c r="N994" s="19">
        <v>817727.27272727271</v>
      </c>
      <c r="O994" s="19">
        <v>817727.27272727271</v>
      </c>
      <c r="P994" t="str">
        <f t="shared" si="20"/>
        <v>Ninja Motorized</v>
      </c>
      <c r="Q994" t="str">
        <f t="shared" si="21"/>
        <v>Hand</v>
      </c>
    </row>
    <row r="995" spans="1:17" x14ac:dyDescent="0.35">
      <c r="A995" t="str">
        <f>_xlfn.XLOOKUP(B995,Mapping!C:C,Mapping!D:D)</f>
        <v>other Online malls</v>
      </c>
      <c r="B995" t="s">
        <v>292</v>
      </c>
      <c r="C995" t="s">
        <v>337</v>
      </c>
      <c r="D995" s="21">
        <v>46235</v>
      </c>
      <c r="E995" s="21">
        <v>46239</v>
      </c>
      <c r="F995">
        <v>5</v>
      </c>
      <c r="G995" t="s">
        <v>73</v>
      </c>
      <c r="H995">
        <v>139900</v>
      </c>
      <c r="I995">
        <v>129900</v>
      </c>
      <c r="J995">
        <v>119900</v>
      </c>
      <c r="K995">
        <v>129900</v>
      </c>
      <c r="L995">
        <v>5</v>
      </c>
      <c r="M995">
        <v>649500</v>
      </c>
      <c r="N995" s="19">
        <v>590454.54545454541</v>
      </c>
      <c r="O995" s="19">
        <v>590454.54545454541</v>
      </c>
      <c r="P995" t="str">
        <f t="shared" si="20"/>
        <v>Ninja Motorized</v>
      </c>
      <c r="Q995" t="str">
        <f t="shared" si="21"/>
        <v>Hand</v>
      </c>
    </row>
    <row r="996" spans="1:17" x14ac:dyDescent="0.35">
      <c r="A996" t="str">
        <f>_xlfn.XLOOKUP(B996,Mapping!C:C,Mapping!D:D)</f>
        <v>other Online malls</v>
      </c>
      <c r="B996" t="s">
        <v>292</v>
      </c>
      <c r="C996" t="s">
        <v>337</v>
      </c>
      <c r="D996" s="21">
        <v>46235</v>
      </c>
      <c r="E996" s="21">
        <v>46239</v>
      </c>
      <c r="F996">
        <v>5</v>
      </c>
      <c r="G996" t="s">
        <v>49</v>
      </c>
      <c r="H996">
        <v>119900</v>
      </c>
      <c r="I996">
        <v>109900</v>
      </c>
      <c r="J996">
        <v>99900</v>
      </c>
      <c r="K996">
        <v>109900</v>
      </c>
      <c r="L996">
        <v>5</v>
      </c>
      <c r="M996">
        <v>549500</v>
      </c>
      <c r="N996" s="19">
        <v>499545.45454545447</v>
      </c>
      <c r="O996" s="19">
        <v>499545.45454545447</v>
      </c>
      <c r="P996" t="str">
        <f t="shared" si="20"/>
        <v>Ninja Motorized</v>
      </c>
      <c r="Q996" t="str">
        <f t="shared" si="21"/>
        <v>Hand</v>
      </c>
    </row>
    <row r="997" spans="1:17" x14ac:dyDescent="0.35">
      <c r="A997" t="str">
        <f>_xlfn.XLOOKUP(B997,Mapping!C:C,Mapping!D:D)</f>
        <v>other Online malls</v>
      </c>
      <c r="B997" t="s">
        <v>292</v>
      </c>
      <c r="C997" t="s">
        <v>337</v>
      </c>
      <c r="D997" s="21">
        <v>46235</v>
      </c>
      <c r="E997" s="21">
        <v>46239</v>
      </c>
      <c r="F997">
        <v>5</v>
      </c>
      <c r="G997" t="s">
        <v>68</v>
      </c>
      <c r="H997">
        <v>169900</v>
      </c>
      <c r="I997">
        <v>169900</v>
      </c>
      <c r="J997">
        <v>149900</v>
      </c>
      <c r="K997">
        <v>169900</v>
      </c>
      <c r="L997">
        <v>20</v>
      </c>
      <c r="M997">
        <v>3398000</v>
      </c>
      <c r="N997" s="19">
        <v>3089090.9090909087</v>
      </c>
      <c r="O997" s="19">
        <v>3089090.9090909087</v>
      </c>
      <c r="P997" t="str">
        <f t="shared" si="20"/>
        <v>Ninja Motorized</v>
      </c>
      <c r="Q997" t="str">
        <f t="shared" si="21"/>
        <v>Trad</v>
      </c>
    </row>
    <row r="998" spans="1:17" x14ac:dyDescent="0.35">
      <c r="A998" t="str">
        <f>_xlfn.XLOOKUP(B998,Mapping!C:C,Mapping!D:D)</f>
        <v>other Online malls</v>
      </c>
      <c r="B998" t="s">
        <v>292</v>
      </c>
      <c r="C998" t="s">
        <v>337</v>
      </c>
      <c r="D998" s="21">
        <v>46235</v>
      </c>
      <c r="E998" s="21">
        <v>46239</v>
      </c>
      <c r="F998">
        <v>5</v>
      </c>
      <c r="G998" t="s">
        <v>69</v>
      </c>
      <c r="H998">
        <v>219900</v>
      </c>
      <c r="I998">
        <v>219900</v>
      </c>
      <c r="J998">
        <v>199900</v>
      </c>
      <c r="K998">
        <v>219900</v>
      </c>
      <c r="L998">
        <v>5</v>
      </c>
      <c r="M998">
        <v>1099500</v>
      </c>
      <c r="N998" s="19">
        <v>999545.45454545435</v>
      </c>
      <c r="O998" s="19">
        <v>999545.45454545435</v>
      </c>
      <c r="P998" t="str">
        <f t="shared" si="20"/>
        <v>Ninja Motorized</v>
      </c>
      <c r="Q998" t="str">
        <f t="shared" si="21"/>
        <v>Trad</v>
      </c>
    </row>
    <row r="999" spans="1:17" x14ac:dyDescent="0.35">
      <c r="A999" t="str">
        <f>_xlfn.XLOOKUP(B999,Mapping!C:C,Mapping!D:D)</f>
        <v>other Online malls</v>
      </c>
      <c r="B999" t="s">
        <v>292</v>
      </c>
      <c r="C999" t="s">
        <v>337</v>
      </c>
      <c r="D999" s="21">
        <v>46235</v>
      </c>
      <c r="E999" s="21">
        <v>46239</v>
      </c>
      <c r="F999">
        <v>5</v>
      </c>
      <c r="G999" t="s">
        <v>87</v>
      </c>
      <c r="H999">
        <v>219900</v>
      </c>
      <c r="I999">
        <v>199900</v>
      </c>
      <c r="J999">
        <v>179900</v>
      </c>
      <c r="K999">
        <v>99000</v>
      </c>
      <c r="L999">
        <v>10</v>
      </c>
      <c r="M999">
        <v>990000</v>
      </c>
      <c r="N999" s="19">
        <v>900000</v>
      </c>
      <c r="O999" s="19">
        <v>900000</v>
      </c>
      <c r="P999" t="str">
        <f t="shared" si="20"/>
        <v>Shark Fan</v>
      </c>
      <c r="Q999" t="str">
        <f t="shared" si="21"/>
        <v>Fan</v>
      </c>
    </row>
    <row r="1000" spans="1:17" x14ac:dyDescent="0.35">
      <c r="A1000" t="str">
        <f>_xlfn.XLOOKUP(B1000,Mapping!C:C,Mapping!D:D)</f>
        <v>other Online malls</v>
      </c>
      <c r="B1000" t="s">
        <v>292</v>
      </c>
      <c r="C1000" t="s">
        <v>337</v>
      </c>
      <c r="D1000" s="21">
        <v>46235</v>
      </c>
      <c r="E1000" s="21">
        <v>46239</v>
      </c>
      <c r="F1000">
        <v>5</v>
      </c>
      <c r="G1000" t="s">
        <v>91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 t="shared" si="20"/>
        <v>Shark Fan</v>
      </c>
      <c r="Q1000" t="str">
        <f t="shared" si="21"/>
        <v>Fan</v>
      </c>
    </row>
    <row r="1001" spans="1:17" x14ac:dyDescent="0.35">
      <c r="A1001" t="str">
        <f>_xlfn.XLOOKUP(B1001,Mapping!C:C,Mapping!D:D)</f>
        <v>other Online malls</v>
      </c>
      <c r="B1001" t="s">
        <v>292</v>
      </c>
      <c r="C1001" t="s">
        <v>337</v>
      </c>
      <c r="D1001" s="21">
        <v>46235</v>
      </c>
      <c r="E1001" s="21">
        <v>46239</v>
      </c>
      <c r="F1001">
        <v>5</v>
      </c>
      <c r="G1001" t="s">
        <v>99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 t="shared" si="20"/>
        <v>Shark Fan</v>
      </c>
      <c r="Q1001" t="str">
        <f t="shared" si="21"/>
        <v>Fan</v>
      </c>
    </row>
    <row r="1002" spans="1:17" x14ac:dyDescent="0.35">
      <c r="A1002" t="str">
        <f>_xlfn.XLOOKUP(B1002,Mapping!C:C,Mapping!D:D)</f>
        <v>other Online malls</v>
      </c>
      <c r="B1002" t="s">
        <v>292</v>
      </c>
      <c r="C1002" t="s">
        <v>337</v>
      </c>
      <c r="D1002" s="21">
        <v>46235</v>
      </c>
      <c r="E1002" s="21">
        <v>46239</v>
      </c>
      <c r="F1002">
        <v>5</v>
      </c>
      <c r="G1002" t="s">
        <v>109</v>
      </c>
      <c r="H1002">
        <v>249900</v>
      </c>
      <c r="I1002">
        <v>219900</v>
      </c>
      <c r="J1002">
        <v>199900</v>
      </c>
      <c r="K1002">
        <v>149900</v>
      </c>
      <c r="L1002">
        <v>10</v>
      </c>
      <c r="M1002">
        <v>1499000</v>
      </c>
      <c r="N1002" s="19">
        <v>1362727.2727272727</v>
      </c>
      <c r="O1002" s="19">
        <v>1362727.2727272727</v>
      </c>
      <c r="P1002" t="str">
        <f t="shared" si="20"/>
        <v>Shark Fan</v>
      </c>
      <c r="Q1002" t="str">
        <f t="shared" si="21"/>
        <v>Fan</v>
      </c>
    </row>
    <row r="1003" spans="1:17" x14ac:dyDescent="0.35">
      <c r="A1003" t="str">
        <f>_xlfn.XLOOKUP(B1003,Mapping!C:C,Mapping!D:D)</f>
        <v>other Online malls</v>
      </c>
      <c r="B1003" t="s">
        <v>292</v>
      </c>
      <c r="C1003" t="s">
        <v>337</v>
      </c>
      <c r="D1003" s="21">
        <v>46235</v>
      </c>
      <c r="E1003" s="21">
        <v>46239</v>
      </c>
      <c r="F1003">
        <v>5</v>
      </c>
      <c r="G1003" t="s">
        <v>111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 t="shared" si="20"/>
        <v>Shark Fan</v>
      </c>
      <c r="Q1003" t="str">
        <f t="shared" si="21"/>
        <v>Fan</v>
      </c>
    </row>
    <row r="1004" spans="1:17" x14ac:dyDescent="0.35">
      <c r="A1004" t="str">
        <f>_xlfn.XLOOKUP(B1004,Mapping!C:C,Mapping!D:D)</f>
        <v>other Online malls</v>
      </c>
      <c r="B1004" t="s">
        <v>292</v>
      </c>
      <c r="C1004" t="s">
        <v>337</v>
      </c>
      <c r="D1004" s="21">
        <v>46235</v>
      </c>
      <c r="E1004" s="21">
        <v>46239</v>
      </c>
      <c r="F1004">
        <v>5</v>
      </c>
      <c r="G1004" t="s">
        <v>33</v>
      </c>
      <c r="H1004">
        <v>399900</v>
      </c>
      <c r="I1004">
        <v>349900</v>
      </c>
      <c r="J1004">
        <v>299900</v>
      </c>
      <c r="K1004">
        <v>379900</v>
      </c>
      <c r="L1004">
        <v>10</v>
      </c>
      <c r="M1004">
        <v>3799000</v>
      </c>
      <c r="N1004" s="19">
        <v>3453636.3636363633</v>
      </c>
      <c r="O1004" s="19">
        <v>3453636.3636363633</v>
      </c>
      <c r="P1004" t="str">
        <f t="shared" si="20"/>
        <v>Shark Fan</v>
      </c>
      <c r="Q1004" t="str">
        <f t="shared" si="21"/>
        <v>Fan</v>
      </c>
    </row>
    <row r="1005" spans="1:17" x14ac:dyDescent="0.35">
      <c r="A1005" t="str">
        <f>_xlfn.XLOOKUP(B1005,Mapping!C:C,Mapping!D:D)</f>
        <v>other Online malls</v>
      </c>
      <c r="B1005" t="s">
        <v>292</v>
      </c>
      <c r="C1005" t="s">
        <v>337</v>
      </c>
      <c r="D1005" s="21">
        <v>46235</v>
      </c>
      <c r="E1005" s="21">
        <v>46239</v>
      </c>
      <c r="F1005">
        <v>5</v>
      </c>
      <c r="G1005" t="s">
        <v>42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 t="shared" si="20"/>
        <v>Shark Fan</v>
      </c>
      <c r="Q1005" t="str">
        <f t="shared" si="21"/>
        <v>Fan</v>
      </c>
    </row>
    <row r="1006" spans="1:17" x14ac:dyDescent="0.35">
      <c r="A1006" t="str">
        <f>_xlfn.XLOOKUP(B1006,Mapping!C:C,Mapping!D:D)</f>
        <v>other Online malls</v>
      </c>
      <c r="B1006" t="s">
        <v>292</v>
      </c>
      <c r="C1006" t="s">
        <v>337</v>
      </c>
      <c r="D1006" s="21">
        <v>46235</v>
      </c>
      <c r="E1006" s="21">
        <v>46239</v>
      </c>
      <c r="F1006">
        <v>5</v>
      </c>
      <c r="G1006" t="s">
        <v>108</v>
      </c>
      <c r="H1006">
        <v>199900</v>
      </c>
      <c r="I1006">
        <v>179900</v>
      </c>
      <c r="J1006">
        <v>169900</v>
      </c>
      <c r="K1006">
        <v>179900</v>
      </c>
      <c r="L1006">
        <v>5</v>
      </c>
      <c r="M1006">
        <v>899500</v>
      </c>
      <c r="N1006" s="19">
        <v>817727.27272727271</v>
      </c>
      <c r="O1006" s="19">
        <v>817727.27272727271</v>
      </c>
      <c r="P1006" t="str">
        <f t="shared" si="20"/>
        <v>Shark Floorcare</v>
      </c>
      <c r="Q1006" t="str">
        <f t="shared" si="21"/>
        <v>WV</v>
      </c>
    </row>
    <row r="1007" spans="1:17" x14ac:dyDescent="0.35">
      <c r="A1007" t="str">
        <f>_xlfn.XLOOKUP(B1007,Mapping!C:C,Mapping!D:D)</f>
        <v>other Online malls</v>
      </c>
      <c r="B1007" t="s">
        <v>292</v>
      </c>
      <c r="C1007" t="s">
        <v>337</v>
      </c>
      <c r="D1007" s="21">
        <v>46235</v>
      </c>
      <c r="E1007" s="21">
        <v>46239</v>
      </c>
      <c r="F1007">
        <v>5</v>
      </c>
      <c r="G1007" t="s">
        <v>96</v>
      </c>
      <c r="H1007">
        <v>139900</v>
      </c>
      <c r="I1007">
        <v>119900</v>
      </c>
      <c r="J1007">
        <v>99900</v>
      </c>
      <c r="K1007">
        <v>119900</v>
      </c>
      <c r="L1007">
        <v>5</v>
      </c>
      <c r="M1007">
        <v>599500</v>
      </c>
      <c r="N1007" s="19">
        <v>544999.99999999988</v>
      </c>
      <c r="O1007" s="19">
        <v>544999.99999999988</v>
      </c>
      <c r="P1007" t="str">
        <f t="shared" si="20"/>
        <v>Shark Floorcare</v>
      </c>
      <c r="Q1007" t="str">
        <f t="shared" si="21"/>
        <v>WV</v>
      </c>
    </row>
    <row r="1008" spans="1:17" x14ac:dyDescent="0.35">
      <c r="A1008" t="str">
        <f>_xlfn.XLOOKUP(B1008,Mapping!C:C,Mapping!D:D)</f>
        <v>other Online malls</v>
      </c>
      <c r="B1008" t="s">
        <v>292</v>
      </c>
      <c r="C1008" t="s">
        <v>337</v>
      </c>
      <c r="D1008" s="21">
        <v>46235</v>
      </c>
      <c r="E1008" s="21">
        <v>46239</v>
      </c>
      <c r="F1008">
        <v>5</v>
      </c>
      <c r="G1008" t="s">
        <v>62</v>
      </c>
      <c r="H1008">
        <v>349900</v>
      </c>
      <c r="I1008">
        <v>319900</v>
      </c>
      <c r="J1008">
        <v>299900</v>
      </c>
      <c r="K1008">
        <v>339900</v>
      </c>
      <c r="L1008">
        <v>5</v>
      </c>
      <c r="M1008">
        <v>1699500</v>
      </c>
      <c r="N1008" s="19">
        <v>1545000</v>
      </c>
      <c r="O1008" s="19">
        <v>1545000</v>
      </c>
      <c r="P1008" t="str">
        <f t="shared" si="20"/>
        <v>Shark Floorcare</v>
      </c>
      <c r="Q1008" t="str">
        <f t="shared" si="21"/>
        <v>WV</v>
      </c>
    </row>
    <row r="1009" spans="1:17" x14ac:dyDescent="0.35">
      <c r="A1009" t="str">
        <f>_xlfn.XLOOKUP(B1009,Mapping!C:C,Mapping!D:D)</f>
        <v>other Online malls</v>
      </c>
      <c r="B1009" t="s">
        <v>292</v>
      </c>
      <c r="C1009" t="s">
        <v>337</v>
      </c>
      <c r="D1009" s="21">
        <v>46235</v>
      </c>
      <c r="E1009" s="21">
        <v>46239</v>
      </c>
      <c r="F1009">
        <v>5</v>
      </c>
      <c r="G1009" t="s">
        <v>26</v>
      </c>
      <c r="H1009">
        <v>899000</v>
      </c>
      <c r="I1009">
        <v>749000</v>
      </c>
      <c r="J1009">
        <v>699000</v>
      </c>
      <c r="K1009">
        <v>899000</v>
      </c>
      <c r="L1009">
        <v>5</v>
      </c>
      <c r="M1009">
        <v>4495000</v>
      </c>
      <c r="N1009" s="19">
        <v>4086363.6363636358</v>
      </c>
      <c r="O1009" s="19">
        <v>4086363.6363636358</v>
      </c>
      <c r="P1009" t="str">
        <f t="shared" si="20"/>
        <v>Shark Floorcare</v>
      </c>
      <c r="Q1009" t="str">
        <f t="shared" si="21"/>
        <v>FW</v>
      </c>
    </row>
    <row r="1010" spans="1:17" x14ac:dyDescent="0.35">
      <c r="A1010" t="str">
        <f>_xlfn.XLOOKUP(B1010,Mapping!C:C,Mapping!D:D)</f>
        <v>other Online malls</v>
      </c>
      <c r="B1010" t="s">
        <v>292</v>
      </c>
      <c r="C1010" t="s">
        <v>337</v>
      </c>
      <c r="D1010" s="21">
        <v>46235</v>
      </c>
      <c r="E1010" s="21">
        <v>46239</v>
      </c>
      <c r="F1010">
        <v>5</v>
      </c>
      <c r="G1010" t="s">
        <v>112</v>
      </c>
      <c r="H1010">
        <v>799000</v>
      </c>
      <c r="I1010">
        <v>599000</v>
      </c>
      <c r="J1010">
        <v>599000</v>
      </c>
      <c r="K1010">
        <v>799000</v>
      </c>
      <c r="L1010">
        <v>5</v>
      </c>
      <c r="M1010">
        <v>3995000</v>
      </c>
      <c r="N1010" s="19">
        <v>3631818.1818181816</v>
      </c>
      <c r="O1010" s="19">
        <v>3631818.1818181816</v>
      </c>
      <c r="P1010" t="str">
        <f t="shared" si="20"/>
        <v>Shark Floorcare</v>
      </c>
      <c r="Q1010" t="str">
        <f t="shared" si="21"/>
        <v>CS</v>
      </c>
    </row>
    <row r="1011" spans="1:17" x14ac:dyDescent="0.35">
      <c r="A1011" t="str">
        <f>_xlfn.XLOOKUP(B1011,Mapping!C:C,Mapping!D:D)</f>
        <v>other Online malls</v>
      </c>
      <c r="B1011" t="s">
        <v>292</v>
      </c>
      <c r="C1011" t="s">
        <v>337</v>
      </c>
      <c r="D1011" s="21">
        <v>46235</v>
      </c>
      <c r="E1011" s="21">
        <v>46239</v>
      </c>
      <c r="F1011">
        <v>5</v>
      </c>
      <c r="G1011" t="s">
        <v>104</v>
      </c>
      <c r="H1011">
        <v>799000</v>
      </c>
      <c r="I1011">
        <v>699000</v>
      </c>
      <c r="J1011">
        <v>599000</v>
      </c>
      <c r="K1011">
        <v>699000</v>
      </c>
      <c r="L1011">
        <v>5</v>
      </c>
      <c r="M1011">
        <v>3495000</v>
      </c>
      <c r="N1011" s="19">
        <v>3177272.7272727271</v>
      </c>
      <c r="O1011" s="19">
        <v>3177272.7272727271</v>
      </c>
      <c r="P1011" t="str">
        <f t="shared" si="20"/>
        <v>Shark Floorcare</v>
      </c>
      <c r="Q1011" t="str">
        <f t="shared" si="21"/>
        <v>FW</v>
      </c>
    </row>
    <row r="1012" spans="1:17" x14ac:dyDescent="0.35">
      <c r="A1012" t="str">
        <f>_xlfn.XLOOKUP(B1012,Mapping!C:C,Mapping!D:D)</f>
        <v>other Online malls</v>
      </c>
      <c r="B1012" t="s">
        <v>292</v>
      </c>
      <c r="C1012" t="s">
        <v>337</v>
      </c>
      <c r="D1012" s="21">
        <v>46235</v>
      </c>
      <c r="E1012" s="21">
        <v>46239</v>
      </c>
      <c r="F1012">
        <v>5</v>
      </c>
      <c r="G1012" t="s">
        <v>57</v>
      </c>
      <c r="H1012">
        <v>699000</v>
      </c>
      <c r="I1012">
        <v>599000</v>
      </c>
      <c r="J1012">
        <v>499000</v>
      </c>
      <c r="K1012">
        <v>659000</v>
      </c>
      <c r="L1012">
        <v>5</v>
      </c>
      <c r="M1012">
        <v>3295000</v>
      </c>
      <c r="N1012" s="19">
        <v>2995454.5454545454</v>
      </c>
      <c r="O1012" s="19">
        <v>2995454.5454545454</v>
      </c>
      <c r="P1012" t="str">
        <f t="shared" si="20"/>
        <v>Shark Floorcare</v>
      </c>
      <c r="Q1012" t="str">
        <f t="shared" si="21"/>
        <v>Kion</v>
      </c>
    </row>
    <row r="1013" spans="1:17" x14ac:dyDescent="0.35">
      <c r="A1013" t="str">
        <f>_xlfn.XLOOKUP(B1013,Mapping!C:C,Mapping!D:D)</f>
        <v>other Online malls</v>
      </c>
      <c r="B1013" t="s">
        <v>292</v>
      </c>
      <c r="C1013" t="s">
        <v>337</v>
      </c>
      <c r="D1013" s="21">
        <v>46235</v>
      </c>
      <c r="E1013" s="21">
        <v>46239</v>
      </c>
      <c r="F1013">
        <v>5</v>
      </c>
      <c r="G1013" t="s">
        <v>54</v>
      </c>
      <c r="H1013">
        <v>699000</v>
      </c>
      <c r="I1013">
        <v>599000</v>
      </c>
      <c r="J1013">
        <v>499000</v>
      </c>
      <c r="K1013">
        <v>439000</v>
      </c>
      <c r="L1013">
        <v>5</v>
      </c>
      <c r="M1013">
        <v>2195000</v>
      </c>
      <c r="N1013" s="19">
        <v>1995454.5454545454</v>
      </c>
      <c r="O1013" s="19">
        <v>1995454.5454545454</v>
      </c>
      <c r="P1013" t="str">
        <f t="shared" si="20"/>
        <v>Shark Floorcare</v>
      </c>
      <c r="Q1013" t="str">
        <f t="shared" si="21"/>
        <v>FW</v>
      </c>
    </row>
    <row r="1014" spans="1:17" x14ac:dyDescent="0.35">
      <c r="A1014" t="str">
        <f>_xlfn.XLOOKUP(B1014,Mapping!C:C,Mapping!D:D)</f>
        <v>other Online malls</v>
      </c>
      <c r="B1014" t="s">
        <v>292</v>
      </c>
      <c r="C1014" t="s">
        <v>337</v>
      </c>
      <c r="D1014" s="21">
        <v>46235</v>
      </c>
      <c r="E1014" s="21">
        <v>46239</v>
      </c>
      <c r="F1014">
        <v>5</v>
      </c>
      <c r="G1014" t="s">
        <v>88</v>
      </c>
      <c r="H1014">
        <v>449000</v>
      </c>
      <c r="I1014">
        <v>399000</v>
      </c>
      <c r="J1014">
        <v>0</v>
      </c>
      <c r="K1014">
        <v>499000</v>
      </c>
      <c r="L1014">
        <v>5</v>
      </c>
      <c r="M1014">
        <v>2495000</v>
      </c>
      <c r="N1014" s="19">
        <v>2268181.8181818179</v>
      </c>
      <c r="O1014" s="19">
        <v>2268181.8181818179</v>
      </c>
      <c r="P1014" t="str">
        <f t="shared" si="20"/>
        <v>Shark Floorcare</v>
      </c>
      <c r="Q1014" t="str">
        <f t="shared" si="21"/>
        <v>CS</v>
      </c>
    </row>
    <row r="1015" spans="1:17" x14ac:dyDescent="0.35">
      <c r="A1015" t="str">
        <f>_xlfn.XLOOKUP(B1015,Mapping!C:C,Mapping!D:D)</f>
        <v>other Online malls</v>
      </c>
      <c r="B1015" t="s">
        <v>292</v>
      </c>
      <c r="C1015" t="s">
        <v>337</v>
      </c>
      <c r="D1015" s="21">
        <v>46235</v>
      </c>
      <c r="E1015" s="21">
        <v>46239</v>
      </c>
      <c r="F1015">
        <v>5</v>
      </c>
      <c r="G1015" t="s">
        <v>31</v>
      </c>
      <c r="H1015">
        <v>849000</v>
      </c>
      <c r="I1015">
        <v>699000</v>
      </c>
      <c r="J1015">
        <v>649000</v>
      </c>
      <c r="K1015">
        <v>819000</v>
      </c>
      <c r="L1015">
        <v>5</v>
      </c>
      <c r="M1015">
        <v>4095000</v>
      </c>
      <c r="N1015" s="19">
        <v>3722727.2727272725</v>
      </c>
      <c r="O1015" s="19">
        <v>3722727.2727272725</v>
      </c>
      <c r="P1015" t="str">
        <f t="shared" si="20"/>
        <v>Shark Floorcare</v>
      </c>
      <c r="Q1015" t="str">
        <f t="shared" si="21"/>
        <v>FW</v>
      </c>
    </row>
    <row r="1016" spans="1:17" x14ac:dyDescent="0.35">
      <c r="A1016" t="str">
        <f>_xlfn.XLOOKUP(B1016,Mapping!C:C,Mapping!D:D)</f>
        <v>other Online malls</v>
      </c>
      <c r="B1016" t="s">
        <v>292</v>
      </c>
      <c r="C1016" t="s">
        <v>337</v>
      </c>
      <c r="D1016" s="21">
        <v>46235</v>
      </c>
      <c r="E1016" s="21">
        <v>46239</v>
      </c>
      <c r="F1016">
        <v>5</v>
      </c>
      <c r="G1016" t="s">
        <v>35</v>
      </c>
      <c r="H1016">
        <v>599000</v>
      </c>
      <c r="I1016">
        <v>549000</v>
      </c>
      <c r="J1016">
        <v>499000</v>
      </c>
      <c r="K1016">
        <v>649000</v>
      </c>
      <c r="L1016">
        <v>5</v>
      </c>
      <c r="M1016">
        <v>3245000</v>
      </c>
      <c r="N1016" s="19">
        <v>2950000</v>
      </c>
      <c r="O1016" s="19">
        <v>2950000</v>
      </c>
      <c r="P1016" t="str">
        <f t="shared" si="20"/>
        <v>Shark Floorcare</v>
      </c>
      <c r="Q1016" t="str">
        <f t="shared" si="21"/>
        <v>FW</v>
      </c>
    </row>
    <row r="1017" spans="1:17" x14ac:dyDescent="0.35">
      <c r="A1017" t="str">
        <f>_xlfn.XLOOKUP(B1017,Mapping!C:C,Mapping!D:D)</f>
        <v>other Online malls</v>
      </c>
      <c r="B1017" t="s">
        <v>292</v>
      </c>
      <c r="C1017" t="s">
        <v>337</v>
      </c>
      <c r="D1017" s="21">
        <v>46235</v>
      </c>
      <c r="E1017" s="21">
        <v>46239</v>
      </c>
      <c r="F1017">
        <v>5</v>
      </c>
      <c r="G1017" t="s">
        <v>23</v>
      </c>
      <c r="H1017">
        <v>899000</v>
      </c>
      <c r="I1017">
        <v>849000</v>
      </c>
      <c r="J1017">
        <v>749000</v>
      </c>
      <c r="K1017">
        <v>889000</v>
      </c>
      <c r="L1017">
        <v>5</v>
      </c>
      <c r="M1017">
        <v>4445000</v>
      </c>
      <c r="N1017" s="19">
        <v>4040909.0909090908</v>
      </c>
      <c r="O1017" s="19">
        <v>4040909.0909090908</v>
      </c>
      <c r="P1017" t="str">
        <f t="shared" si="20"/>
        <v>Shark Floorcare</v>
      </c>
      <c r="Q1017" t="str">
        <f t="shared" si="21"/>
        <v>Kion</v>
      </c>
    </row>
    <row r="1018" spans="1:17" x14ac:dyDescent="0.35">
      <c r="A1018" t="str">
        <f>_xlfn.XLOOKUP(B1018,Mapping!C:C,Mapping!D:D)</f>
        <v>other Online malls</v>
      </c>
      <c r="B1018" t="s">
        <v>292</v>
      </c>
      <c r="C1018" t="s">
        <v>337</v>
      </c>
      <c r="D1018" s="21">
        <v>46235</v>
      </c>
      <c r="E1018" s="21">
        <v>46239</v>
      </c>
      <c r="F1018">
        <v>5</v>
      </c>
      <c r="G1018" t="s">
        <v>107</v>
      </c>
      <c r="H1018">
        <v>849000</v>
      </c>
      <c r="I1018">
        <v>749000</v>
      </c>
      <c r="J1018">
        <v>699000</v>
      </c>
      <c r="K1018">
        <v>860000</v>
      </c>
      <c r="L1018">
        <v>5</v>
      </c>
      <c r="M1018">
        <v>4300000</v>
      </c>
      <c r="N1018" s="19">
        <v>3909090.9090909087</v>
      </c>
      <c r="O1018" s="19">
        <v>3909090.9090909087</v>
      </c>
      <c r="P1018" t="str">
        <f t="shared" si="20"/>
        <v>Shark Floorcare</v>
      </c>
      <c r="Q1018" t="str">
        <f t="shared" si="21"/>
        <v>Kion</v>
      </c>
    </row>
    <row r="1019" spans="1:17" x14ac:dyDescent="0.35">
      <c r="A1019" t="str">
        <f>_xlfn.XLOOKUP(B1019,Mapping!C:C,Mapping!D:D)</f>
        <v>other Online malls</v>
      </c>
      <c r="B1019" t="s">
        <v>292</v>
      </c>
      <c r="C1019" t="s">
        <v>337</v>
      </c>
      <c r="D1019" s="21">
        <v>46235</v>
      </c>
      <c r="E1019" s="21">
        <v>46239</v>
      </c>
      <c r="F1019">
        <v>5</v>
      </c>
      <c r="G1019" t="s">
        <v>28</v>
      </c>
      <c r="H1019">
        <v>299900</v>
      </c>
      <c r="I1019">
        <v>219900</v>
      </c>
      <c r="J1019">
        <v>219900</v>
      </c>
      <c r="K1019">
        <v>219900</v>
      </c>
      <c r="L1019">
        <v>5</v>
      </c>
      <c r="M1019">
        <v>1099500</v>
      </c>
      <c r="N1019" s="19">
        <v>999545.45454545435</v>
      </c>
      <c r="O1019" s="19">
        <v>999545.45454545435</v>
      </c>
      <c r="P1019" t="str">
        <f t="shared" si="20"/>
        <v>Shark Floorcare</v>
      </c>
      <c r="Q1019" t="str">
        <f t="shared" si="21"/>
        <v>WD</v>
      </c>
    </row>
    <row r="1020" spans="1:17" x14ac:dyDescent="0.35">
      <c r="A1020" t="str">
        <f>_xlfn.XLOOKUP(B1020,Mapping!C:C,Mapping!D:D)</f>
        <v>other Online malls</v>
      </c>
      <c r="B1020" t="s">
        <v>292</v>
      </c>
      <c r="C1020" t="s">
        <v>337</v>
      </c>
      <c r="D1020" s="21">
        <v>46235</v>
      </c>
      <c r="E1020" s="21">
        <v>46239</v>
      </c>
      <c r="F1020">
        <v>5</v>
      </c>
      <c r="G1020" t="s">
        <v>36</v>
      </c>
      <c r="H1020">
        <v>469900</v>
      </c>
      <c r="I1020">
        <v>399900</v>
      </c>
      <c r="J1020">
        <v>389900</v>
      </c>
      <c r="K1020">
        <v>399900</v>
      </c>
      <c r="L1020">
        <v>5</v>
      </c>
      <c r="M1020">
        <v>1999500</v>
      </c>
      <c r="N1020" s="19">
        <v>1817727.2727272727</v>
      </c>
      <c r="O1020" s="19">
        <v>1817727.2727272727</v>
      </c>
      <c r="P1020" t="str">
        <f t="shared" si="20"/>
        <v>Shark Floorcare</v>
      </c>
      <c r="Q1020" t="str">
        <f t="shared" si="21"/>
        <v>WD</v>
      </c>
    </row>
    <row r="1021" spans="1:17" x14ac:dyDescent="0.35">
      <c r="A1021" t="str">
        <f>_xlfn.XLOOKUP(B1021,Mapping!C:C,Mapping!D:D)</f>
        <v>other Online malls</v>
      </c>
      <c r="B1021" t="s">
        <v>294</v>
      </c>
      <c r="C1021" t="s">
        <v>338</v>
      </c>
      <c r="D1021" s="21">
        <v>46237</v>
      </c>
      <c r="E1021" s="21">
        <v>46243</v>
      </c>
      <c r="F1021">
        <v>7</v>
      </c>
      <c r="G1021" t="s">
        <v>37</v>
      </c>
      <c r="H1021">
        <v>229900</v>
      </c>
      <c r="I1021">
        <v>199900</v>
      </c>
      <c r="J1021">
        <v>179900</v>
      </c>
      <c r="K1021">
        <v>199900</v>
      </c>
      <c r="L1021">
        <v>6</v>
      </c>
      <c r="M1021">
        <v>1199400</v>
      </c>
      <c r="N1021" s="19">
        <v>1090363.6363636362</v>
      </c>
      <c r="O1021" s="19">
        <v>1090363.6363636362</v>
      </c>
      <c r="P1021" t="str">
        <f t="shared" ref="P1021:P1084" si="22">_xlfn.XLOOKUP(G1021,$G$2:$G$529,$P$2:$P$529,"Not Found")</f>
        <v>Ninja Heated</v>
      </c>
      <c r="Q1021" t="str">
        <f t="shared" ref="Q1021:Q1084" si="23">_xlfn.XLOOKUP(G1021,$G$2:$G$529,$Q$2:$Q$529,"Not Found")</f>
        <v>Airfry</v>
      </c>
    </row>
    <row r="1022" spans="1:17" x14ac:dyDescent="0.35">
      <c r="A1022" t="str">
        <f>_xlfn.XLOOKUP(B1022,Mapping!C:C,Mapping!D:D)</f>
        <v>other Online malls</v>
      </c>
      <c r="B1022" t="s">
        <v>294</v>
      </c>
      <c r="C1022" t="s">
        <v>338</v>
      </c>
      <c r="D1022" s="21">
        <v>46237</v>
      </c>
      <c r="E1022" s="21">
        <v>46243</v>
      </c>
      <c r="F1022">
        <v>7</v>
      </c>
      <c r="G1022" t="s">
        <v>97</v>
      </c>
      <c r="H1022">
        <v>349900</v>
      </c>
      <c r="I1022">
        <v>299900</v>
      </c>
      <c r="J1022">
        <v>249900</v>
      </c>
      <c r="K1022">
        <v>299900</v>
      </c>
      <c r="L1022">
        <v>7</v>
      </c>
      <c r="M1022">
        <v>2099300</v>
      </c>
      <c r="N1022" s="19">
        <v>1908454.5454545452</v>
      </c>
      <c r="O1022" s="19">
        <v>1908454.5454545452</v>
      </c>
      <c r="P1022" t="str">
        <f t="shared" si="22"/>
        <v>Ninja Heated</v>
      </c>
      <c r="Q1022" t="str">
        <f t="shared" si="23"/>
        <v>Grill</v>
      </c>
    </row>
    <row r="1023" spans="1:17" x14ac:dyDescent="0.35">
      <c r="A1023" t="str">
        <f>_xlfn.XLOOKUP(B1023,Mapping!C:C,Mapping!D:D)</f>
        <v>other Online malls</v>
      </c>
      <c r="B1023" t="s">
        <v>294</v>
      </c>
      <c r="C1023" t="s">
        <v>338</v>
      </c>
      <c r="D1023" s="21">
        <v>46237</v>
      </c>
      <c r="E1023" s="21">
        <v>46243</v>
      </c>
      <c r="F1023">
        <v>7</v>
      </c>
      <c r="G1023" t="s">
        <v>38</v>
      </c>
      <c r="H1023">
        <v>429900</v>
      </c>
      <c r="I1023">
        <v>399900</v>
      </c>
      <c r="J1023">
        <v>349900</v>
      </c>
      <c r="K1023">
        <v>399900</v>
      </c>
      <c r="L1023">
        <v>8</v>
      </c>
      <c r="M1023">
        <v>3199200</v>
      </c>
      <c r="N1023" s="19">
        <v>2908363.6363636362</v>
      </c>
      <c r="O1023" s="19">
        <v>2908363.6363636362</v>
      </c>
      <c r="P1023" t="str">
        <f t="shared" si="22"/>
        <v>Ninja Heated</v>
      </c>
      <c r="Q1023" t="str">
        <f t="shared" si="23"/>
        <v>Grill</v>
      </c>
    </row>
    <row r="1024" spans="1:17" x14ac:dyDescent="0.35">
      <c r="A1024" t="str">
        <f>_xlfn.XLOOKUP(B1024,Mapping!C:C,Mapping!D:D)</f>
        <v>other Online malls</v>
      </c>
      <c r="B1024" t="s">
        <v>294</v>
      </c>
      <c r="C1024" t="s">
        <v>338</v>
      </c>
      <c r="D1024" s="21">
        <v>46237</v>
      </c>
      <c r="E1024" s="21">
        <v>46243</v>
      </c>
      <c r="F1024">
        <v>7</v>
      </c>
      <c r="G1024" t="s">
        <v>106</v>
      </c>
      <c r="H1024">
        <v>399900</v>
      </c>
      <c r="I1024">
        <v>349900</v>
      </c>
      <c r="J1024">
        <v>299900</v>
      </c>
      <c r="K1024">
        <v>349900</v>
      </c>
      <c r="L1024">
        <v>9</v>
      </c>
      <c r="M1024">
        <v>3149100</v>
      </c>
      <c r="N1024" s="19">
        <v>2862818.1818181816</v>
      </c>
      <c r="O1024" s="19">
        <v>2862818.1818181816</v>
      </c>
      <c r="P1024" t="str">
        <f t="shared" si="22"/>
        <v>Ninja Heated</v>
      </c>
      <c r="Q1024" t="str">
        <f t="shared" si="23"/>
        <v>Combi</v>
      </c>
    </row>
    <row r="1025" spans="1:17" x14ac:dyDescent="0.35">
      <c r="A1025" t="str">
        <f>_xlfn.XLOOKUP(B1025,Mapping!C:C,Mapping!D:D)</f>
        <v>other Online malls</v>
      </c>
      <c r="B1025" t="s">
        <v>294</v>
      </c>
      <c r="C1025" t="s">
        <v>338</v>
      </c>
      <c r="D1025" s="21">
        <v>46237</v>
      </c>
      <c r="E1025" s="21">
        <v>46243</v>
      </c>
      <c r="F1025">
        <v>7</v>
      </c>
      <c r="G1025" t="s">
        <v>29</v>
      </c>
      <c r="H1025">
        <v>349900</v>
      </c>
      <c r="I1025">
        <v>299900</v>
      </c>
      <c r="J1025">
        <v>279900</v>
      </c>
      <c r="K1025">
        <v>299900</v>
      </c>
      <c r="L1025">
        <v>10</v>
      </c>
      <c r="M1025">
        <v>2999000</v>
      </c>
      <c r="N1025" s="19">
        <v>2726363.6363636358</v>
      </c>
      <c r="O1025" s="19">
        <v>2726363.6363636358</v>
      </c>
      <c r="P1025" t="str">
        <f t="shared" si="22"/>
        <v>Ninja Heated</v>
      </c>
      <c r="Q1025" t="str">
        <f t="shared" si="23"/>
        <v>Airfry</v>
      </c>
    </row>
    <row r="1026" spans="1:17" x14ac:dyDescent="0.35">
      <c r="A1026" t="str">
        <f>_xlfn.XLOOKUP(B1026,Mapping!C:C,Mapping!D:D)</f>
        <v>other Online malls</v>
      </c>
      <c r="B1026" t="s">
        <v>294</v>
      </c>
      <c r="C1026" t="s">
        <v>338</v>
      </c>
      <c r="D1026" s="21">
        <v>46237</v>
      </c>
      <c r="E1026" s="21">
        <v>46243</v>
      </c>
      <c r="F1026">
        <v>7</v>
      </c>
      <c r="G1026" t="s">
        <v>19</v>
      </c>
      <c r="H1026">
        <v>249900</v>
      </c>
      <c r="I1026">
        <v>219900</v>
      </c>
      <c r="J1026">
        <v>199900</v>
      </c>
      <c r="K1026">
        <v>239900</v>
      </c>
      <c r="L1026">
        <v>10</v>
      </c>
      <c r="M1026">
        <v>2399000</v>
      </c>
      <c r="N1026" s="19">
        <v>2180909.0909090908</v>
      </c>
      <c r="O1026" s="19">
        <v>2180909.0909090908</v>
      </c>
      <c r="P1026" t="str">
        <f t="shared" si="22"/>
        <v>Ninja Heated</v>
      </c>
      <c r="Q1026" t="str">
        <f t="shared" si="23"/>
        <v>Crispi</v>
      </c>
    </row>
    <row r="1027" spans="1:17" x14ac:dyDescent="0.35">
      <c r="A1027" t="str">
        <f>_xlfn.XLOOKUP(B1027,Mapping!C:C,Mapping!D:D)</f>
        <v>other Online malls</v>
      </c>
      <c r="B1027" t="s">
        <v>294</v>
      </c>
      <c r="C1027" t="s">
        <v>338</v>
      </c>
      <c r="D1027" s="21">
        <v>46237</v>
      </c>
      <c r="E1027" s="21">
        <v>46243</v>
      </c>
      <c r="F1027">
        <v>7</v>
      </c>
      <c r="G1027" t="s">
        <v>75</v>
      </c>
      <c r="H1027">
        <v>249900</v>
      </c>
      <c r="I1027">
        <v>219900</v>
      </c>
      <c r="J1027">
        <v>199900</v>
      </c>
      <c r="K1027">
        <v>239900</v>
      </c>
      <c r="L1027">
        <v>10</v>
      </c>
      <c r="M1027">
        <v>2399000</v>
      </c>
      <c r="N1027" s="19">
        <v>2180909.0909090908</v>
      </c>
      <c r="O1027" s="19">
        <v>2180909.0909090908</v>
      </c>
      <c r="P1027" t="str">
        <f t="shared" si="22"/>
        <v>Ninja Heated</v>
      </c>
      <c r="Q1027" t="str">
        <f t="shared" si="23"/>
        <v>Crispi</v>
      </c>
    </row>
    <row r="1028" spans="1:17" x14ac:dyDescent="0.35">
      <c r="A1028" t="str">
        <f>_xlfn.XLOOKUP(B1028,Mapping!C:C,Mapping!D:D)</f>
        <v>other Online malls</v>
      </c>
      <c r="B1028" t="s">
        <v>294</v>
      </c>
      <c r="C1028" t="s">
        <v>338</v>
      </c>
      <c r="D1028" s="21">
        <v>46237</v>
      </c>
      <c r="E1028" s="21">
        <v>46243</v>
      </c>
      <c r="F1028">
        <v>7</v>
      </c>
      <c r="G1028" t="s">
        <v>20</v>
      </c>
      <c r="H1028">
        <v>249900</v>
      </c>
      <c r="I1028">
        <v>219900</v>
      </c>
      <c r="J1028">
        <v>199900</v>
      </c>
      <c r="K1028">
        <v>239900</v>
      </c>
      <c r="L1028">
        <v>5</v>
      </c>
      <c r="M1028">
        <v>1199500</v>
      </c>
      <c r="N1028" s="19">
        <v>1090454.5454545454</v>
      </c>
      <c r="O1028" s="19">
        <v>1090454.5454545454</v>
      </c>
      <c r="P1028" t="str">
        <f t="shared" si="22"/>
        <v>Ninja Heated</v>
      </c>
      <c r="Q1028" t="str">
        <f t="shared" si="23"/>
        <v>Crispi</v>
      </c>
    </row>
    <row r="1029" spans="1:17" x14ac:dyDescent="0.35">
      <c r="A1029" t="str">
        <f>_xlfn.XLOOKUP(B1029,Mapping!C:C,Mapping!D:D)</f>
        <v>other Online malls</v>
      </c>
      <c r="B1029" t="s">
        <v>294</v>
      </c>
      <c r="C1029" t="s">
        <v>338</v>
      </c>
      <c r="D1029" s="21">
        <v>46237</v>
      </c>
      <c r="E1029" s="21">
        <v>46243</v>
      </c>
      <c r="F1029">
        <v>7</v>
      </c>
      <c r="G1029" t="s">
        <v>32</v>
      </c>
      <c r="H1029">
        <v>349900</v>
      </c>
      <c r="I1029">
        <v>299900</v>
      </c>
      <c r="J1029">
        <v>269900</v>
      </c>
      <c r="K1029">
        <v>299900</v>
      </c>
      <c r="L1029">
        <v>5</v>
      </c>
      <c r="M1029">
        <v>1499500</v>
      </c>
      <c r="N1029" s="19">
        <v>1363181.8181818179</v>
      </c>
      <c r="O1029" s="19">
        <v>1363181.8181818179</v>
      </c>
      <c r="P1029" t="str">
        <f t="shared" si="22"/>
        <v>Ninja Motorized</v>
      </c>
      <c r="Q1029" t="str">
        <f t="shared" si="23"/>
        <v>Icecream</v>
      </c>
    </row>
    <row r="1030" spans="1:17" x14ac:dyDescent="0.35">
      <c r="A1030" t="str">
        <f>_xlfn.XLOOKUP(B1030,Mapping!C:C,Mapping!D:D)</f>
        <v>other Online malls</v>
      </c>
      <c r="B1030" t="s">
        <v>294</v>
      </c>
      <c r="C1030" t="s">
        <v>338</v>
      </c>
      <c r="D1030" s="21">
        <v>46237</v>
      </c>
      <c r="E1030" s="21">
        <v>46243</v>
      </c>
      <c r="F1030">
        <v>7</v>
      </c>
      <c r="G1030" t="s">
        <v>110</v>
      </c>
      <c r="H1030">
        <v>129900</v>
      </c>
      <c r="I1030">
        <v>114900</v>
      </c>
      <c r="J1030">
        <v>99900</v>
      </c>
      <c r="K1030">
        <v>114900</v>
      </c>
      <c r="L1030">
        <v>5</v>
      </c>
      <c r="M1030">
        <v>574500</v>
      </c>
      <c r="N1030" s="19">
        <v>522272.72727272718</v>
      </c>
      <c r="O1030" s="19">
        <v>522272.72727272718</v>
      </c>
      <c r="P1030" t="str">
        <f t="shared" si="22"/>
        <v>Ninja Motorized</v>
      </c>
      <c r="Q1030" t="str">
        <f t="shared" si="23"/>
        <v>Trad</v>
      </c>
    </row>
    <row r="1031" spans="1:17" x14ac:dyDescent="0.35">
      <c r="A1031" t="str">
        <f>_xlfn.XLOOKUP(B1031,Mapping!C:C,Mapping!D:D)</f>
        <v>other Online malls</v>
      </c>
      <c r="B1031" t="s">
        <v>294</v>
      </c>
      <c r="C1031" t="s">
        <v>338</v>
      </c>
      <c r="D1031" s="21">
        <v>46237</v>
      </c>
      <c r="E1031" s="21">
        <v>46243</v>
      </c>
      <c r="F1031">
        <v>7</v>
      </c>
      <c r="G1031" t="s">
        <v>84</v>
      </c>
      <c r="H1031">
        <v>169900</v>
      </c>
      <c r="I1031">
        <v>149900</v>
      </c>
      <c r="J1031">
        <v>129900</v>
      </c>
      <c r="K1031">
        <v>149900</v>
      </c>
      <c r="L1031">
        <v>5</v>
      </c>
      <c r="M1031">
        <v>749500</v>
      </c>
      <c r="N1031" s="19">
        <v>681363.63636363635</v>
      </c>
      <c r="O1031" s="19">
        <v>681363.63636363635</v>
      </c>
      <c r="P1031" t="str">
        <f t="shared" si="22"/>
        <v>Ninja Motorized</v>
      </c>
      <c r="Q1031" t="str">
        <f t="shared" si="23"/>
        <v>Trad</v>
      </c>
    </row>
    <row r="1032" spans="1:17" x14ac:dyDescent="0.35">
      <c r="A1032" t="str">
        <f>_xlfn.XLOOKUP(B1032,Mapping!C:C,Mapping!D:D)</f>
        <v>other Online malls</v>
      </c>
      <c r="B1032" t="s">
        <v>294</v>
      </c>
      <c r="C1032" t="s">
        <v>338</v>
      </c>
      <c r="D1032" s="21">
        <v>46237</v>
      </c>
      <c r="E1032" s="21">
        <v>46243</v>
      </c>
      <c r="F1032">
        <v>7</v>
      </c>
      <c r="G1032" t="s">
        <v>105</v>
      </c>
      <c r="H1032">
        <v>299900</v>
      </c>
      <c r="I1032">
        <v>269900</v>
      </c>
      <c r="J1032">
        <v>249900</v>
      </c>
      <c r="K1032">
        <v>269900</v>
      </c>
      <c r="L1032">
        <v>5</v>
      </c>
      <c r="M1032">
        <v>1349500</v>
      </c>
      <c r="N1032" s="19">
        <v>1226818.1818181816</v>
      </c>
      <c r="O1032" s="19">
        <v>1226818.1818181816</v>
      </c>
      <c r="P1032" t="str">
        <f t="shared" si="22"/>
        <v>Ninja Motorized</v>
      </c>
      <c r="Q1032" t="str">
        <f t="shared" si="23"/>
        <v>Kitchen</v>
      </c>
    </row>
    <row r="1033" spans="1:17" x14ac:dyDescent="0.35">
      <c r="A1033" t="str">
        <f>_xlfn.XLOOKUP(B1033,Mapping!C:C,Mapping!D:D)</f>
        <v>other Online malls</v>
      </c>
      <c r="B1033" t="s">
        <v>294</v>
      </c>
      <c r="C1033" t="s">
        <v>338</v>
      </c>
      <c r="D1033" s="21">
        <v>46237</v>
      </c>
      <c r="E1033" s="21">
        <v>46243</v>
      </c>
      <c r="F1033">
        <v>7</v>
      </c>
      <c r="G1033" t="s">
        <v>16</v>
      </c>
      <c r="H1033">
        <v>199900</v>
      </c>
      <c r="I1033">
        <v>129900</v>
      </c>
      <c r="J1033">
        <v>129900</v>
      </c>
      <c r="K1033">
        <v>129900</v>
      </c>
      <c r="L1033">
        <v>5</v>
      </c>
      <c r="M1033">
        <v>649500</v>
      </c>
      <c r="N1033" s="19">
        <v>590454.54545454541</v>
      </c>
      <c r="O1033" s="19">
        <v>590454.54545454541</v>
      </c>
      <c r="P1033" t="str">
        <f t="shared" si="22"/>
        <v>Ninja Motorized</v>
      </c>
      <c r="Q1033" t="str">
        <f t="shared" si="23"/>
        <v>Trad</v>
      </c>
    </row>
    <row r="1034" spans="1:17" x14ac:dyDescent="0.35">
      <c r="A1034" t="str">
        <f>_xlfn.XLOOKUP(B1034,Mapping!C:C,Mapping!D:D)</f>
        <v>other Online malls</v>
      </c>
      <c r="B1034" t="s">
        <v>294</v>
      </c>
      <c r="C1034" t="s">
        <v>338</v>
      </c>
      <c r="D1034" s="21">
        <v>46237</v>
      </c>
      <c r="E1034" s="21">
        <v>46243</v>
      </c>
      <c r="F1034">
        <v>7</v>
      </c>
      <c r="G1034" t="s">
        <v>39</v>
      </c>
      <c r="H1034">
        <v>249900</v>
      </c>
      <c r="I1034">
        <v>199900</v>
      </c>
      <c r="J1034">
        <v>189900</v>
      </c>
      <c r="K1034">
        <v>199900</v>
      </c>
      <c r="L1034">
        <v>5</v>
      </c>
      <c r="M1034">
        <v>999500</v>
      </c>
      <c r="N1034" s="19">
        <v>908636.36363636353</v>
      </c>
      <c r="O1034" s="19">
        <v>908636.36363636353</v>
      </c>
      <c r="P1034" t="str">
        <f t="shared" si="22"/>
        <v>Ninja Motorized</v>
      </c>
      <c r="Q1034" t="str">
        <f t="shared" si="23"/>
        <v>Trad</v>
      </c>
    </row>
    <row r="1035" spans="1:17" x14ac:dyDescent="0.35">
      <c r="A1035" t="str">
        <f>_xlfn.XLOOKUP(B1035,Mapping!C:C,Mapping!D:D)</f>
        <v>other Online malls</v>
      </c>
      <c r="B1035" t="s">
        <v>294</v>
      </c>
      <c r="C1035" t="s">
        <v>338</v>
      </c>
      <c r="D1035" s="21">
        <v>46237</v>
      </c>
      <c r="E1035" s="21">
        <v>46243</v>
      </c>
      <c r="F1035">
        <v>7</v>
      </c>
      <c r="G1035" t="s">
        <v>85</v>
      </c>
      <c r="H1035">
        <v>349900</v>
      </c>
      <c r="I1035">
        <v>319900</v>
      </c>
      <c r="J1035">
        <v>299900</v>
      </c>
      <c r="K1035">
        <v>319900</v>
      </c>
      <c r="L1035">
        <v>5</v>
      </c>
      <c r="M1035">
        <v>1599500</v>
      </c>
      <c r="N1035" s="19">
        <v>1454090.9090909092</v>
      </c>
      <c r="O1035" s="19">
        <v>1454090.9090909092</v>
      </c>
      <c r="P1035" t="str">
        <f t="shared" si="22"/>
        <v>Ninja Motorized</v>
      </c>
      <c r="Q1035" t="str">
        <f t="shared" si="23"/>
        <v>Kitchen</v>
      </c>
    </row>
    <row r="1036" spans="1:17" x14ac:dyDescent="0.35">
      <c r="A1036" t="str">
        <f>_xlfn.XLOOKUP(B1036,Mapping!C:C,Mapping!D:D)</f>
        <v>other Online malls</v>
      </c>
      <c r="B1036" t="s">
        <v>294</v>
      </c>
      <c r="C1036" t="s">
        <v>338</v>
      </c>
      <c r="D1036" s="21">
        <v>46237</v>
      </c>
      <c r="E1036" s="21">
        <v>46243</v>
      </c>
      <c r="F1036">
        <v>7</v>
      </c>
      <c r="G1036" t="s">
        <v>27</v>
      </c>
      <c r="H1036">
        <v>329900</v>
      </c>
      <c r="I1036">
        <v>299900</v>
      </c>
      <c r="J1036">
        <v>279900</v>
      </c>
      <c r="K1036">
        <v>299900</v>
      </c>
      <c r="L1036">
        <v>5</v>
      </c>
      <c r="M1036">
        <v>1499500</v>
      </c>
      <c r="N1036" s="19">
        <v>1363181.8181818179</v>
      </c>
      <c r="O1036" s="19">
        <v>1363181.8181818179</v>
      </c>
      <c r="P1036" t="str">
        <f t="shared" si="22"/>
        <v>Ninja Motorized</v>
      </c>
      <c r="Q1036" t="str">
        <f t="shared" si="23"/>
        <v>Trad</v>
      </c>
    </row>
    <row r="1037" spans="1:17" x14ac:dyDescent="0.35">
      <c r="A1037" t="str">
        <f>_xlfn.XLOOKUP(B1037,Mapping!C:C,Mapping!D:D)</f>
        <v>other Online malls</v>
      </c>
      <c r="B1037" t="s">
        <v>294</v>
      </c>
      <c r="C1037" t="s">
        <v>338</v>
      </c>
      <c r="D1037" s="21">
        <v>46237</v>
      </c>
      <c r="E1037" s="21">
        <v>46243</v>
      </c>
      <c r="F1037">
        <v>7</v>
      </c>
      <c r="G1037" t="s">
        <v>40</v>
      </c>
      <c r="H1037">
        <v>349900</v>
      </c>
      <c r="I1037">
        <v>319900</v>
      </c>
      <c r="J1037">
        <v>299900</v>
      </c>
      <c r="K1037">
        <v>319900</v>
      </c>
      <c r="L1037">
        <v>5</v>
      </c>
      <c r="M1037">
        <v>1599500</v>
      </c>
      <c r="N1037" s="19">
        <v>1454090.9090909092</v>
      </c>
      <c r="O1037" s="19">
        <v>1454090.9090909092</v>
      </c>
      <c r="P1037" t="str">
        <f t="shared" si="22"/>
        <v>Ninja Motorized</v>
      </c>
      <c r="Q1037" t="str">
        <f t="shared" si="23"/>
        <v>Hot</v>
      </c>
    </row>
    <row r="1038" spans="1:17" x14ac:dyDescent="0.35">
      <c r="A1038" t="str">
        <f>_xlfn.XLOOKUP(B1038,Mapping!C:C,Mapping!D:D)</f>
        <v>other Online malls</v>
      </c>
      <c r="B1038" t="s">
        <v>294</v>
      </c>
      <c r="C1038" t="s">
        <v>338</v>
      </c>
      <c r="D1038" s="21">
        <v>46237</v>
      </c>
      <c r="E1038" s="21">
        <v>46243</v>
      </c>
      <c r="F1038">
        <v>7</v>
      </c>
      <c r="G1038" t="s">
        <v>95</v>
      </c>
      <c r="H1038">
        <v>79900</v>
      </c>
      <c r="I1038">
        <v>54900</v>
      </c>
      <c r="J1038">
        <v>54900</v>
      </c>
      <c r="K1038">
        <v>54900</v>
      </c>
      <c r="L1038">
        <v>5</v>
      </c>
      <c r="M1038">
        <v>274500</v>
      </c>
      <c r="N1038" s="19">
        <v>249545.45454545453</v>
      </c>
      <c r="O1038" s="19">
        <v>249545.45454545453</v>
      </c>
      <c r="P1038" t="str">
        <f t="shared" si="22"/>
        <v>Ninja Motorized</v>
      </c>
      <c r="Q1038" t="str">
        <f t="shared" si="23"/>
        <v>Food process</v>
      </c>
    </row>
    <row r="1039" spans="1:17" x14ac:dyDescent="0.35">
      <c r="A1039" t="str">
        <f>_xlfn.XLOOKUP(B1039,Mapping!C:C,Mapping!D:D)</f>
        <v>other Online malls</v>
      </c>
      <c r="B1039" t="s">
        <v>294</v>
      </c>
      <c r="C1039" t="s">
        <v>338</v>
      </c>
      <c r="D1039" s="21">
        <v>46237</v>
      </c>
      <c r="E1039" s="21">
        <v>46243</v>
      </c>
      <c r="F1039">
        <v>7</v>
      </c>
      <c r="G1039" t="s">
        <v>73</v>
      </c>
      <c r="H1039">
        <v>139900</v>
      </c>
      <c r="I1039">
        <v>129900</v>
      </c>
      <c r="J1039">
        <v>119900</v>
      </c>
      <c r="K1039">
        <v>129900</v>
      </c>
      <c r="L1039">
        <v>5</v>
      </c>
      <c r="M1039">
        <v>649500</v>
      </c>
      <c r="N1039" s="19">
        <v>590454.54545454541</v>
      </c>
      <c r="O1039" s="19">
        <v>590454.54545454541</v>
      </c>
      <c r="P1039" t="str">
        <f t="shared" si="22"/>
        <v>Ninja Motorized</v>
      </c>
      <c r="Q1039" t="str">
        <f t="shared" si="23"/>
        <v>Hand</v>
      </c>
    </row>
    <row r="1040" spans="1:17" x14ac:dyDescent="0.35">
      <c r="A1040" t="str">
        <f>_xlfn.XLOOKUP(B1040,Mapping!C:C,Mapping!D:D)</f>
        <v>other Online malls</v>
      </c>
      <c r="B1040" t="s">
        <v>294</v>
      </c>
      <c r="C1040" t="s">
        <v>338</v>
      </c>
      <c r="D1040" s="21">
        <v>46237</v>
      </c>
      <c r="E1040" s="21">
        <v>46243</v>
      </c>
      <c r="F1040">
        <v>7</v>
      </c>
      <c r="G1040" t="s">
        <v>33</v>
      </c>
      <c r="H1040">
        <v>399900</v>
      </c>
      <c r="I1040">
        <v>349900</v>
      </c>
      <c r="J1040">
        <v>299900</v>
      </c>
      <c r="K1040">
        <v>379000</v>
      </c>
      <c r="L1040">
        <v>5</v>
      </c>
      <c r="M1040">
        <v>1895000</v>
      </c>
      <c r="N1040" s="19">
        <v>1722727.2727272727</v>
      </c>
      <c r="O1040" s="19">
        <v>1722727.2727272727</v>
      </c>
      <c r="P1040" t="str">
        <f t="shared" si="22"/>
        <v>Shark Fan</v>
      </c>
      <c r="Q1040" t="str">
        <f t="shared" si="23"/>
        <v>Fan</v>
      </c>
    </row>
    <row r="1041" spans="1:17" x14ac:dyDescent="0.35">
      <c r="A1041" t="str">
        <f>_xlfn.XLOOKUP(B1041,Mapping!C:C,Mapping!D:D)</f>
        <v>other Online malls</v>
      </c>
      <c r="B1041" t="s">
        <v>294</v>
      </c>
      <c r="C1041" t="s">
        <v>338</v>
      </c>
      <c r="D1041" s="21">
        <v>46237</v>
      </c>
      <c r="E1041" s="21">
        <v>46243</v>
      </c>
      <c r="F1041">
        <v>7</v>
      </c>
      <c r="G1041" t="s">
        <v>87</v>
      </c>
      <c r="H1041">
        <v>219900</v>
      </c>
      <c r="I1041">
        <v>199900</v>
      </c>
      <c r="J1041">
        <v>179900</v>
      </c>
      <c r="K1041">
        <v>199900</v>
      </c>
      <c r="L1041">
        <v>5</v>
      </c>
      <c r="M1041">
        <v>999500</v>
      </c>
      <c r="N1041" s="19">
        <v>908636.36363636353</v>
      </c>
      <c r="O1041" s="19">
        <v>908636.36363636353</v>
      </c>
      <c r="P1041" t="str">
        <f t="shared" si="22"/>
        <v>Shark Fan</v>
      </c>
      <c r="Q1041" t="str">
        <f t="shared" si="23"/>
        <v>Fan</v>
      </c>
    </row>
    <row r="1042" spans="1:17" x14ac:dyDescent="0.35">
      <c r="A1042" t="str">
        <f>_xlfn.XLOOKUP(B1042,Mapping!C:C,Mapping!D:D)</f>
        <v>other Online malls</v>
      </c>
      <c r="B1042" t="s">
        <v>294</v>
      </c>
      <c r="C1042" t="s">
        <v>338</v>
      </c>
      <c r="D1042" s="21">
        <v>46237</v>
      </c>
      <c r="E1042" s="21">
        <v>46243</v>
      </c>
      <c r="F1042">
        <v>7</v>
      </c>
      <c r="G1042" t="s">
        <v>108</v>
      </c>
      <c r="H1042">
        <v>199900</v>
      </c>
      <c r="I1042">
        <v>179900</v>
      </c>
      <c r="J1042">
        <v>169900</v>
      </c>
      <c r="K1042">
        <v>179900</v>
      </c>
      <c r="L1042">
        <v>5</v>
      </c>
      <c r="M1042">
        <v>899500</v>
      </c>
      <c r="N1042" s="19">
        <v>817727.27272727271</v>
      </c>
      <c r="O1042" s="19">
        <v>817727.27272727271</v>
      </c>
      <c r="P1042" t="str">
        <f t="shared" si="22"/>
        <v>Shark Floorcare</v>
      </c>
      <c r="Q1042" t="str">
        <f t="shared" si="23"/>
        <v>WV</v>
      </c>
    </row>
    <row r="1043" spans="1:17" x14ac:dyDescent="0.35">
      <c r="A1043" t="str">
        <f>_xlfn.XLOOKUP(B1043,Mapping!C:C,Mapping!D:D)</f>
        <v>other Online malls</v>
      </c>
      <c r="B1043" t="s">
        <v>294</v>
      </c>
      <c r="C1043" t="s">
        <v>338</v>
      </c>
      <c r="D1043" s="21">
        <v>46237</v>
      </c>
      <c r="E1043" s="21">
        <v>46243</v>
      </c>
      <c r="F1043">
        <v>7</v>
      </c>
      <c r="G1043" t="s">
        <v>96</v>
      </c>
      <c r="H1043">
        <v>139900</v>
      </c>
      <c r="I1043">
        <v>119900</v>
      </c>
      <c r="J1043">
        <v>99900</v>
      </c>
      <c r="K1043">
        <v>119900</v>
      </c>
      <c r="L1043">
        <v>5</v>
      </c>
      <c r="M1043">
        <v>599500</v>
      </c>
      <c r="N1043" s="19">
        <v>544999.99999999988</v>
      </c>
      <c r="O1043" s="19">
        <v>544999.99999999988</v>
      </c>
      <c r="P1043" t="str">
        <f t="shared" si="22"/>
        <v>Shark Floorcare</v>
      </c>
      <c r="Q1043" t="str">
        <f t="shared" si="23"/>
        <v>WV</v>
      </c>
    </row>
    <row r="1044" spans="1:17" x14ac:dyDescent="0.35">
      <c r="A1044" t="str">
        <f>_xlfn.XLOOKUP(B1044,Mapping!C:C,Mapping!D:D)</f>
        <v>other Online malls</v>
      </c>
      <c r="B1044" t="s">
        <v>294</v>
      </c>
      <c r="C1044" t="s">
        <v>338</v>
      </c>
      <c r="D1044" s="21">
        <v>46237</v>
      </c>
      <c r="E1044" s="21">
        <v>46243</v>
      </c>
      <c r="F1044">
        <v>7</v>
      </c>
      <c r="G1044" t="s">
        <v>112</v>
      </c>
      <c r="H1044">
        <v>799000</v>
      </c>
      <c r="I1044">
        <v>599000</v>
      </c>
      <c r="J1044">
        <v>599000</v>
      </c>
      <c r="K1044">
        <v>599000</v>
      </c>
      <c r="L1044">
        <v>5</v>
      </c>
      <c r="M1044">
        <v>2995000</v>
      </c>
      <c r="N1044" s="19">
        <v>2722727.2727272725</v>
      </c>
      <c r="O1044" s="19">
        <v>2722727.2727272725</v>
      </c>
      <c r="P1044" t="str">
        <f t="shared" si="22"/>
        <v>Shark Floorcare</v>
      </c>
      <c r="Q1044" t="str">
        <f t="shared" si="23"/>
        <v>CS</v>
      </c>
    </row>
    <row r="1045" spans="1:17" x14ac:dyDescent="0.35">
      <c r="A1045" t="str">
        <f>_xlfn.XLOOKUP(B1045,Mapping!C:C,Mapping!D:D)</f>
        <v>other Online malls</v>
      </c>
      <c r="B1045" t="s">
        <v>294</v>
      </c>
      <c r="C1045" t="s">
        <v>338</v>
      </c>
      <c r="D1045" s="21">
        <v>46237</v>
      </c>
      <c r="E1045" s="21">
        <v>46243</v>
      </c>
      <c r="F1045">
        <v>7</v>
      </c>
      <c r="G1045" t="s">
        <v>104</v>
      </c>
      <c r="H1045">
        <v>799000</v>
      </c>
      <c r="I1045">
        <v>699000</v>
      </c>
      <c r="J1045">
        <v>599000</v>
      </c>
      <c r="K1045">
        <v>699000</v>
      </c>
      <c r="L1045">
        <v>5</v>
      </c>
      <c r="M1045">
        <v>3495000</v>
      </c>
      <c r="N1045" s="19">
        <v>3177272.7272727271</v>
      </c>
      <c r="O1045" s="19">
        <v>3177272.7272727271</v>
      </c>
      <c r="P1045" t="str">
        <f t="shared" si="22"/>
        <v>Shark Floorcare</v>
      </c>
      <c r="Q1045" t="str">
        <f t="shared" si="23"/>
        <v>FW</v>
      </c>
    </row>
    <row r="1046" spans="1:17" x14ac:dyDescent="0.35">
      <c r="A1046" t="str">
        <f>_xlfn.XLOOKUP(B1046,Mapping!C:C,Mapping!D:D)</f>
        <v>other Online malls</v>
      </c>
      <c r="B1046" t="s">
        <v>294</v>
      </c>
      <c r="C1046" t="s">
        <v>338</v>
      </c>
      <c r="D1046" s="21">
        <v>46237</v>
      </c>
      <c r="E1046" s="21">
        <v>46243</v>
      </c>
      <c r="F1046">
        <v>7</v>
      </c>
      <c r="G1046" t="s">
        <v>31</v>
      </c>
      <c r="H1046">
        <v>849000</v>
      </c>
      <c r="I1046">
        <v>699000</v>
      </c>
      <c r="J1046">
        <v>649000</v>
      </c>
      <c r="K1046">
        <v>799000</v>
      </c>
      <c r="L1046">
        <v>5</v>
      </c>
      <c r="M1046">
        <v>3995000</v>
      </c>
      <c r="N1046" s="19">
        <v>3631818.1818181816</v>
      </c>
      <c r="O1046" s="19">
        <v>3631818.1818181816</v>
      </c>
      <c r="P1046" t="str">
        <f t="shared" si="22"/>
        <v>Shark Floorcare</v>
      </c>
      <c r="Q1046" t="str">
        <f t="shared" si="23"/>
        <v>FW</v>
      </c>
    </row>
    <row r="1047" spans="1:17" x14ac:dyDescent="0.35">
      <c r="A1047" t="str">
        <f>_xlfn.XLOOKUP(B1047,Mapping!C:C,Mapping!D:D)</f>
        <v>other Online malls</v>
      </c>
      <c r="B1047" t="s">
        <v>294</v>
      </c>
      <c r="C1047" t="s">
        <v>338</v>
      </c>
      <c r="D1047" s="21">
        <v>46237</v>
      </c>
      <c r="E1047" s="21">
        <v>46243</v>
      </c>
      <c r="F1047">
        <v>7</v>
      </c>
      <c r="G1047" t="s">
        <v>54</v>
      </c>
      <c r="H1047">
        <v>699000</v>
      </c>
      <c r="I1047">
        <v>599000</v>
      </c>
      <c r="J1047">
        <v>499000</v>
      </c>
      <c r="K1047">
        <v>499000</v>
      </c>
      <c r="L1047">
        <v>5</v>
      </c>
      <c r="M1047">
        <v>2495000</v>
      </c>
      <c r="N1047" s="19">
        <v>2268181.8181818179</v>
      </c>
      <c r="O1047" s="19">
        <v>2268181.8181818179</v>
      </c>
      <c r="P1047" t="str">
        <f t="shared" si="22"/>
        <v>Shark Floorcare</v>
      </c>
      <c r="Q1047" t="str">
        <f t="shared" si="23"/>
        <v>FW</v>
      </c>
    </row>
    <row r="1048" spans="1:17" x14ac:dyDescent="0.35">
      <c r="A1048" t="str">
        <f>_xlfn.XLOOKUP(B1048,Mapping!C:C,Mapping!D:D)</f>
        <v>other Online malls</v>
      </c>
      <c r="B1048" t="s">
        <v>294</v>
      </c>
      <c r="C1048" t="s">
        <v>338</v>
      </c>
      <c r="D1048" s="21">
        <v>46237</v>
      </c>
      <c r="E1048" s="21">
        <v>46243</v>
      </c>
      <c r="F1048">
        <v>7</v>
      </c>
      <c r="G1048" t="s">
        <v>88</v>
      </c>
      <c r="H1048">
        <v>449000</v>
      </c>
      <c r="I1048">
        <v>399000</v>
      </c>
      <c r="J1048">
        <v>0</v>
      </c>
      <c r="K1048">
        <v>499000</v>
      </c>
      <c r="L1048">
        <v>5</v>
      </c>
      <c r="M1048">
        <v>2495000</v>
      </c>
      <c r="N1048" s="19">
        <v>2268181.8181818179</v>
      </c>
      <c r="O1048" s="19">
        <v>2268181.8181818179</v>
      </c>
      <c r="P1048" t="str">
        <f t="shared" si="22"/>
        <v>Shark Floorcare</v>
      </c>
      <c r="Q1048" t="str">
        <f t="shared" si="23"/>
        <v>CS</v>
      </c>
    </row>
    <row r="1049" spans="1:17" x14ac:dyDescent="0.35">
      <c r="A1049" t="str">
        <f>_xlfn.XLOOKUP(B1049,Mapping!C:C,Mapping!D:D)</f>
        <v>other Online malls</v>
      </c>
      <c r="B1049" t="s">
        <v>294</v>
      </c>
      <c r="C1049" t="s">
        <v>338</v>
      </c>
      <c r="D1049" s="21">
        <v>46237</v>
      </c>
      <c r="E1049" s="21">
        <v>46243</v>
      </c>
      <c r="F1049">
        <v>7</v>
      </c>
      <c r="G1049" t="s">
        <v>35</v>
      </c>
      <c r="H1049">
        <v>599000</v>
      </c>
      <c r="I1049">
        <v>549000</v>
      </c>
      <c r="J1049">
        <v>499000</v>
      </c>
      <c r="K1049">
        <v>549000</v>
      </c>
      <c r="L1049">
        <v>5</v>
      </c>
      <c r="M1049">
        <v>2745000</v>
      </c>
      <c r="N1049" s="19">
        <v>2495454.5454545454</v>
      </c>
      <c r="O1049" s="19">
        <v>2495454.5454545454</v>
      </c>
      <c r="P1049" t="str">
        <f t="shared" si="22"/>
        <v>Shark Floorcare</v>
      </c>
      <c r="Q1049" t="str">
        <f t="shared" si="23"/>
        <v>FW</v>
      </c>
    </row>
    <row r="1050" spans="1:17" x14ac:dyDescent="0.35">
      <c r="A1050" t="str">
        <f>_xlfn.XLOOKUP(B1050,Mapping!C:C,Mapping!D:D)</f>
        <v>other Online malls</v>
      </c>
      <c r="B1050" t="s">
        <v>294</v>
      </c>
      <c r="C1050" t="s">
        <v>338</v>
      </c>
      <c r="D1050" s="21">
        <v>46237</v>
      </c>
      <c r="E1050" s="21">
        <v>46243</v>
      </c>
      <c r="F1050">
        <v>7</v>
      </c>
      <c r="G1050" t="s">
        <v>23</v>
      </c>
      <c r="H1050">
        <v>899000</v>
      </c>
      <c r="I1050">
        <v>849000</v>
      </c>
      <c r="J1050">
        <v>749000</v>
      </c>
      <c r="K1050">
        <v>849000</v>
      </c>
      <c r="L1050">
        <v>5</v>
      </c>
      <c r="M1050">
        <v>4245000</v>
      </c>
      <c r="N1050" s="19">
        <v>3859090.9090909087</v>
      </c>
      <c r="O1050" s="19">
        <v>3859090.9090909087</v>
      </c>
      <c r="P1050" t="str">
        <f t="shared" si="22"/>
        <v>Shark Floorcare</v>
      </c>
      <c r="Q1050" t="str">
        <f t="shared" si="23"/>
        <v>Kion</v>
      </c>
    </row>
    <row r="1051" spans="1:17" x14ac:dyDescent="0.35">
      <c r="A1051" t="str">
        <f>_xlfn.XLOOKUP(B1051,Mapping!C:C,Mapping!D:D)</f>
        <v>other Online malls</v>
      </c>
      <c r="B1051" t="s">
        <v>294</v>
      </c>
      <c r="C1051" t="s">
        <v>338</v>
      </c>
      <c r="D1051" s="21">
        <v>46237</v>
      </c>
      <c r="E1051" s="21">
        <v>46243</v>
      </c>
      <c r="F1051">
        <v>7</v>
      </c>
      <c r="G1051" t="s">
        <v>107</v>
      </c>
      <c r="H1051">
        <v>849000</v>
      </c>
      <c r="I1051">
        <v>749000</v>
      </c>
      <c r="J1051">
        <v>699000</v>
      </c>
      <c r="K1051">
        <v>749000</v>
      </c>
      <c r="L1051">
        <v>5</v>
      </c>
      <c r="M1051">
        <v>3745000</v>
      </c>
      <c r="N1051" s="19">
        <v>3404545.4545454541</v>
      </c>
      <c r="O1051" s="19">
        <v>3404545.4545454541</v>
      </c>
      <c r="P1051" t="str">
        <f t="shared" si="22"/>
        <v>Shark Floorcare</v>
      </c>
      <c r="Q1051" t="str">
        <f t="shared" si="23"/>
        <v>Kion</v>
      </c>
    </row>
    <row r="1052" spans="1:17" x14ac:dyDescent="0.35">
      <c r="A1052" t="str">
        <f>_xlfn.XLOOKUP(B1052,Mapping!C:C,Mapping!D:D)</f>
        <v>other Online malls</v>
      </c>
      <c r="B1052" t="s">
        <v>294</v>
      </c>
      <c r="C1052" t="s">
        <v>338</v>
      </c>
      <c r="D1052" s="21">
        <v>46237</v>
      </c>
      <c r="E1052" s="21">
        <v>46243</v>
      </c>
      <c r="F1052">
        <v>7</v>
      </c>
      <c r="G1052" t="s">
        <v>28</v>
      </c>
      <c r="H1052">
        <v>299900</v>
      </c>
      <c r="I1052">
        <v>219900</v>
      </c>
      <c r="J1052">
        <v>219900</v>
      </c>
      <c r="K1052">
        <v>219900</v>
      </c>
      <c r="L1052">
        <v>5</v>
      </c>
      <c r="M1052">
        <v>1099500</v>
      </c>
      <c r="N1052" s="19">
        <v>999545.45454545435</v>
      </c>
      <c r="O1052" s="19">
        <v>999545.45454545435</v>
      </c>
      <c r="P1052" t="str">
        <f t="shared" si="22"/>
        <v>Shark Floorcare</v>
      </c>
      <c r="Q1052" t="str">
        <f t="shared" si="23"/>
        <v>WD</v>
      </c>
    </row>
    <row r="1053" spans="1:17" x14ac:dyDescent="0.35">
      <c r="A1053" t="str">
        <f>_xlfn.XLOOKUP(B1053,Mapping!C:C,Mapping!D:D)</f>
        <v>other Online malls</v>
      </c>
      <c r="B1053" t="s">
        <v>294</v>
      </c>
      <c r="C1053" t="s">
        <v>338</v>
      </c>
      <c r="D1053" s="21">
        <v>46237</v>
      </c>
      <c r="E1053" s="21">
        <v>46243</v>
      </c>
      <c r="F1053">
        <v>7</v>
      </c>
      <c r="G1053" t="s">
        <v>36</v>
      </c>
      <c r="H1053">
        <v>469900</v>
      </c>
      <c r="I1053">
        <v>399900</v>
      </c>
      <c r="J1053">
        <v>389900</v>
      </c>
      <c r="K1053">
        <v>399900</v>
      </c>
      <c r="L1053">
        <v>5</v>
      </c>
      <c r="M1053">
        <v>1999500</v>
      </c>
      <c r="N1053" s="19">
        <v>1817727.2727272727</v>
      </c>
      <c r="O1053" s="19">
        <v>1817727.2727272727</v>
      </c>
      <c r="P1053" t="str">
        <f t="shared" si="22"/>
        <v>Shark Floorcare</v>
      </c>
      <c r="Q1053" t="str">
        <f t="shared" si="23"/>
        <v>WD</v>
      </c>
    </row>
    <row r="1054" spans="1:17" x14ac:dyDescent="0.35">
      <c r="A1054" t="str">
        <f>_xlfn.XLOOKUP(B1054,Mapping!C:C,Mapping!D:D)</f>
        <v>other Online malls</v>
      </c>
      <c r="B1054" t="s">
        <v>294</v>
      </c>
      <c r="C1054" t="s">
        <v>338</v>
      </c>
      <c r="D1054" s="21">
        <v>46237</v>
      </c>
      <c r="E1054" s="21">
        <v>46243</v>
      </c>
      <c r="F1054">
        <v>7</v>
      </c>
      <c r="G1054" t="s">
        <v>62</v>
      </c>
      <c r="H1054">
        <v>349900</v>
      </c>
      <c r="I1054">
        <v>319900</v>
      </c>
      <c r="J1054">
        <v>299900</v>
      </c>
      <c r="K1054">
        <v>339000</v>
      </c>
      <c r="L1054">
        <v>5</v>
      </c>
      <c r="M1054">
        <v>1695000</v>
      </c>
      <c r="N1054" s="19">
        <v>1540909.0909090908</v>
      </c>
      <c r="O1054" s="19">
        <v>1540909.0909090908</v>
      </c>
      <c r="P1054" t="str">
        <f t="shared" si="22"/>
        <v>Shark Floorcare</v>
      </c>
      <c r="Q1054" t="str">
        <f t="shared" si="23"/>
        <v>WV</v>
      </c>
    </row>
    <row r="1055" spans="1:17" x14ac:dyDescent="0.35">
      <c r="A1055" t="str">
        <f>_xlfn.XLOOKUP(B1055,Mapping!C:C,Mapping!D:D)</f>
        <v>other Online malls</v>
      </c>
      <c r="B1055" t="s">
        <v>294</v>
      </c>
      <c r="C1055" t="s">
        <v>338</v>
      </c>
      <c r="D1055" s="21">
        <v>46237</v>
      </c>
      <c r="E1055" s="21">
        <v>46243</v>
      </c>
      <c r="F1055">
        <v>7</v>
      </c>
      <c r="G1055" t="s">
        <v>100</v>
      </c>
      <c r="H1055">
        <v>119900</v>
      </c>
      <c r="I1055">
        <v>99900</v>
      </c>
      <c r="J1055">
        <v>84900</v>
      </c>
      <c r="K1055">
        <v>99900</v>
      </c>
      <c r="L1055">
        <v>5</v>
      </c>
      <c r="M1055">
        <v>499500</v>
      </c>
      <c r="N1055" s="19">
        <v>454090.90909090906</v>
      </c>
      <c r="O1055" s="19">
        <v>454090.90909090906</v>
      </c>
      <c r="P1055" t="str">
        <f t="shared" si="22"/>
        <v>Ninja Motorized</v>
      </c>
      <c r="Q1055" t="str">
        <f t="shared" si="23"/>
        <v>Portable</v>
      </c>
    </row>
    <row r="1056" spans="1:17" x14ac:dyDescent="0.35">
      <c r="A1056" t="str">
        <f>_xlfn.XLOOKUP(B1056,Mapping!C:C,Mapping!D:D)</f>
        <v>other Online malls</v>
      </c>
      <c r="B1056" t="s">
        <v>294</v>
      </c>
      <c r="C1056" t="s">
        <v>338</v>
      </c>
      <c r="D1056" s="21">
        <v>46237</v>
      </c>
      <c r="E1056" s="21">
        <v>46243</v>
      </c>
      <c r="F1056">
        <v>7</v>
      </c>
      <c r="G1056" t="s">
        <v>93</v>
      </c>
      <c r="H1056">
        <v>119900</v>
      </c>
      <c r="I1056">
        <v>99900</v>
      </c>
      <c r="J1056">
        <v>84900</v>
      </c>
      <c r="K1056">
        <v>99900</v>
      </c>
      <c r="L1056">
        <v>5</v>
      </c>
      <c r="M1056">
        <v>499500</v>
      </c>
      <c r="N1056" s="19">
        <v>454090.90909090906</v>
      </c>
      <c r="O1056" s="19">
        <v>454090.90909090906</v>
      </c>
      <c r="P1056" t="str">
        <f t="shared" si="22"/>
        <v>Ninja Motorized</v>
      </c>
      <c r="Q1056" t="str">
        <f t="shared" si="23"/>
        <v>Portable</v>
      </c>
    </row>
    <row r="1057" spans="1:17" x14ac:dyDescent="0.35">
      <c r="A1057" t="str">
        <f>_xlfn.XLOOKUP(B1057,Mapping!C:C,Mapping!D:D)</f>
        <v>other Online malls</v>
      </c>
      <c r="B1057" t="s">
        <v>294</v>
      </c>
      <c r="C1057" t="s">
        <v>338</v>
      </c>
      <c r="D1057" s="21">
        <v>46237</v>
      </c>
      <c r="E1057" s="21">
        <v>46243</v>
      </c>
      <c r="F1057">
        <v>7</v>
      </c>
      <c r="G1057" t="s">
        <v>89</v>
      </c>
      <c r="H1057">
        <v>119900</v>
      </c>
      <c r="I1057">
        <v>99900</v>
      </c>
      <c r="J1057">
        <v>84900</v>
      </c>
      <c r="K1057">
        <v>99900</v>
      </c>
      <c r="L1057">
        <v>5</v>
      </c>
      <c r="M1057">
        <v>499500</v>
      </c>
      <c r="N1057" s="19">
        <v>454090.90909090906</v>
      </c>
      <c r="O1057" s="19">
        <v>454090.90909090906</v>
      </c>
      <c r="P1057" t="str">
        <f t="shared" si="22"/>
        <v>Ninja Motorized</v>
      </c>
      <c r="Q1057" t="str">
        <f t="shared" si="23"/>
        <v>Portable</v>
      </c>
    </row>
    <row r="1058" spans="1:17" x14ac:dyDescent="0.35">
      <c r="A1058" t="str">
        <f>_xlfn.XLOOKUP(B1058,Mapping!C:C,Mapping!D:D)</f>
        <v>other Online malls</v>
      </c>
      <c r="B1058" t="s">
        <v>294</v>
      </c>
      <c r="C1058" t="s">
        <v>338</v>
      </c>
      <c r="D1058" s="21">
        <v>46237</v>
      </c>
      <c r="E1058" s="21">
        <v>46243</v>
      </c>
      <c r="F1058">
        <v>7</v>
      </c>
      <c r="G1058" t="s">
        <v>102</v>
      </c>
      <c r="H1058">
        <v>149900</v>
      </c>
      <c r="I1058">
        <v>139900</v>
      </c>
      <c r="J1058">
        <v>109900</v>
      </c>
      <c r="K1058">
        <v>139900</v>
      </c>
      <c r="L1058">
        <v>5</v>
      </c>
      <c r="M1058">
        <v>699500</v>
      </c>
      <c r="N1058" s="19">
        <v>635909.09090909082</v>
      </c>
      <c r="O1058" s="19">
        <v>635909.09090909082</v>
      </c>
      <c r="P1058" t="str">
        <f t="shared" si="22"/>
        <v>Ninja Motorized</v>
      </c>
      <c r="Q1058" t="str">
        <f t="shared" si="23"/>
        <v>Portable</v>
      </c>
    </row>
    <row r="1059" spans="1:17" x14ac:dyDescent="0.35">
      <c r="A1059" t="str">
        <f>_xlfn.XLOOKUP(B1059,Mapping!C:C,Mapping!D:D)</f>
        <v>other Online malls</v>
      </c>
      <c r="B1059" t="s">
        <v>294</v>
      </c>
      <c r="C1059" t="s">
        <v>338</v>
      </c>
      <c r="D1059" s="21">
        <v>46237</v>
      </c>
      <c r="E1059" s="21">
        <v>46243</v>
      </c>
      <c r="F1059">
        <v>7</v>
      </c>
      <c r="G1059" t="s">
        <v>86</v>
      </c>
      <c r="H1059">
        <v>149900</v>
      </c>
      <c r="I1059">
        <v>139900</v>
      </c>
      <c r="J1059">
        <v>109900</v>
      </c>
      <c r="K1059">
        <v>139900</v>
      </c>
      <c r="L1059">
        <v>5</v>
      </c>
      <c r="M1059">
        <v>699500</v>
      </c>
      <c r="N1059" s="19">
        <v>635909.09090909082</v>
      </c>
      <c r="O1059" s="19">
        <v>635909.09090909082</v>
      </c>
      <c r="P1059" t="str">
        <f t="shared" si="22"/>
        <v>Ninja Motorized</v>
      </c>
      <c r="Q1059" t="str">
        <f t="shared" si="23"/>
        <v>Portable</v>
      </c>
    </row>
    <row r="1060" spans="1:17" x14ac:dyDescent="0.35">
      <c r="A1060" t="str">
        <f>_xlfn.XLOOKUP(B1060,Mapping!C:C,Mapping!D:D)</f>
        <v>other Online malls</v>
      </c>
      <c r="B1060" t="s">
        <v>294</v>
      </c>
      <c r="C1060" t="s">
        <v>338</v>
      </c>
      <c r="D1060" s="21">
        <v>46237</v>
      </c>
      <c r="E1060" s="21">
        <v>46243</v>
      </c>
      <c r="F1060">
        <v>7</v>
      </c>
      <c r="G1060" t="s">
        <v>82</v>
      </c>
      <c r="H1060">
        <v>149900</v>
      </c>
      <c r="I1060">
        <v>139900</v>
      </c>
      <c r="J1060">
        <v>109900</v>
      </c>
      <c r="K1060">
        <v>139900</v>
      </c>
      <c r="L1060">
        <v>5</v>
      </c>
      <c r="M1060">
        <v>699500</v>
      </c>
      <c r="N1060" s="19">
        <v>635909.09090909082</v>
      </c>
      <c r="O1060" s="19">
        <v>635909.09090909082</v>
      </c>
      <c r="P1060" t="str">
        <f t="shared" si="22"/>
        <v>Ninja Motorized</v>
      </c>
      <c r="Q1060" t="str">
        <f t="shared" si="23"/>
        <v>Portable</v>
      </c>
    </row>
    <row r="1061" spans="1:17" x14ac:dyDescent="0.35">
      <c r="A1061" t="str">
        <f>_xlfn.XLOOKUP(B1061,Mapping!C:C,Mapping!D:D)</f>
        <v>other Online malls</v>
      </c>
      <c r="B1061" t="s">
        <v>294</v>
      </c>
      <c r="C1061" t="s">
        <v>338</v>
      </c>
      <c r="D1061" s="21">
        <v>46237</v>
      </c>
      <c r="E1061" s="21">
        <v>46243</v>
      </c>
      <c r="F1061">
        <v>7</v>
      </c>
      <c r="G1061" t="s">
        <v>103</v>
      </c>
      <c r="H1061">
        <v>149900</v>
      </c>
      <c r="I1061">
        <v>139900</v>
      </c>
      <c r="J1061">
        <v>109900</v>
      </c>
      <c r="K1061">
        <v>139900</v>
      </c>
      <c r="L1061">
        <v>5</v>
      </c>
      <c r="M1061">
        <v>699500</v>
      </c>
      <c r="N1061" s="19">
        <v>635909.09090909082</v>
      </c>
      <c r="O1061" s="19">
        <v>635909.09090909082</v>
      </c>
      <c r="P1061" t="str">
        <f t="shared" si="22"/>
        <v>Ninja Motorized</v>
      </c>
      <c r="Q1061" t="str">
        <f t="shared" si="23"/>
        <v>Portable</v>
      </c>
    </row>
    <row r="1062" spans="1:17" x14ac:dyDescent="0.35">
      <c r="A1062" t="str">
        <f>_xlfn.XLOOKUP(B1062,Mapping!C:C,Mapping!D:D)</f>
        <v>other Online malls</v>
      </c>
      <c r="B1062" t="s">
        <v>294</v>
      </c>
      <c r="C1062" t="s">
        <v>338</v>
      </c>
      <c r="D1062" s="21">
        <v>46237</v>
      </c>
      <c r="E1062" s="21">
        <v>46243</v>
      </c>
      <c r="F1062">
        <v>7</v>
      </c>
      <c r="G1062" t="s">
        <v>101</v>
      </c>
      <c r="H1062">
        <v>149900</v>
      </c>
      <c r="I1062">
        <v>139900</v>
      </c>
      <c r="J1062">
        <v>109900</v>
      </c>
      <c r="K1062">
        <v>139900</v>
      </c>
      <c r="L1062">
        <v>5</v>
      </c>
      <c r="M1062">
        <v>699500</v>
      </c>
      <c r="N1062" s="19">
        <v>635909.09090909082</v>
      </c>
      <c r="O1062" s="19">
        <v>635909.09090909082</v>
      </c>
      <c r="P1062" t="str">
        <f t="shared" si="22"/>
        <v>Ninja Motorized</v>
      </c>
      <c r="Q1062" t="str">
        <f t="shared" si="23"/>
        <v>Portable</v>
      </c>
    </row>
    <row r="1063" spans="1:17" x14ac:dyDescent="0.35">
      <c r="A1063" t="str">
        <f>_xlfn.XLOOKUP(B1063,Mapping!C:C,Mapping!D:D)</f>
        <v>other Online malls</v>
      </c>
      <c r="B1063" t="s">
        <v>294</v>
      </c>
      <c r="C1063" t="s">
        <v>338</v>
      </c>
      <c r="D1063" s="21">
        <v>46237</v>
      </c>
      <c r="E1063" s="21">
        <v>46243</v>
      </c>
      <c r="F1063">
        <v>7</v>
      </c>
      <c r="G1063" t="s">
        <v>34</v>
      </c>
      <c r="H1063">
        <v>249900</v>
      </c>
      <c r="I1063">
        <v>229900</v>
      </c>
      <c r="J1063">
        <v>199900</v>
      </c>
      <c r="K1063">
        <v>239000</v>
      </c>
      <c r="L1063">
        <v>5</v>
      </c>
      <c r="M1063">
        <v>1195000</v>
      </c>
      <c r="N1063" s="19">
        <v>1086363.6363636362</v>
      </c>
      <c r="O1063" s="19">
        <v>1086363.6363636362</v>
      </c>
      <c r="P1063" t="str">
        <f t="shared" si="22"/>
        <v>Ninja Motorized</v>
      </c>
      <c r="Q1063" t="str">
        <f t="shared" si="23"/>
        <v>Portable</v>
      </c>
    </row>
    <row r="1064" spans="1:17" x14ac:dyDescent="0.35">
      <c r="A1064" t="str">
        <f>_xlfn.XLOOKUP(B1064,Mapping!C:C,Mapping!D:D)</f>
        <v>other Online malls</v>
      </c>
      <c r="B1064" t="s">
        <v>294</v>
      </c>
      <c r="C1064" t="s">
        <v>338</v>
      </c>
      <c r="D1064" s="21">
        <v>46237</v>
      </c>
      <c r="E1064" s="21">
        <v>46243</v>
      </c>
      <c r="F1064">
        <v>7</v>
      </c>
      <c r="G1064" t="s">
        <v>65</v>
      </c>
      <c r="H1064">
        <v>249900</v>
      </c>
      <c r="I1064">
        <v>229900</v>
      </c>
      <c r="J1064">
        <v>199900</v>
      </c>
      <c r="K1064">
        <v>239000</v>
      </c>
      <c r="L1064">
        <v>5</v>
      </c>
      <c r="M1064">
        <v>1195000</v>
      </c>
      <c r="N1064" s="19">
        <v>1086363.6363636362</v>
      </c>
      <c r="O1064" s="19">
        <v>1086363.6363636362</v>
      </c>
      <c r="P1064" t="str">
        <f t="shared" si="22"/>
        <v>Ninja Motorized</v>
      </c>
      <c r="Q1064" t="str">
        <f t="shared" si="23"/>
        <v>Portable</v>
      </c>
    </row>
    <row r="1065" spans="1:17" x14ac:dyDescent="0.35">
      <c r="A1065" t="str">
        <f>_xlfn.XLOOKUP(B1065,Mapping!C:C,Mapping!D:D)</f>
        <v>other Online malls</v>
      </c>
      <c r="B1065" t="s">
        <v>294</v>
      </c>
      <c r="C1065" t="s">
        <v>338</v>
      </c>
      <c r="D1065" s="21">
        <v>46237</v>
      </c>
      <c r="E1065" s="21">
        <v>46243</v>
      </c>
      <c r="F1065">
        <v>7</v>
      </c>
      <c r="G1065" t="s">
        <v>66</v>
      </c>
      <c r="H1065">
        <v>249900</v>
      </c>
      <c r="I1065">
        <v>229900</v>
      </c>
      <c r="J1065">
        <v>199900</v>
      </c>
      <c r="K1065">
        <v>239000</v>
      </c>
      <c r="L1065">
        <v>5</v>
      </c>
      <c r="M1065">
        <v>1195000</v>
      </c>
      <c r="N1065" s="19">
        <v>1086363.6363636362</v>
      </c>
      <c r="O1065" s="19">
        <v>1086363.6363636362</v>
      </c>
      <c r="P1065" t="str">
        <f t="shared" si="22"/>
        <v>Ninja Motorized</v>
      </c>
      <c r="Q1065" t="str">
        <f t="shared" si="23"/>
        <v>Portable</v>
      </c>
    </row>
    <row r="1066" spans="1:17" x14ac:dyDescent="0.35">
      <c r="A1066" t="str">
        <f>_xlfn.XLOOKUP(B1066,Mapping!C:C,Mapping!D:D)</f>
        <v>other Online malls</v>
      </c>
      <c r="B1066" t="s">
        <v>298</v>
      </c>
      <c r="C1066" t="s">
        <v>339</v>
      </c>
      <c r="D1066" s="21">
        <v>46237</v>
      </c>
      <c r="E1066" s="21">
        <v>46243</v>
      </c>
      <c r="F1066">
        <v>7</v>
      </c>
      <c r="G1066" t="s">
        <v>37</v>
      </c>
      <c r="H1066">
        <v>229900</v>
      </c>
      <c r="I1066">
        <v>199900</v>
      </c>
      <c r="J1066">
        <v>179900</v>
      </c>
      <c r="K1066">
        <v>199900</v>
      </c>
      <c r="L1066">
        <v>5</v>
      </c>
      <c r="M1066">
        <v>999500</v>
      </c>
      <c r="N1066" s="19">
        <v>908636.36363636353</v>
      </c>
      <c r="O1066" s="19">
        <v>908636.36363636353</v>
      </c>
      <c r="P1066" t="str">
        <f t="shared" si="22"/>
        <v>Ninja Heated</v>
      </c>
      <c r="Q1066" t="str">
        <f t="shared" si="23"/>
        <v>Airfry</v>
      </c>
    </row>
    <row r="1067" spans="1:17" x14ac:dyDescent="0.35">
      <c r="A1067" t="str">
        <f>_xlfn.XLOOKUP(B1067,Mapping!C:C,Mapping!D:D)</f>
        <v>other Online malls</v>
      </c>
      <c r="B1067" t="s">
        <v>298</v>
      </c>
      <c r="C1067" t="s">
        <v>339</v>
      </c>
      <c r="D1067" s="21">
        <v>46237</v>
      </c>
      <c r="E1067" s="21">
        <v>46243</v>
      </c>
      <c r="F1067">
        <v>7</v>
      </c>
      <c r="G1067" t="s">
        <v>97</v>
      </c>
      <c r="H1067">
        <v>349900</v>
      </c>
      <c r="I1067">
        <v>299900</v>
      </c>
      <c r="J1067">
        <v>249900</v>
      </c>
      <c r="K1067">
        <v>299900</v>
      </c>
      <c r="L1067">
        <v>5</v>
      </c>
      <c r="M1067">
        <v>1499500</v>
      </c>
      <c r="N1067" s="19">
        <v>1363181.8181818179</v>
      </c>
      <c r="O1067" s="19">
        <v>1363181.8181818179</v>
      </c>
      <c r="P1067" t="str">
        <f t="shared" si="22"/>
        <v>Ninja Heated</v>
      </c>
      <c r="Q1067" t="str">
        <f t="shared" si="23"/>
        <v>Grill</v>
      </c>
    </row>
    <row r="1068" spans="1:17" x14ac:dyDescent="0.35">
      <c r="A1068" t="str">
        <f>_xlfn.XLOOKUP(B1068,Mapping!C:C,Mapping!D:D)</f>
        <v>other Online malls</v>
      </c>
      <c r="B1068" t="s">
        <v>298</v>
      </c>
      <c r="C1068" t="s">
        <v>339</v>
      </c>
      <c r="D1068" s="21">
        <v>46237</v>
      </c>
      <c r="E1068" s="21">
        <v>46243</v>
      </c>
      <c r="F1068">
        <v>7</v>
      </c>
      <c r="G1068" t="s">
        <v>38</v>
      </c>
      <c r="H1068">
        <v>429900</v>
      </c>
      <c r="I1068">
        <v>399900</v>
      </c>
      <c r="J1068">
        <v>349900</v>
      </c>
      <c r="K1068">
        <v>399900</v>
      </c>
      <c r="L1068">
        <v>5</v>
      </c>
      <c r="M1068">
        <v>1999500</v>
      </c>
      <c r="N1068" s="19">
        <v>1817727.2727272727</v>
      </c>
      <c r="O1068" s="19">
        <v>1817727.2727272727</v>
      </c>
      <c r="P1068" t="str">
        <f t="shared" si="22"/>
        <v>Ninja Heated</v>
      </c>
      <c r="Q1068" t="str">
        <f t="shared" si="23"/>
        <v>Grill</v>
      </c>
    </row>
    <row r="1069" spans="1:17" x14ac:dyDescent="0.35">
      <c r="A1069" t="str">
        <f>_xlfn.XLOOKUP(B1069,Mapping!C:C,Mapping!D:D)</f>
        <v>other Online malls</v>
      </c>
      <c r="B1069" t="s">
        <v>298</v>
      </c>
      <c r="C1069" t="s">
        <v>339</v>
      </c>
      <c r="D1069" s="21">
        <v>46237</v>
      </c>
      <c r="E1069" s="21">
        <v>46243</v>
      </c>
      <c r="F1069">
        <v>7</v>
      </c>
      <c r="G1069" t="s">
        <v>106</v>
      </c>
      <c r="H1069">
        <v>399900</v>
      </c>
      <c r="I1069">
        <v>349900</v>
      </c>
      <c r="J1069">
        <v>299900</v>
      </c>
      <c r="K1069">
        <v>349900</v>
      </c>
      <c r="L1069">
        <v>5</v>
      </c>
      <c r="M1069">
        <v>1749500</v>
      </c>
      <c r="N1069" s="19">
        <v>1590454.5454545454</v>
      </c>
      <c r="O1069" s="19">
        <v>1590454.5454545454</v>
      </c>
      <c r="P1069" t="str">
        <f t="shared" si="22"/>
        <v>Ninja Heated</v>
      </c>
      <c r="Q1069" t="str">
        <f t="shared" si="23"/>
        <v>Combi</v>
      </c>
    </row>
    <row r="1070" spans="1:17" x14ac:dyDescent="0.35">
      <c r="A1070" t="str">
        <f>_xlfn.XLOOKUP(B1070,Mapping!C:C,Mapping!D:D)</f>
        <v>other Online malls</v>
      </c>
      <c r="B1070" t="s">
        <v>298</v>
      </c>
      <c r="C1070" t="s">
        <v>339</v>
      </c>
      <c r="D1070" s="21">
        <v>46237</v>
      </c>
      <c r="E1070" s="21">
        <v>46243</v>
      </c>
      <c r="F1070">
        <v>7</v>
      </c>
      <c r="G1070" t="s">
        <v>29</v>
      </c>
      <c r="H1070">
        <v>349900</v>
      </c>
      <c r="I1070">
        <v>299900</v>
      </c>
      <c r="J1070">
        <v>279900</v>
      </c>
      <c r="K1070">
        <v>299900</v>
      </c>
      <c r="L1070">
        <v>5</v>
      </c>
      <c r="M1070">
        <v>1499500</v>
      </c>
      <c r="N1070" s="19">
        <v>1363181.8181818179</v>
      </c>
      <c r="O1070" s="19">
        <v>1363181.8181818179</v>
      </c>
      <c r="P1070" t="str">
        <f t="shared" si="22"/>
        <v>Ninja Heated</v>
      </c>
      <c r="Q1070" t="str">
        <f t="shared" si="23"/>
        <v>Airfry</v>
      </c>
    </row>
    <row r="1071" spans="1:17" x14ac:dyDescent="0.35">
      <c r="A1071" t="str">
        <f>_xlfn.XLOOKUP(B1071,Mapping!C:C,Mapping!D:D)</f>
        <v>other Online malls</v>
      </c>
      <c r="B1071" t="s">
        <v>298</v>
      </c>
      <c r="C1071" t="s">
        <v>339</v>
      </c>
      <c r="D1071" s="21">
        <v>46237</v>
      </c>
      <c r="E1071" s="21">
        <v>46243</v>
      </c>
      <c r="F1071">
        <v>7</v>
      </c>
      <c r="G1071" t="s">
        <v>19</v>
      </c>
      <c r="H1071">
        <v>249900</v>
      </c>
      <c r="I1071">
        <v>219900</v>
      </c>
      <c r="J1071">
        <v>199900</v>
      </c>
      <c r="K1071">
        <v>239900</v>
      </c>
      <c r="L1071">
        <v>5</v>
      </c>
      <c r="M1071">
        <v>1199500</v>
      </c>
      <c r="N1071" s="19">
        <v>1090454.5454545454</v>
      </c>
      <c r="O1071" s="19">
        <v>1090454.5454545454</v>
      </c>
      <c r="P1071" t="str">
        <f t="shared" si="22"/>
        <v>Ninja Heated</v>
      </c>
      <c r="Q1071" t="str">
        <f t="shared" si="23"/>
        <v>Crispi</v>
      </c>
    </row>
    <row r="1072" spans="1:17" x14ac:dyDescent="0.35">
      <c r="A1072" t="str">
        <f>_xlfn.XLOOKUP(B1072,Mapping!C:C,Mapping!D:D)</f>
        <v>other Online malls</v>
      </c>
      <c r="B1072" t="s">
        <v>298</v>
      </c>
      <c r="C1072" t="s">
        <v>339</v>
      </c>
      <c r="D1072" s="21">
        <v>46237</v>
      </c>
      <c r="E1072" s="21">
        <v>46243</v>
      </c>
      <c r="F1072">
        <v>7</v>
      </c>
      <c r="G1072" t="s">
        <v>75</v>
      </c>
      <c r="H1072">
        <v>249900</v>
      </c>
      <c r="I1072">
        <v>219900</v>
      </c>
      <c r="J1072">
        <v>199900</v>
      </c>
      <c r="K1072">
        <v>239900</v>
      </c>
      <c r="L1072">
        <v>5</v>
      </c>
      <c r="M1072">
        <v>1199500</v>
      </c>
      <c r="N1072" s="19">
        <v>1090454.5454545454</v>
      </c>
      <c r="O1072" s="19">
        <v>1090454.5454545454</v>
      </c>
      <c r="P1072" t="str">
        <f t="shared" si="22"/>
        <v>Ninja Heated</v>
      </c>
      <c r="Q1072" t="str">
        <f t="shared" si="23"/>
        <v>Crispi</v>
      </c>
    </row>
    <row r="1073" spans="1:17" x14ac:dyDescent="0.35">
      <c r="A1073" t="str">
        <f>_xlfn.XLOOKUP(B1073,Mapping!C:C,Mapping!D:D)</f>
        <v>other Online malls</v>
      </c>
      <c r="B1073" t="s">
        <v>298</v>
      </c>
      <c r="C1073" t="s">
        <v>339</v>
      </c>
      <c r="D1073" s="21">
        <v>46237</v>
      </c>
      <c r="E1073" s="21">
        <v>46243</v>
      </c>
      <c r="F1073">
        <v>7</v>
      </c>
      <c r="G1073" t="s">
        <v>20</v>
      </c>
      <c r="H1073">
        <v>249900</v>
      </c>
      <c r="I1073">
        <v>219900</v>
      </c>
      <c r="J1073">
        <v>199900</v>
      </c>
      <c r="K1073">
        <v>239900</v>
      </c>
      <c r="L1073">
        <v>5</v>
      </c>
      <c r="M1073">
        <v>1199500</v>
      </c>
      <c r="N1073" s="19">
        <v>1090454.5454545454</v>
      </c>
      <c r="O1073" s="19">
        <v>1090454.5454545454</v>
      </c>
      <c r="P1073" t="str">
        <f t="shared" si="22"/>
        <v>Ninja Heated</v>
      </c>
      <c r="Q1073" t="str">
        <f t="shared" si="23"/>
        <v>Crispi</v>
      </c>
    </row>
    <row r="1074" spans="1:17" x14ac:dyDescent="0.35">
      <c r="A1074" t="str">
        <f>_xlfn.XLOOKUP(B1074,Mapping!C:C,Mapping!D:D)</f>
        <v>other Online malls</v>
      </c>
      <c r="B1074" t="s">
        <v>298</v>
      </c>
      <c r="C1074" t="s">
        <v>339</v>
      </c>
      <c r="D1074" s="21">
        <v>46237</v>
      </c>
      <c r="E1074" s="21">
        <v>46243</v>
      </c>
      <c r="F1074">
        <v>7</v>
      </c>
      <c r="G1074" t="s">
        <v>32</v>
      </c>
      <c r="H1074">
        <v>349900</v>
      </c>
      <c r="I1074">
        <v>299900</v>
      </c>
      <c r="J1074">
        <v>269900</v>
      </c>
      <c r="K1074">
        <v>299900</v>
      </c>
      <c r="L1074">
        <v>5</v>
      </c>
      <c r="M1074">
        <v>1499500</v>
      </c>
      <c r="N1074" s="19">
        <v>1363181.8181818179</v>
      </c>
      <c r="O1074" s="19">
        <v>1363181.8181818179</v>
      </c>
      <c r="P1074" t="str">
        <f t="shared" si="22"/>
        <v>Ninja Motorized</v>
      </c>
      <c r="Q1074" t="str">
        <f t="shared" si="23"/>
        <v>Icecream</v>
      </c>
    </row>
    <row r="1075" spans="1:17" x14ac:dyDescent="0.35">
      <c r="A1075" t="str">
        <f>_xlfn.XLOOKUP(B1075,Mapping!C:C,Mapping!D:D)</f>
        <v>other Online malls</v>
      </c>
      <c r="B1075" t="s">
        <v>298</v>
      </c>
      <c r="C1075" t="s">
        <v>339</v>
      </c>
      <c r="D1075" s="21">
        <v>46237</v>
      </c>
      <c r="E1075" s="21">
        <v>46243</v>
      </c>
      <c r="F1075">
        <v>7</v>
      </c>
      <c r="G1075" t="s">
        <v>110</v>
      </c>
      <c r="H1075">
        <v>129900</v>
      </c>
      <c r="I1075">
        <v>114900</v>
      </c>
      <c r="J1075">
        <v>99900</v>
      </c>
      <c r="K1075">
        <v>114900</v>
      </c>
      <c r="L1075">
        <v>5</v>
      </c>
      <c r="M1075">
        <v>574500</v>
      </c>
      <c r="N1075" s="19">
        <v>522272.72727272718</v>
      </c>
      <c r="O1075" s="19">
        <v>522272.72727272718</v>
      </c>
      <c r="P1075" t="str">
        <f t="shared" si="22"/>
        <v>Ninja Motorized</v>
      </c>
      <c r="Q1075" t="str">
        <f t="shared" si="23"/>
        <v>Trad</v>
      </c>
    </row>
    <row r="1076" spans="1:17" x14ac:dyDescent="0.35">
      <c r="A1076" t="str">
        <f>_xlfn.XLOOKUP(B1076,Mapping!C:C,Mapping!D:D)</f>
        <v>other Online malls</v>
      </c>
      <c r="B1076" t="s">
        <v>298</v>
      </c>
      <c r="C1076" t="s">
        <v>339</v>
      </c>
      <c r="D1076" s="21">
        <v>46237</v>
      </c>
      <c r="E1076" s="21">
        <v>46243</v>
      </c>
      <c r="F1076">
        <v>7</v>
      </c>
      <c r="G1076" t="s">
        <v>84</v>
      </c>
      <c r="H1076">
        <v>169900</v>
      </c>
      <c r="I1076">
        <v>149900</v>
      </c>
      <c r="J1076">
        <v>129900</v>
      </c>
      <c r="K1076">
        <v>149900</v>
      </c>
      <c r="L1076">
        <v>5</v>
      </c>
      <c r="M1076">
        <v>749500</v>
      </c>
      <c r="N1076" s="19">
        <v>681363.63636363635</v>
      </c>
      <c r="O1076" s="19">
        <v>681363.63636363635</v>
      </c>
      <c r="P1076" t="str">
        <f t="shared" si="22"/>
        <v>Ninja Motorized</v>
      </c>
      <c r="Q1076" t="str">
        <f t="shared" si="23"/>
        <v>Trad</v>
      </c>
    </row>
    <row r="1077" spans="1:17" x14ac:dyDescent="0.35">
      <c r="A1077" t="str">
        <f>_xlfn.XLOOKUP(B1077,Mapping!C:C,Mapping!D:D)</f>
        <v>other Online malls</v>
      </c>
      <c r="B1077" t="s">
        <v>298</v>
      </c>
      <c r="C1077" t="s">
        <v>339</v>
      </c>
      <c r="D1077" s="21">
        <v>46237</v>
      </c>
      <c r="E1077" s="21">
        <v>46243</v>
      </c>
      <c r="F1077">
        <v>7</v>
      </c>
      <c r="G1077" t="s">
        <v>105</v>
      </c>
      <c r="H1077">
        <v>299900</v>
      </c>
      <c r="I1077">
        <v>269900</v>
      </c>
      <c r="J1077">
        <v>249900</v>
      </c>
      <c r="K1077">
        <v>269900</v>
      </c>
      <c r="L1077">
        <v>5</v>
      </c>
      <c r="M1077">
        <v>1349500</v>
      </c>
      <c r="N1077" s="19">
        <v>1226818.1818181816</v>
      </c>
      <c r="O1077" s="19">
        <v>1226818.1818181816</v>
      </c>
      <c r="P1077" t="str">
        <f t="shared" si="22"/>
        <v>Ninja Motorized</v>
      </c>
      <c r="Q1077" t="str">
        <f t="shared" si="23"/>
        <v>Kitchen</v>
      </c>
    </row>
    <row r="1078" spans="1:17" x14ac:dyDescent="0.35">
      <c r="A1078" t="str">
        <f>_xlfn.XLOOKUP(B1078,Mapping!C:C,Mapping!D:D)</f>
        <v>other Online malls</v>
      </c>
      <c r="B1078" t="s">
        <v>298</v>
      </c>
      <c r="C1078" t="s">
        <v>339</v>
      </c>
      <c r="D1078" s="21">
        <v>46237</v>
      </c>
      <c r="E1078" s="21">
        <v>46243</v>
      </c>
      <c r="F1078">
        <v>7</v>
      </c>
      <c r="G1078" t="s">
        <v>16</v>
      </c>
      <c r="H1078">
        <v>199900</v>
      </c>
      <c r="I1078">
        <v>129900</v>
      </c>
      <c r="J1078">
        <v>129900</v>
      </c>
      <c r="K1078">
        <v>129900</v>
      </c>
      <c r="L1078">
        <v>5</v>
      </c>
      <c r="M1078">
        <v>649500</v>
      </c>
      <c r="N1078" s="19">
        <v>590454.54545454541</v>
      </c>
      <c r="O1078" s="19">
        <v>590454.54545454541</v>
      </c>
      <c r="P1078" t="str">
        <f t="shared" si="22"/>
        <v>Ninja Motorized</v>
      </c>
      <c r="Q1078" t="str">
        <f t="shared" si="23"/>
        <v>Trad</v>
      </c>
    </row>
    <row r="1079" spans="1:17" x14ac:dyDescent="0.35">
      <c r="A1079" t="str">
        <f>_xlfn.XLOOKUP(B1079,Mapping!C:C,Mapping!D:D)</f>
        <v>other Online malls</v>
      </c>
      <c r="B1079" t="s">
        <v>298</v>
      </c>
      <c r="C1079" t="s">
        <v>339</v>
      </c>
      <c r="D1079" s="21">
        <v>46237</v>
      </c>
      <c r="E1079" s="21">
        <v>46243</v>
      </c>
      <c r="F1079">
        <v>7</v>
      </c>
      <c r="G1079" t="s">
        <v>39</v>
      </c>
      <c r="H1079">
        <v>249900</v>
      </c>
      <c r="I1079">
        <v>199900</v>
      </c>
      <c r="J1079">
        <v>189900</v>
      </c>
      <c r="K1079">
        <v>199900</v>
      </c>
      <c r="L1079">
        <v>5</v>
      </c>
      <c r="M1079">
        <v>999500</v>
      </c>
      <c r="N1079" s="19">
        <v>908636.36363636353</v>
      </c>
      <c r="O1079" s="19">
        <v>908636.36363636353</v>
      </c>
      <c r="P1079" t="str">
        <f t="shared" si="22"/>
        <v>Ninja Motorized</v>
      </c>
      <c r="Q1079" t="str">
        <f t="shared" si="23"/>
        <v>Trad</v>
      </c>
    </row>
    <row r="1080" spans="1:17" x14ac:dyDescent="0.35">
      <c r="A1080" t="str">
        <f>_xlfn.XLOOKUP(B1080,Mapping!C:C,Mapping!D:D)</f>
        <v>other Online malls</v>
      </c>
      <c r="B1080" t="s">
        <v>298</v>
      </c>
      <c r="C1080" t="s">
        <v>339</v>
      </c>
      <c r="D1080" s="21">
        <v>46237</v>
      </c>
      <c r="E1080" s="21">
        <v>46243</v>
      </c>
      <c r="F1080">
        <v>7</v>
      </c>
      <c r="G1080" t="s">
        <v>85</v>
      </c>
      <c r="H1080">
        <v>349900</v>
      </c>
      <c r="I1080">
        <v>319900</v>
      </c>
      <c r="J1080">
        <v>299900</v>
      </c>
      <c r="K1080">
        <v>319900</v>
      </c>
      <c r="L1080">
        <v>5</v>
      </c>
      <c r="M1080">
        <v>1599500</v>
      </c>
      <c r="N1080" s="19">
        <v>1454090.9090909092</v>
      </c>
      <c r="O1080" s="19">
        <v>1454090.9090909092</v>
      </c>
      <c r="P1080" t="str">
        <f t="shared" si="22"/>
        <v>Ninja Motorized</v>
      </c>
      <c r="Q1080" t="str">
        <f t="shared" si="23"/>
        <v>Kitchen</v>
      </c>
    </row>
    <row r="1081" spans="1:17" x14ac:dyDescent="0.35">
      <c r="A1081" t="str">
        <f>_xlfn.XLOOKUP(B1081,Mapping!C:C,Mapping!D:D)</f>
        <v>other Online malls</v>
      </c>
      <c r="B1081" t="s">
        <v>298</v>
      </c>
      <c r="C1081" t="s">
        <v>339</v>
      </c>
      <c r="D1081" s="21">
        <v>46237</v>
      </c>
      <c r="E1081" s="21">
        <v>46243</v>
      </c>
      <c r="F1081">
        <v>7</v>
      </c>
      <c r="G1081" t="s">
        <v>27</v>
      </c>
      <c r="H1081">
        <v>329900</v>
      </c>
      <c r="I1081">
        <v>299900</v>
      </c>
      <c r="J1081">
        <v>279900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 t="shared" si="22"/>
        <v>Ninja Motorized</v>
      </c>
      <c r="Q1081" t="str">
        <f t="shared" si="23"/>
        <v>Trad</v>
      </c>
    </row>
    <row r="1082" spans="1:17" x14ac:dyDescent="0.35">
      <c r="A1082" t="str">
        <f>_xlfn.XLOOKUP(B1082,Mapping!C:C,Mapping!D:D)</f>
        <v>other Online malls</v>
      </c>
      <c r="B1082" t="s">
        <v>298</v>
      </c>
      <c r="C1082" t="s">
        <v>339</v>
      </c>
      <c r="D1082" s="21">
        <v>46237</v>
      </c>
      <c r="E1082" s="21">
        <v>46243</v>
      </c>
      <c r="F1082">
        <v>7</v>
      </c>
      <c r="G1082" t="s">
        <v>40</v>
      </c>
      <c r="H1082">
        <v>349900</v>
      </c>
      <c r="I1082">
        <v>319900</v>
      </c>
      <c r="J1082">
        <v>299900</v>
      </c>
      <c r="K1082">
        <v>319900</v>
      </c>
      <c r="L1082">
        <v>5</v>
      </c>
      <c r="M1082">
        <v>1599500</v>
      </c>
      <c r="N1082" s="19">
        <v>1454090.9090909092</v>
      </c>
      <c r="O1082" s="19">
        <v>1454090.9090909092</v>
      </c>
      <c r="P1082" t="str">
        <f t="shared" si="22"/>
        <v>Ninja Motorized</v>
      </c>
      <c r="Q1082" t="str">
        <f t="shared" si="23"/>
        <v>Hot</v>
      </c>
    </row>
    <row r="1083" spans="1:17" x14ac:dyDescent="0.35">
      <c r="A1083" t="str">
        <f>_xlfn.XLOOKUP(B1083,Mapping!C:C,Mapping!D:D)</f>
        <v>other Online malls</v>
      </c>
      <c r="B1083" t="s">
        <v>298</v>
      </c>
      <c r="C1083" t="s">
        <v>339</v>
      </c>
      <c r="D1083" s="21">
        <v>46237</v>
      </c>
      <c r="E1083" s="21">
        <v>46243</v>
      </c>
      <c r="F1083">
        <v>7</v>
      </c>
      <c r="G1083" t="s">
        <v>95</v>
      </c>
      <c r="H1083">
        <v>79900</v>
      </c>
      <c r="I1083">
        <v>54900</v>
      </c>
      <c r="J1083">
        <v>54900</v>
      </c>
      <c r="K1083">
        <v>54900</v>
      </c>
      <c r="L1083">
        <v>5</v>
      </c>
      <c r="M1083">
        <v>274500</v>
      </c>
      <c r="N1083" s="19">
        <v>249545.45454545453</v>
      </c>
      <c r="O1083" s="19">
        <v>249545.45454545453</v>
      </c>
      <c r="P1083" t="str">
        <f t="shared" si="22"/>
        <v>Ninja Motorized</v>
      </c>
      <c r="Q1083" t="str">
        <f t="shared" si="23"/>
        <v>Food process</v>
      </c>
    </row>
    <row r="1084" spans="1:17" x14ac:dyDescent="0.35">
      <c r="A1084" t="str">
        <f>_xlfn.XLOOKUP(B1084,Mapping!C:C,Mapping!D:D)</f>
        <v>other Online malls</v>
      </c>
      <c r="B1084" t="s">
        <v>298</v>
      </c>
      <c r="C1084" t="s">
        <v>339</v>
      </c>
      <c r="D1084" s="21">
        <v>46237</v>
      </c>
      <c r="E1084" s="21">
        <v>46243</v>
      </c>
      <c r="F1084">
        <v>7</v>
      </c>
      <c r="G1084" t="s">
        <v>73</v>
      </c>
      <c r="H1084">
        <v>139900</v>
      </c>
      <c r="I1084">
        <v>129900</v>
      </c>
      <c r="J1084">
        <v>119900</v>
      </c>
      <c r="K1084">
        <v>129900</v>
      </c>
      <c r="L1084">
        <v>5</v>
      </c>
      <c r="M1084">
        <v>649500</v>
      </c>
      <c r="N1084" s="19">
        <v>590454.54545454541</v>
      </c>
      <c r="O1084" s="19">
        <v>590454.54545454541</v>
      </c>
      <c r="P1084" t="str">
        <f t="shared" si="22"/>
        <v>Ninja Motorized</v>
      </c>
      <c r="Q1084" t="str">
        <f t="shared" si="23"/>
        <v>Hand</v>
      </c>
    </row>
    <row r="1085" spans="1:17" x14ac:dyDescent="0.35">
      <c r="A1085" t="str">
        <f>_xlfn.XLOOKUP(B1085,Mapping!C:C,Mapping!D:D)</f>
        <v>other Online malls</v>
      </c>
      <c r="B1085" t="s">
        <v>298</v>
      </c>
      <c r="C1085" t="s">
        <v>339</v>
      </c>
      <c r="D1085" s="21">
        <v>46237</v>
      </c>
      <c r="E1085" s="21">
        <v>46243</v>
      </c>
      <c r="F1085">
        <v>7</v>
      </c>
      <c r="G1085" t="s">
        <v>33</v>
      </c>
      <c r="H1085">
        <v>399900</v>
      </c>
      <c r="I1085">
        <v>349900</v>
      </c>
      <c r="J1085">
        <v>299900</v>
      </c>
      <c r="K1085">
        <v>379000</v>
      </c>
      <c r="L1085">
        <v>5</v>
      </c>
      <c r="M1085">
        <v>1895000</v>
      </c>
      <c r="N1085" s="19">
        <v>1722727.2727272727</v>
      </c>
      <c r="O1085" s="19">
        <v>1722727.2727272727</v>
      </c>
      <c r="P1085" t="str">
        <f t="shared" ref="P1085:P1148" si="24">_xlfn.XLOOKUP(G1085,$G$2:$G$529,$P$2:$P$529,"Not Found")</f>
        <v>Shark Fan</v>
      </c>
      <c r="Q1085" t="str">
        <f t="shared" ref="Q1085:Q1148" si="25">_xlfn.XLOOKUP(G1085,$G$2:$G$529,$Q$2:$Q$529,"Not Found")</f>
        <v>Fan</v>
      </c>
    </row>
    <row r="1086" spans="1:17" x14ac:dyDescent="0.35">
      <c r="A1086" t="str">
        <f>_xlfn.XLOOKUP(B1086,Mapping!C:C,Mapping!D:D)</f>
        <v>other Online malls</v>
      </c>
      <c r="B1086" t="s">
        <v>298</v>
      </c>
      <c r="C1086" t="s">
        <v>339</v>
      </c>
      <c r="D1086" s="21">
        <v>46237</v>
      </c>
      <c r="E1086" s="21">
        <v>46243</v>
      </c>
      <c r="F1086">
        <v>7</v>
      </c>
      <c r="G1086" t="s">
        <v>87</v>
      </c>
      <c r="H1086">
        <v>219900</v>
      </c>
      <c r="I1086">
        <v>199900</v>
      </c>
      <c r="J1086">
        <v>179900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 t="shared" si="24"/>
        <v>Shark Fan</v>
      </c>
      <c r="Q1086" t="str">
        <f t="shared" si="25"/>
        <v>Fan</v>
      </c>
    </row>
    <row r="1087" spans="1:17" x14ac:dyDescent="0.35">
      <c r="A1087" t="str">
        <f>_xlfn.XLOOKUP(B1087,Mapping!C:C,Mapping!D:D)</f>
        <v>other Online malls</v>
      </c>
      <c r="B1087" t="s">
        <v>298</v>
      </c>
      <c r="C1087" t="s">
        <v>339</v>
      </c>
      <c r="D1087" s="21">
        <v>46237</v>
      </c>
      <c r="E1087" s="21">
        <v>46243</v>
      </c>
      <c r="F1087">
        <v>7</v>
      </c>
      <c r="G1087" t="s">
        <v>290</v>
      </c>
      <c r="H1087">
        <v>0</v>
      </c>
      <c r="I1087">
        <v>0</v>
      </c>
      <c r="J1087">
        <v>0</v>
      </c>
      <c r="K1087">
        <v>219900</v>
      </c>
      <c r="L1087">
        <v>5</v>
      </c>
      <c r="M1087">
        <v>1099500</v>
      </c>
      <c r="N1087" s="19">
        <v>999545.45454545435</v>
      </c>
      <c r="O1087" s="19">
        <v>999545.45454545435</v>
      </c>
      <c r="P1087" t="str">
        <f t="shared" si="24"/>
        <v>Not Found</v>
      </c>
      <c r="Q1087" t="str">
        <f t="shared" si="25"/>
        <v>Not Found</v>
      </c>
    </row>
    <row r="1088" spans="1:17" x14ac:dyDescent="0.35">
      <c r="A1088" t="str">
        <f>_xlfn.XLOOKUP(B1088,Mapping!C:C,Mapping!D:D)</f>
        <v>other Online malls</v>
      </c>
      <c r="B1088" t="s">
        <v>298</v>
      </c>
      <c r="C1088" t="s">
        <v>339</v>
      </c>
      <c r="D1088" s="21">
        <v>46237</v>
      </c>
      <c r="E1088" s="21">
        <v>46243</v>
      </c>
      <c r="F1088">
        <v>7</v>
      </c>
      <c r="G1088" t="s">
        <v>108</v>
      </c>
      <c r="H1088">
        <v>199900</v>
      </c>
      <c r="I1088">
        <v>179900</v>
      </c>
      <c r="J1088">
        <v>169900</v>
      </c>
      <c r="K1088">
        <v>179900</v>
      </c>
      <c r="L1088">
        <v>5</v>
      </c>
      <c r="M1088">
        <v>899500</v>
      </c>
      <c r="N1088" s="19">
        <v>817727.27272727271</v>
      </c>
      <c r="O1088" s="19">
        <v>817727.27272727271</v>
      </c>
      <c r="P1088" t="str">
        <f t="shared" si="24"/>
        <v>Shark Floorcare</v>
      </c>
      <c r="Q1088" t="str">
        <f t="shared" si="25"/>
        <v>WV</v>
      </c>
    </row>
    <row r="1089" spans="1:17" x14ac:dyDescent="0.35">
      <c r="A1089" t="str">
        <f>_xlfn.XLOOKUP(B1089,Mapping!C:C,Mapping!D:D)</f>
        <v>other Online malls</v>
      </c>
      <c r="B1089" t="s">
        <v>298</v>
      </c>
      <c r="C1089" t="s">
        <v>339</v>
      </c>
      <c r="D1089" s="21">
        <v>46237</v>
      </c>
      <c r="E1089" s="21">
        <v>46243</v>
      </c>
      <c r="F1089">
        <v>7</v>
      </c>
      <c r="G1089" t="s">
        <v>96</v>
      </c>
      <c r="H1089">
        <v>139900</v>
      </c>
      <c r="I1089">
        <v>119900</v>
      </c>
      <c r="J1089">
        <v>99900</v>
      </c>
      <c r="K1089">
        <v>119900</v>
      </c>
      <c r="L1089">
        <v>5</v>
      </c>
      <c r="M1089">
        <v>599500</v>
      </c>
      <c r="N1089" s="19">
        <v>544999.99999999988</v>
      </c>
      <c r="O1089" s="19">
        <v>544999.99999999988</v>
      </c>
      <c r="P1089" t="str">
        <f t="shared" si="24"/>
        <v>Shark Floorcare</v>
      </c>
      <c r="Q1089" t="str">
        <f t="shared" si="25"/>
        <v>WV</v>
      </c>
    </row>
    <row r="1090" spans="1:17" x14ac:dyDescent="0.35">
      <c r="A1090" t="str">
        <f>_xlfn.XLOOKUP(B1090,Mapping!C:C,Mapping!D:D)</f>
        <v>other Online malls</v>
      </c>
      <c r="B1090" t="s">
        <v>298</v>
      </c>
      <c r="C1090" t="s">
        <v>339</v>
      </c>
      <c r="D1090" s="21">
        <v>46237</v>
      </c>
      <c r="E1090" s="21">
        <v>46243</v>
      </c>
      <c r="F1090">
        <v>7</v>
      </c>
      <c r="G1090" t="s">
        <v>112</v>
      </c>
      <c r="H1090">
        <v>799000</v>
      </c>
      <c r="I1090">
        <v>599000</v>
      </c>
      <c r="J1090">
        <v>599000</v>
      </c>
      <c r="K1090">
        <v>599000</v>
      </c>
      <c r="L1090">
        <v>5</v>
      </c>
      <c r="M1090">
        <v>2995000</v>
      </c>
      <c r="N1090" s="19">
        <v>2722727.2727272725</v>
      </c>
      <c r="O1090" s="19">
        <v>2722727.2727272725</v>
      </c>
      <c r="P1090" t="str">
        <f t="shared" si="24"/>
        <v>Shark Floorcare</v>
      </c>
      <c r="Q1090" t="str">
        <f t="shared" si="25"/>
        <v>CS</v>
      </c>
    </row>
    <row r="1091" spans="1:17" x14ac:dyDescent="0.35">
      <c r="A1091" t="str">
        <f>_xlfn.XLOOKUP(B1091,Mapping!C:C,Mapping!D:D)</f>
        <v>other Online malls</v>
      </c>
      <c r="B1091" t="s">
        <v>298</v>
      </c>
      <c r="C1091" t="s">
        <v>339</v>
      </c>
      <c r="D1091" s="21">
        <v>46237</v>
      </c>
      <c r="E1091" s="21">
        <v>46243</v>
      </c>
      <c r="F1091">
        <v>7</v>
      </c>
      <c r="G1091" t="s">
        <v>104</v>
      </c>
      <c r="H1091">
        <v>799000</v>
      </c>
      <c r="I1091">
        <v>699000</v>
      </c>
      <c r="J1091">
        <v>599000</v>
      </c>
      <c r="K1091">
        <v>699000</v>
      </c>
      <c r="L1091">
        <v>5</v>
      </c>
      <c r="M1091">
        <v>3495000</v>
      </c>
      <c r="N1091" s="19">
        <v>3177272.7272727271</v>
      </c>
      <c r="O1091" s="19">
        <v>3177272.7272727271</v>
      </c>
      <c r="P1091" t="str">
        <f t="shared" si="24"/>
        <v>Shark Floorcare</v>
      </c>
      <c r="Q1091" t="str">
        <f t="shared" si="25"/>
        <v>FW</v>
      </c>
    </row>
    <row r="1092" spans="1:17" x14ac:dyDescent="0.35">
      <c r="A1092" t="str">
        <f>_xlfn.XLOOKUP(B1092,Mapping!C:C,Mapping!D:D)</f>
        <v>other Online malls</v>
      </c>
      <c r="B1092" t="s">
        <v>298</v>
      </c>
      <c r="C1092" t="s">
        <v>339</v>
      </c>
      <c r="D1092" s="21">
        <v>46237</v>
      </c>
      <c r="E1092" s="21">
        <v>46243</v>
      </c>
      <c r="F1092">
        <v>7</v>
      </c>
      <c r="G1092" t="s">
        <v>31</v>
      </c>
      <c r="H1092">
        <v>849000</v>
      </c>
      <c r="I1092">
        <v>699000</v>
      </c>
      <c r="J1092">
        <v>649000</v>
      </c>
      <c r="K1092">
        <v>799000</v>
      </c>
      <c r="L1092">
        <v>5</v>
      </c>
      <c r="M1092">
        <v>3995000</v>
      </c>
      <c r="N1092" s="19">
        <v>3631818.1818181816</v>
      </c>
      <c r="O1092" s="19">
        <v>3631818.1818181816</v>
      </c>
      <c r="P1092" t="str">
        <f t="shared" si="24"/>
        <v>Shark Floorcare</v>
      </c>
      <c r="Q1092" t="str">
        <f t="shared" si="25"/>
        <v>FW</v>
      </c>
    </row>
    <row r="1093" spans="1:17" x14ac:dyDescent="0.35">
      <c r="A1093" t="str">
        <f>_xlfn.XLOOKUP(B1093,Mapping!C:C,Mapping!D:D)</f>
        <v>other Online malls</v>
      </c>
      <c r="B1093" t="s">
        <v>298</v>
      </c>
      <c r="C1093" t="s">
        <v>339</v>
      </c>
      <c r="D1093" s="21">
        <v>46237</v>
      </c>
      <c r="E1093" s="21">
        <v>46243</v>
      </c>
      <c r="F1093">
        <v>7</v>
      </c>
      <c r="G1093" t="s">
        <v>54</v>
      </c>
      <c r="H1093">
        <v>699000</v>
      </c>
      <c r="I1093">
        <v>599000</v>
      </c>
      <c r="J1093">
        <v>499000</v>
      </c>
      <c r="K1093">
        <v>499000</v>
      </c>
      <c r="L1093">
        <v>5</v>
      </c>
      <c r="M1093">
        <v>2495000</v>
      </c>
      <c r="N1093" s="19">
        <v>2268181.8181818179</v>
      </c>
      <c r="O1093" s="19">
        <v>2268181.8181818179</v>
      </c>
      <c r="P1093" t="str">
        <f t="shared" si="24"/>
        <v>Shark Floorcare</v>
      </c>
      <c r="Q1093" t="str">
        <f t="shared" si="25"/>
        <v>FW</v>
      </c>
    </row>
    <row r="1094" spans="1:17" x14ac:dyDescent="0.35">
      <c r="A1094" t="str">
        <f>_xlfn.XLOOKUP(B1094,Mapping!C:C,Mapping!D:D)</f>
        <v>other Online malls</v>
      </c>
      <c r="B1094" t="s">
        <v>298</v>
      </c>
      <c r="C1094" t="s">
        <v>339</v>
      </c>
      <c r="D1094" s="21">
        <v>46237</v>
      </c>
      <c r="E1094" s="21">
        <v>46243</v>
      </c>
      <c r="F1094">
        <v>7</v>
      </c>
      <c r="G1094" t="s">
        <v>88</v>
      </c>
      <c r="H1094">
        <v>449000</v>
      </c>
      <c r="I1094">
        <v>399000</v>
      </c>
      <c r="J1094">
        <v>0</v>
      </c>
      <c r="K1094">
        <v>499000</v>
      </c>
      <c r="L1094">
        <v>5</v>
      </c>
      <c r="M1094">
        <v>2495000</v>
      </c>
      <c r="N1094" s="19">
        <v>2268181.8181818179</v>
      </c>
      <c r="O1094" s="19">
        <v>2268181.8181818179</v>
      </c>
      <c r="P1094" t="str">
        <f t="shared" si="24"/>
        <v>Shark Floorcare</v>
      </c>
      <c r="Q1094" t="str">
        <f t="shared" si="25"/>
        <v>CS</v>
      </c>
    </row>
    <row r="1095" spans="1:17" x14ac:dyDescent="0.35">
      <c r="A1095" t="str">
        <f>_xlfn.XLOOKUP(B1095,Mapping!C:C,Mapping!D:D)</f>
        <v>other Online malls</v>
      </c>
      <c r="B1095" t="s">
        <v>298</v>
      </c>
      <c r="C1095" t="s">
        <v>339</v>
      </c>
      <c r="D1095" s="21">
        <v>46237</v>
      </c>
      <c r="E1095" s="21">
        <v>46243</v>
      </c>
      <c r="F1095">
        <v>7</v>
      </c>
      <c r="G1095" t="s">
        <v>35</v>
      </c>
      <c r="H1095">
        <v>599000</v>
      </c>
      <c r="I1095">
        <v>549000</v>
      </c>
      <c r="J1095">
        <v>499000</v>
      </c>
      <c r="K1095">
        <v>549000</v>
      </c>
      <c r="L1095">
        <v>5</v>
      </c>
      <c r="M1095">
        <v>2745000</v>
      </c>
      <c r="N1095" s="19">
        <v>2495454.5454545454</v>
      </c>
      <c r="O1095" s="19">
        <v>2495454.5454545454</v>
      </c>
      <c r="P1095" t="str">
        <f t="shared" si="24"/>
        <v>Shark Floorcare</v>
      </c>
      <c r="Q1095" t="str">
        <f t="shared" si="25"/>
        <v>FW</v>
      </c>
    </row>
    <row r="1096" spans="1:17" x14ac:dyDescent="0.35">
      <c r="A1096" t="str">
        <f>_xlfn.XLOOKUP(B1096,Mapping!C:C,Mapping!D:D)</f>
        <v>other Online malls</v>
      </c>
      <c r="B1096" t="s">
        <v>298</v>
      </c>
      <c r="C1096" t="s">
        <v>339</v>
      </c>
      <c r="D1096" s="21">
        <v>46237</v>
      </c>
      <c r="E1096" s="21">
        <v>46243</v>
      </c>
      <c r="F1096">
        <v>7</v>
      </c>
      <c r="G1096" t="s">
        <v>23</v>
      </c>
      <c r="H1096">
        <v>899000</v>
      </c>
      <c r="I1096">
        <v>849000</v>
      </c>
      <c r="J1096">
        <v>749000</v>
      </c>
      <c r="K1096">
        <v>849000</v>
      </c>
      <c r="L1096">
        <v>5</v>
      </c>
      <c r="M1096">
        <v>4245000</v>
      </c>
      <c r="N1096" s="19">
        <v>3859090.9090909087</v>
      </c>
      <c r="O1096" s="19">
        <v>3859090.9090909087</v>
      </c>
      <c r="P1096" t="str">
        <f t="shared" si="24"/>
        <v>Shark Floorcare</v>
      </c>
      <c r="Q1096" t="str">
        <f t="shared" si="25"/>
        <v>Kion</v>
      </c>
    </row>
    <row r="1097" spans="1:17" x14ac:dyDescent="0.35">
      <c r="A1097" t="str">
        <f>_xlfn.XLOOKUP(B1097,Mapping!C:C,Mapping!D:D)</f>
        <v>other Online malls</v>
      </c>
      <c r="B1097" t="s">
        <v>298</v>
      </c>
      <c r="C1097" t="s">
        <v>339</v>
      </c>
      <c r="D1097" s="21">
        <v>46237</v>
      </c>
      <c r="E1097" s="21">
        <v>46243</v>
      </c>
      <c r="F1097">
        <v>7</v>
      </c>
      <c r="G1097" t="s">
        <v>107</v>
      </c>
      <c r="H1097">
        <v>849000</v>
      </c>
      <c r="I1097">
        <v>749000</v>
      </c>
      <c r="J1097">
        <v>699000</v>
      </c>
      <c r="K1097">
        <v>749000</v>
      </c>
      <c r="L1097">
        <v>5</v>
      </c>
      <c r="M1097">
        <v>3745000</v>
      </c>
      <c r="N1097" s="19">
        <v>3404545.4545454541</v>
      </c>
      <c r="O1097" s="19">
        <v>3404545.4545454541</v>
      </c>
      <c r="P1097" t="str">
        <f t="shared" si="24"/>
        <v>Shark Floorcare</v>
      </c>
      <c r="Q1097" t="str">
        <f t="shared" si="25"/>
        <v>Kion</v>
      </c>
    </row>
    <row r="1098" spans="1:17" x14ac:dyDescent="0.35">
      <c r="A1098" t="str">
        <f>_xlfn.XLOOKUP(B1098,Mapping!C:C,Mapping!D:D)</f>
        <v>other Online malls</v>
      </c>
      <c r="B1098" t="s">
        <v>298</v>
      </c>
      <c r="C1098" t="s">
        <v>339</v>
      </c>
      <c r="D1098" s="21">
        <v>46237</v>
      </c>
      <c r="E1098" s="21">
        <v>46243</v>
      </c>
      <c r="F1098">
        <v>7</v>
      </c>
      <c r="G1098" t="s">
        <v>28</v>
      </c>
      <c r="H1098">
        <v>299900</v>
      </c>
      <c r="I1098">
        <v>219900</v>
      </c>
      <c r="J1098">
        <v>219900</v>
      </c>
      <c r="K1098">
        <v>219900</v>
      </c>
      <c r="L1098">
        <v>5</v>
      </c>
      <c r="M1098">
        <v>1099500</v>
      </c>
      <c r="N1098" s="19">
        <v>999545.45454545435</v>
      </c>
      <c r="O1098" s="19">
        <v>999545.45454545435</v>
      </c>
      <c r="P1098" t="str">
        <f t="shared" si="24"/>
        <v>Shark Floorcare</v>
      </c>
      <c r="Q1098" t="str">
        <f t="shared" si="25"/>
        <v>WD</v>
      </c>
    </row>
    <row r="1099" spans="1:17" x14ac:dyDescent="0.35">
      <c r="A1099" t="str">
        <f>_xlfn.XLOOKUP(B1099,Mapping!C:C,Mapping!D:D)</f>
        <v>other Online malls</v>
      </c>
      <c r="B1099" t="s">
        <v>298</v>
      </c>
      <c r="C1099" t="s">
        <v>339</v>
      </c>
      <c r="D1099" s="21">
        <v>46237</v>
      </c>
      <c r="E1099" s="21">
        <v>46243</v>
      </c>
      <c r="F1099">
        <v>7</v>
      </c>
      <c r="G1099" t="s">
        <v>36</v>
      </c>
      <c r="H1099">
        <v>469900</v>
      </c>
      <c r="I1099">
        <v>399900</v>
      </c>
      <c r="J1099">
        <v>389900</v>
      </c>
      <c r="K1099">
        <v>399900</v>
      </c>
      <c r="L1099">
        <v>5</v>
      </c>
      <c r="M1099">
        <v>1999500</v>
      </c>
      <c r="N1099" s="19">
        <v>1817727.2727272727</v>
      </c>
      <c r="O1099" s="19">
        <v>1817727.2727272727</v>
      </c>
      <c r="P1099" t="str">
        <f t="shared" si="24"/>
        <v>Shark Floorcare</v>
      </c>
      <c r="Q1099" t="str">
        <f t="shared" si="25"/>
        <v>WD</v>
      </c>
    </row>
    <row r="1100" spans="1:17" x14ac:dyDescent="0.35">
      <c r="A1100" t="str">
        <f>_xlfn.XLOOKUP(B1100,Mapping!C:C,Mapping!D:D)</f>
        <v>other Online malls</v>
      </c>
      <c r="B1100" t="s">
        <v>298</v>
      </c>
      <c r="C1100" t="s">
        <v>339</v>
      </c>
      <c r="D1100" s="21">
        <v>46237</v>
      </c>
      <c r="E1100" s="21">
        <v>46243</v>
      </c>
      <c r="F1100">
        <v>7</v>
      </c>
      <c r="G1100" t="s">
        <v>62</v>
      </c>
      <c r="H1100">
        <v>349900</v>
      </c>
      <c r="I1100">
        <v>319900</v>
      </c>
      <c r="J1100">
        <v>299900</v>
      </c>
      <c r="K1100">
        <v>339000</v>
      </c>
      <c r="L1100">
        <v>5</v>
      </c>
      <c r="M1100">
        <v>1695000</v>
      </c>
      <c r="N1100" s="19">
        <v>1540909.0909090908</v>
      </c>
      <c r="O1100" s="19">
        <v>1540909.0909090908</v>
      </c>
      <c r="P1100" t="str">
        <f t="shared" si="24"/>
        <v>Shark Floorcare</v>
      </c>
      <c r="Q1100" t="str">
        <f t="shared" si="25"/>
        <v>WV</v>
      </c>
    </row>
    <row r="1101" spans="1:17" x14ac:dyDescent="0.35">
      <c r="A1101" t="str">
        <f>_xlfn.XLOOKUP(B1101,Mapping!C:C,Mapping!D:D)</f>
        <v>other Online malls</v>
      </c>
      <c r="B1101" t="s">
        <v>298</v>
      </c>
      <c r="C1101" t="s">
        <v>339</v>
      </c>
      <c r="D1101" s="21">
        <v>46237</v>
      </c>
      <c r="E1101" s="21">
        <v>46243</v>
      </c>
      <c r="F1101">
        <v>7</v>
      </c>
      <c r="G1101" t="s">
        <v>100</v>
      </c>
      <c r="H1101">
        <v>119900</v>
      </c>
      <c r="I1101">
        <v>99900</v>
      </c>
      <c r="J1101">
        <v>84900</v>
      </c>
      <c r="K1101">
        <v>99900</v>
      </c>
      <c r="L1101">
        <v>5</v>
      </c>
      <c r="M1101">
        <v>499500</v>
      </c>
      <c r="N1101" s="19">
        <v>454090.90909090906</v>
      </c>
      <c r="O1101" s="19">
        <v>454090.90909090906</v>
      </c>
      <c r="P1101" t="str">
        <f t="shared" si="24"/>
        <v>Ninja Motorized</v>
      </c>
      <c r="Q1101" t="str">
        <f t="shared" si="25"/>
        <v>Portable</v>
      </c>
    </row>
    <row r="1102" spans="1:17" x14ac:dyDescent="0.35">
      <c r="A1102" t="str">
        <f>_xlfn.XLOOKUP(B1102,Mapping!C:C,Mapping!D:D)</f>
        <v>other Online malls</v>
      </c>
      <c r="B1102" t="s">
        <v>298</v>
      </c>
      <c r="C1102" t="s">
        <v>339</v>
      </c>
      <c r="D1102" s="21">
        <v>46237</v>
      </c>
      <c r="E1102" s="21">
        <v>46243</v>
      </c>
      <c r="F1102">
        <v>7</v>
      </c>
      <c r="G1102" t="s">
        <v>93</v>
      </c>
      <c r="H1102">
        <v>119900</v>
      </c>
      <c r="I1102">
        <v>99900</v>
      </c>
      <c r="J1102">
        <v>84900</v>
      </c>
      <c r="K1102">
        <v>99900</v>
      </c>
      <c r="L1102">
        <v>5</v>
      </c>
      <c r="M1102">
        <v>499500</v>
      </c>
      <c r="N1102" s="19">
        <v>454090.90909090906</v>
      </c>
      <c r="O1102" s="19">
        <v>454090.90909090906</v>
      </c>
      <c r="P1102" t="str">
        <f t="shared" si="24"/>
        <v>Ninja Motorized</v>
      </c>
      <c r="Q1102" t="str">
        <f t="shared" si="25"/>
        <v>Portable</v>
      </c>
    </row>
    <row r="1103" spans="1:17" x14ac:dyDescent="0.35">
      <c r="A1103" t="str">
        <f>_xlfn.XLOOKUP(B1103,Mapping!C:C,Mapping!D:D)</f>
        <v>other Online malls</v>
      </c>
      <c r="B1103" t="s">
        <v>298</v>
      </c>
      <c r="C1103" t="s">
        <v>339</v>
      </c>
      <c r="D1103" s="21">
        <v>46237</v>
      </c>
      <c r="E1103" s="21">
        <v>46243</v>
      </c>
      <c r="F1103">
        <v>7</v>
      </c>
      <c r="G1103" t="s">
        <v>89</v>
      </c>
      <c r="H1103">
        <v>119900</v>
      </c>
      <c r="I1103">
        <v>99900</v>
      </c>
      <c r="J1103">
        <v>84900</v>
      </c>
      <c r="K1103">
        <v>99900</v>
      </c>
      <c r="L1103">
        <v>5</v>
      </c>
      <c r="M1103">
        <v>499500</v>
      </c>
      <c r="N1103" s="19">
        <v>454090.90909090906</v>
      </c>
      <c r="O1103" s="19">
        <v>454090.90909090906</v>
      </c>
      <c r="P1103" t="str">
        <f t="shared" si="24"/>
        <v>Ninja Motorized</v>
      </c>
      <c r="Q1103" t="str">
        <f t="shared" si="25"/>
        <v>Portable</v>
      </c>
    </row>
    <row r="1104" spans="1:17" x14ac:dyDescent="0.35">
      <c r="A1104" t="str">
        <f>_xlfn.XLOOKUP(B1104,Mapping!C:C,Mapping!D:D)</f>
        <v>other Online malls</v>
      </c>
      <c r="B1104" t="s">
        <v>298</v>
      </c>
      <c r="C1104" t="s">
        <v>339</v>
      </c>
      <c r="D1104" s="21">
        <v>46237</v>
      </c>
      <c r="E1104" s="21">
        <v>46243</v>
      </c>
      <c r="F1104">
        <v>7</v>
      </c>
      <c r="G1104" t="s">
        <v>102</v>
      </c>
      <c r="H1104">
        <v>149900</v>
      </c>
      <c r="I1104">
        <v>139900</v>
      </c>
      <c r="J1104">
        <v>109900</v>
      </c>
      <c r="K1104">
        <v>139900</v>
      </c>
      <c r="L1104">
        <v>5</v>
      </c>
      <c r="M1104">
        <v>699500</v>
      </c>
      <c r="N1104" s="19">
        <v>635909.09090909082</v>
      </c>
      <c r="O1104" s="19">
        <v>635909.09090909082</v>
      </c>
      <c r="P1104" t="str">
        <f t="shared" si="24"/>
        <v>Ninja Motorized</v>
      </c>
      <c r="Q1104" t="str">
        <f t="shared" si="25"/>
        <v>Portable</v>
      </c>
    </row>
    <row r="1105" spans="1:17" x14ac:dyDescent="0.35">
      <c r="A1105" t="str">
        <f>_xlfn.XLOOKUP(B1105,Mapping!C:C,Mapping!D:D)</f>
        <v>other Online malls</v>
      </c>
      <c r="B1105" t="s">
        <v>298</v>
      </c>
      <c r="C1105" t="s">
        <v>339</v>
      </c>
      <c r="D1105" s="21">
        <v>46237</v>
      </c>
      <c r="E1105" s="21">
        <v>46243</v>
      </c>
      <c r="F1105">
        <v>7</v>
      </c>
      <c r="G1105" t="s">
        <v>86</v>
      </c>
      <c r="H1105">
        <v>149900</v>
      </c>
      <c r="I1105">
        <v>139900</v>
      </c>
      <c r="J1105">
        <v>109900</v>
      </c>
      <c r="K1105">
        <v>139900</v>
      </c>
      <c r="L1105">
        <v>5</v>
      </c>
      <c r="M1105">
        <v>699500</v>
      </c>
      <c r="N1105" s="19">
        <v>635909.09090909082</v>
      </c>
      <c r="O1105" s="19">
        <v>635909.09090909082</v>
      </c>
      <c r="P1105" t="str">
        <f t="shared" si="24"/>
        <v>Ninja Motorized</v>
      </c>
      <c r="Q1105" t="str">
        <f t="shared" si="25"/>
        <v>Portable</v>
      </c>
    </row>
    <row r="1106" spans="1:17" x14ac:dyDescent="0.35">
      <c r="A1106" t="str">
        <f>_xlfn.XLOOKUP(B1106,Mapping!C:C,Mapping!D:D)</f>
        <v>other Online malls</v>
      </c>
      <c r="B1106" t="s">
        <v>298</v>
      </c>
      <c r="C1106" t="s">
        <v>339</v>
      </c>
      <c r="D1106" s="21">
        <v>46237</v>
      </c>
      <c r="E1106" s="21">
        <v>46243</v>
      </c>
      <c r="F1106">
        <v>7</v>
      </c>
      <c r="G1106" t="s">
        <v>82</v>
      </c>
      <c r="H1106">
        <v>149900</v>
      </c>
      <c r="I1106">
        <v>139900</v>
      </c>
      <c r="J1106">
        <v>109900</v>
      </c>
      <c r="K1106">
        <v>139900</v>
      </c>
      <c r="L1106">
        <v>5</v>
      </c>
      <c r="M1106">
        <v>699500</v>
      </c>
      <c r="N1106" s="19">
        <v>635909.09090909082</v>
      </c>
      <c r="O1106" s="19">
        <v>635909.09090909082</v>
      </c>
      <c r="P1106" t="str">
        <f t="shared" si="24"/>
        <v>Ninja Motorized</v>
      </c>
      <c r="Q1106" t="str">
        <f t="shared" si="25"/>
        <v>Portable</v>
      </c>
    </row>
    <row r="1107" spans="1:17" x14ac:dyDescent="0.35">
      <c r="A1107" t="str">
        <f>_xlfn.XLOOKUP(B1107,Mapping!C:C,Mapping!D:D)</f>
        <v>other Online malls</v>
      </c>
      <c r="B1107" t="s">
        <v>298</v>
      </c>
      <c r="C1107" t="s">
        <v>339</v>
      </c>
      <c r="D1107" s="21">
        <v>46237</v>
      </c>
      <c r="E1107" s="21">
        <v>46243</v>
      </c>
      <c r="F1107">
        <v>7</v>
      </c>
      <c r="G1107" t="s">
        <v>103</v>
      </c>
      <c r="H1107">
        <v>149900</v>
      </c>
      <c r="I1107">
        <v>139900</v>
      </c>
      <c r="J1107">
        <v>109900</v>
      </c>
      <c r="K1107">
        <v>139900</v>
      </c>
      <c r="L1107">
        <v>5</v>
      </c>
      <c r="M1107">
        <v>699500</v>
      </c>
      <c r="N1107" s="19">
        <v>635909.09090909082</v>
      </c>
      <c r="O1107" s="19">
        <v>635909.09090909082</v>
      </c>
      <c r="P1107" t="str">
        <f t="shared" si="24"/>
        <v>Ninja Motorized</v>
      </c>
      <c r="Q1107" t="str">
        <f t="shared" si="25"/>
        <v>Portable</v>
      </c>
    </row>
    <row r="1108" spans="1:17" x14ac:dyDescent="0.35">
      <c r="A1108" t="str">
        <f>_xlfn.XLOOKUP(B1108,Mapping!C:C,Mapping!D:D)</f>
        <v>other Online malls</v>
      </c>
      <c r="B1108" t="s">
        <v>298</v>
      </c>
      <c r="C1108" t="s">
        <v>339</v>
      </c>
      <c r="D1108" s="21">
        <v>46237</v>
      </c>
      <c r="E1108" s="21">
        <v>46243</v>
      </c>
      <c r="F1108">
        <v>7</v>
      </c>
      <c r="G1108" t="s">
        <v>101</v>
      </c>
      <c r="H1108">
        <v>149900</v>
      </c>
      <c r="I1108">
        <v>139900</v>
      </c>
      <c r="J1108">
        <v>109900</v>
      </c>
      <c r="K1108">
        <v>139900</v>
      </c>
      <c r="L1108">
        <v>5</v>
      </c>
      <c r="M1108">
        <v>699500</v>
      </c>
      <c r="N1108" s="19">
        <v>635909.09090909082</v>
      </c>
      <c r="O1108" s="19">
        <v>635909.09090909082</v>
      </c>
      <c r="P1108" t="str">
        <f t="shared" si="24"/>
        <v>Ninja Motorized</v>
      </c>
      <c r="Q1108" t="str">
        <f t="shared" si="25"/>
        <v>Portable</v>
      </c>
    </row>
    <row r="1109" spans="1:17" x14ac:dyDescent="0.35">
      <c r="A1109" t="str">
        <f>_xlfn.XLOOKUP(B1109,Mapping!C:C,Mapping!D:D)</f>
        <v>other Online malls</v>
      </c>
      <c r="B1109" t="s">
        <v>298</v>
      </c>
      <c r="C1109" t="s">
        <v>339</v>
      </c>
      <c r="D1109" s="21">
        <v>46237</v>
      </c>
      <c r="E1109" s="21">
        <v>46243</v>
      </c>
      <c r="F1109">
        <v>7</v>
      </c>
      <c r="G1109" t="s">
        <v>34</v>
      </c>
      <c r="H1109">
        <v>249900</v>
      </c>
      <c r="I1109">
        <v>229900</v>
      </c>
      <c r="J1109">
        <v>199900</v>
      </c>
      <c r="K1109">
        <v>239000</v>
      </c>
      <c r="L1109">
        <v>5</v>
      </c>
      <c r="M1109">
        <v>1195000</v>
      </c>
      <c r="N1109" s="19">
        <v>1086363.6363636362</v>
      </c>
      <c r="O1109" s="19">
        <v>1086363.6363636362</v>
      </c>
      <c r="P1109" t="str">
        <f t="shared" si="24"/>
        <v>Ninja Motorized</v>
      </c>
      <c r="Q1109" t="str">
        <f t="shared" si="25"/>
        <v>Portable</v>
      </c>
    </row>
    <row r="1110" spans="1:17" x14ac:dyDescent="0.35">
      <c r="A1110" t="str">
        <f>_xlfn.XLOOKUP(B1110,Mapping!C:C,Mapping!D:D)</f>
        <v>other Online malls</v>
      </c>
      <c r="B1110" t="s">
        <v>298</v>
      </c>
      <c r="C1110" t="s">
        <v>339</v>
      </c>
      <c r="D1110" s="21">
        <v>46237</v>
      </c>
      <c r="E1110" s="21">
        <v>46243</v>
      </c>
      <c r="F1110">
        <v>7</v>
      </c>
      <c r="G1110" t="s">
        <v>65</v>
      </c>
      <c r="H1110">
        <v>249900</v>
      </c>
      <c r="I1110">
        <v>229900</v>
      </c>
      <c r="J1110">
        <v>199900</v>
      </c>
      <c r="K1110">
        <v>239000</v>
      </c>
      <c r="L1110">
        <v>5</v>
      </c>
      <c r="M1110">
        <v>1195000</v>
      </c>
      <c r="N1110" s="19">
        <v>1086363.6363636362</v>
      </c>
      <c r="O1110" s="19">
        <v>1086363.6363636362</v>
      </c>
      <c r="P1110" t="str">
        <f t="shared" si="24"/>
        <v>Ninja Motorized</v>
      </c>
      <c r="Q1110" t="str">
        <f t="shared" si="25"/>
        <v>Portable</v>
      </c>
    </row>
    <row r="1111" spans="1:17" x14ac:dyDescent="0.35">
      <c r="A1111" t="str">
        <f>_xlfn.XLOOKUP(B1111,Mapping!C:C,Mapping!D:D)</f>
        <v>other Online malls</v>
      </c>
      <c r="B1111" t="s">
        <v>298</v>
      </c>
      <c r="C1111" t="s">
        <v>339</v>
      </c>
      <c r="D1111" s="21">
        <v>46237</v>
      </c>
      <c r="E1111" s="21">
        <v>46243</v>
      </c>
      <c r="F1111">
        <v>7</v>
      </c>
      <c r="G1111" t="s">
        <v>66</v>
      </c>
      <c r="H1111">
        <v>249900</v>
      </c>
      <c r="I1111">
        <v>229900</v>
      </c>
      <c r="J1111">
        <v>199900</v>
      </c>
      <c r="K1111">
        <v>239000</v>
      </c>
      <c r="L1111">
        <v>5</v>
      </c>
      <c r="M1111">
        <v>1195000</v>
      </c>
      <c r="N1111" s="19">
        <v>1086363.6363636362</v>
      </c>
      <c r="O1111" s="19">
        <v>1086363.6363636362</v>
      </c>
      <c r="P1111" t="str">
        <f t="shared" si="24"/>
        <v>Ninja Motorized</v>
      </c>
      <c r="Q1111" t="str">
        <f t="shared" si="25"/>
        <v>Portable</v>
      </c>
    </row>
    <row r="1112" spans="1:17" x14ac:dyDescent="0.35">
      <c r="A1112" t="str">
        <f>_xlfn.XLOOKUP(B1112,Mapping!C:C,Mapping!D:D)</f>
        <v>other Online malls</v>
      </c>
      <c r="B1112" t="s">
        <v>294</v>
      </c>
      <c r="C1112" t="s">
        <v>340</v>
      </c>
      <c r="D1112" s="21">
        <v>46244</v>
      </c>
      <c r="E1112" s="21">
        <v>46248</v>
      </c>
      <c r="F1112">
        <v>5</v>
      </c>
      <c r="G1112" t="s">
        <v>35</v>
      </c>
      <c r="H1112">
        <v>599000</v>
      </c>
      <c r="I1112">
        <v>549000</v>
      </c>
      <c r="J1112">
        <v>499000</v>
      </c>
      <c r="K1112">
        <v>592000</v>
      </c>
      <c r="L1112">
        <v>5</v>
      </c>
      <c r="M1112">
        <v>2960000</v>
      </c>
      <c r="N1112" s="19">
        <v>2690909.0909090908</v>
      </c>
      <c r="O1112" s="19">
        <v>2690909.0909090908</v>
      </c>
      <c r="P1112" t="str">
        <f t="shared" si="24"/>
        <v>Shark Floorcare</v>
      </c>
      <c r="Q1112" t="str">
        <f t="shared" si="25"/>
        <v>FW</v>
      </c>
    </row>
    <row r="1113" spans="1:17" x14ac:dyDescent="0.35">
      <c r="A1113" t="str">
        <f>_xlfn.XLOOKUP(B1113,Mapping!C:C,Mapping!D:D)</f>
        <v>other Online malls</v>
      </c>
      <c r="B1113" t="s">
        <v>294</v>
      </c>
      <c r="C1113" t="s">
        <v>340</v>
      </c>
      <c r="D1113" s="21">
        <v>46244</v>
      </c>
      <c r="E1113" s="21">
        <v>46248</v>
      </c>
      <c r="F1113">
        <v>5</v>
      </c>
      <c r="G1113" t="s">
        <v>46</v>
      </c>
      <c r="H1113">
        <v>699000</v>
      </c>
      <c r="I1113">
        <v>499000</v>
      </c>
      <c r="J1113">
        <v>499000</v>
      </c>
      <c r="K1113">
        <v>692000</v>
      </c>
      <c r="L1113">
        <v>5</v>
      </c>
      <c r="M1113">
        <v>3460000</v>
      </c>
      <c r="N1113" s="19">
        <v>3145454.5454545454</v>
      </c>
      <c r="O1113" s="19">
        <v>3145454.5454545454</v>
      </c>
      <c r="P1113" t="str">
        <f t="shared" si="24"/>
        <v>Shark Floorcare</v>
      </c>
      <c r="Q1113" t="str">
        <f t="shared" si="25"/>
        <v>Kion</v>
      </c>
    </row>
    <row r="1114" spans="1:17" x14ac:dyDescent="0.35">
      <c r="A1114" t="str">
        <f>_xlfn.XLOOKUP(B1114,Mapping!C:C,Mapping!D:D)</f>
        <v>other Online malls</v>
      </c>
      <c r="B1114" t="s">
        <v>294</v>
      </c>
      <c r="C1114" t="s">
        <v>340</v>
      </c>
      <c r="D1114" s="21">
        <v>46244</v>
      </c>
      <c r="E1114" s="21">
        <v>46248</v>
      </c>
      <c r="F1114">
        <v>5</v>
      </c>
      <c r="G1114" t="s">
        <v>23</v>
      </c>
      <c r="H1114">
        <v>899000</v>
      </c>
      <c r="I1114">
        <v>849000</v>
      </c>
      <c r="J1114">
        <v>749000</v>
      </c>
      <c r="K1114">
        <v>892000</v>
      </c>
      <c r="L1114">
        <v>5</v>
      </c>
      <c r="M1114">
        <v>4460000</v>
      </c>
      <c r="N1114" s="19">
        <v>4054545.4545454541</v>
      </c>
      <c r="O1114" s="19">
        <v>4054545.4545454541</v>
      </c>
      <c r="P1114" t="str">
        <f t="shared" si="24"/>
        <v>Shark Floorcare</v>
      </c>
      <c r="Q1114" t="str">
        <f t="shared" si="25"/>
        <v>Kion</v>
      </c>
    </row>
    <row r="1115" spans="1:17" x14ac:dyDescent="0.35">
      <c r="A1115" t="str">
        <f>_xlfn.XLOOKUP(B1115,Mapping!C:C,Mapping!D:D)</f>
        <v>other Online malls</v>
      </c>
      <c r="B1115" t="s">
        <v>294</v>
      </c>
      <c r="C1115" t="s">
        <v>340</v>
      </c>
      <c r="D1115" s="21">
        <v>46244</v>
      </c>
      <c r="E1115" s="21">
        <v>46248</v>
      </c>
      <c r="F1115">
        <v>5</v>
      </c>
      <c r="G1115" t="s">
        <v>112</v>
      </c>
      <c r="H1115">
        <v>799000</v>
      </c>
      <c r="I1115">
        <v>599000</v>
      </c>
      <c r="J1115">
        <v>599000</v>
      </c>
      <c r="K1115">
        <v>792000</v>
      </c>
      <c r="L1115">
        <v>5</v>
      </c>
      <c r="M1115">
        <v>3960000</v>
      </c>
      <c r="N1115" s="19">
        <v>3600000</v>
      </c>
      <c r="O1115" s="19">
        <v>3600000</v>
      </c>
      <c r="P1115" t="str">
        <f t="shared" si="24"/>
        <v>Shark Floorcare</v>
      </c>
      <c r="Q1115" t="str">
        <f t="shared" si="25"/>
        <v>CS</v>
      </c>
    </row>
    <row r="1116" spans="1:17" x14ac:dyDescent="0.35">
      <c r="A1116" t="str">
        <f>_xlfn.XLOOKUP(B1116,Mapping!C:C,Mapping!D:D)</f>
        <v>other Online malls</v>
      </c>
      <c r="B1116" t="s">
        <v>294</v>
      </c>
      <c r="C1116" t="s">
        <v>340</v>
      </c>
      <c r="D1116" s="21">
        <v>46244</v>
      </c>
      <c r="E1116" s="21">
        <v>46248</v>
      </c>
      <c r="F1116">
        <v>5</v>
      </c>
      <c r="G1116" t="s">
        <v>104</v>
      </c>
      <c r="H1116">
        <v>799000</v>
      </c>
      <c r="I1116">
        <v>699000</v>
      </c>
      <c r="J1116">
        <v>599000</v>
      </c>
      <c r="K1116">
        <v>792000</v>
      </c>
      <c r="L1116">
        <v>5</v>
      </c>
      <c r="M1116">
        <v>3960000</v>
      </c>
      <c r="N1116" s="19">
        <v>3600000</v>
      </c>
      <c r="O1116" s="19">
        <v>3600000</v>
      </c>
      <c r="P1116" t="str">
        <f t="shared" si="24"/>
        <v>Shark Floorcare</v>
      </c>
      <c r="Q1116" t="str">
        <f t="shared" si="25"/>
        <v>FW</v>
      </c>
    </row>
    <row r="1117" spans="1:17" x14ac:dyDescent="0.35">
      <c r="A1117" t="str">
        <f>_xlfn.XLOOKUP(B1117,Mapping!C:C,Mapping!D:D)</f>
        <v>other Online malls</v>
      </c>
      <c r="B1117" t="s">
        <v>294</v>
      </c>
      <c r="C1117" t="s">
        <v>340</v>
      </c>
      <c r="D1117" s="21">
        <v>46244</v>
      </c>
      <c r="E1117" s="21">
        <v>46248</v>
      </c>
      <c r="F1117">
        <v>5</v>
      </c>
      <c r="G1117" t="s">
        <v>62</v>
      </c>
      <c r="H1117">
        <v>349900</v>
      </c>
      <c r="I1117">
        <v>319900</v>
      </c>
      <c r="J1117">
        <v>299900</v>
      </c>
      <c r="K1117">
        <v>342900</v>
      </c>
      <c r="L1117">
        <v>5</v>
      </c>
      <c r="M1117">
        <v>1714500</v>
      </c>
      <c r="N1117" s="19">
        <v>1558636.3636363635</v>
      </c>
      <c r="O1117" s="19">
        <v>1558636.3636363635</v>
      </c>
      <c r="P1117" t="str">
        <f t="shared" si="24"/>
        <v>Shark Floorcare</v>
      </c>
      <c r="Q1117" t="str">
        <f t="shared" si="25"/>
        <v>WV</v>
      </c>
    </row>
    <row r="1118" spans="1:17" x14ac:dyDescent="0.35">
      <c r="A1118" t="str">
        <f>_xlfn.XLOOKUP(B1118,Mapping!C:C,Mapping!D:D)</f>
        <v>other Online malls</v>
      </c>
      <c r="B1118" t="s">
        <v>294</v>
      </c>
      <c r="C1118" t="s">
        <v>340</v>
      </c>
      <c r="D1118" s="21">
        <v>46244</v>
      </c>
      <c r="E1118" s="21">
        <v>46248</v>
      </c>
      <c r="F1118">
        <v>5</v>
      </c>
      <c r="G1118" t="s">
        <v>27</v>
      </c>
      <c r="H1118">
        <v>329900</v>
      </c>
      <c r="I1118">
        <v>299900</v>
      </c>
      <c r="J1118">
        <v>279900</v>
      </c>
      <c r="K1118">
        <v>322900</v>
      </c>
      <c r="L1118">
        <v>5</v>
      </c>
      <c r="M1118">
        <v>1614500</v>
      </c>
      <c r="N1118" s="19">
        <v>1467727.2727272727</v>
      </c>
      <c r="O1118" s="19">
        <v>1467727.2727272727</v>
      </c>
      <c r="P1118" t="str">
        <f t="shared" si="24"/>
        <v>Ninja Motorized</v>
      </c>
      <c r="Q1118" t="str">
        <f t="shared" si="25"/>
        <v>Trad</v>
      </c>
    </row>
    <row r="1119" spans="1:17" x14ac:dyDescent="0.35">
      <c r="A1119" t="str">
        <f>_xlfn.XLOOKUP(B1119,Mapping!C:C,Mapping!D:D)</f>
        <v>other Online malls</v>
      </c>
      <c r="B1119" t="s">
        <v>294</v>
      </c>
      <c r="C1119" t="s">
        <v>340</v>
      </c>
      <c r="D1119" s="21">
        <v>46244</v>
      </c>
      <c r="E1119" s="21">
        <v>46248</v>
      </c>
      <c r="F1119">
        <v>5</v>
      </c>
      <c r="G1119" t="s">
        <v>95</v>
      </c>
      <c r="H1119">
        <v>79900</v>
      </c>
      <c r="I1119">
        <v>54900</v>
      </c>
      <c r="J1119">
        <v>54900</v>
      </c>
      <c r="K1119">
        <v>72900</v>
      </c>
      <c r="L1119">
        <v>5</v>
      </c>
      <c r="M1119">
        <v>364500</v>
      </c>
      <c r="N1119" s="19">
        <v>331363.63636363635</v>
      </c>
      <c r="O1119" s="19">
        <v>331363.63636363635</v>
      </c>
      <c r="P1119" t="str">
        <f t="shared" si="24"/>
        <v>Ninja Motorized</v>
      </c>
      <c r="Q1119" t="str">
        <f t="shared" si="25"/>
        <v>Food process</v>
      </c>
    </row>
    <row r="1120" spans="1:17" x14ac:dyDescent="0.35">
      <c r="A1120" t="str">
        <f>_xlfn.XLOOKUP(B1120,Mapping!C:C,Mapping!D:D)</f>
        <v>other Online malls</v>
      </c>
      <c r="B1120" t="s">
        <v>294</v>
      </c>
      <c r="C1120" t="s">
        <v>340</v>
      </c>
      <c r="D1120" s="21">
        <v>46244</v>
      </c>
      <c r="E1120" s="21">
        <v>46248</v>
      </c>
      <c r="F1120">
        <v>5</v>
      </c>
      <c r="G1120" t="s">
        <v>39</v>
      </c>
      <c r="H1120">
        <v>249900</v>
      </c>
      <c r="I1120">
        <v>199900</v>
      </c>
      <c r="J1120">
        <v>189900</v>
      </c>
      <c r="K1120">
        <v>242900</v>
      </c>
      <c r="L1120">
        <v>5</v>
      </c>
      <c r="M1120">
        <v>1214500</v>
      </c>
      <c r="N1120" s="19">
        <v>1104090.9090909089</v>
      </c>
      <c r="O1120" s="19">
        <v>1104090.9090909089</v>
      </c>
      <c r="P1120" t="str">
        <f t="shared" si="24"/>
        <v>Ninja Motorized</v>
      </c>
      <c r="Q1120" t="str">
        <f t="shared" si="25"/>
        <v>Trad</v>
      </c>
    </row>
    <row r="1121" spans="1:17" x14ac:dyDescent="0.35">
      <c r="A1121" t="str">
        <f>_xlfn.XLOOKUP(B1121,Mapping!C:C,Mapping!D:D)</f>
        <v>other Online malls</v>
      </c>
      <c r="B1121" t="s">
        <v>294</v>
      </c>
      <c r="C1121" t="s">
        <v>340</v>
      </c>
      <c r="D1121" s="21">
        <v>46244</v>
      </c>
      <c r="E1121" s="21">
        <v>46248</v>
      </c>
      <c r="F1121">
        <v>5</v>
      </c>
      <c r="G1121" t="s">
        <v>110</v>
      </c>
      <c r="H1121">
        <v>129900</v>
      </c>
      <c r="I1121">
        <v>114900</v>
      </c>
      <c r="J1121">
        <v>99900</v>
      </c>
      <c r="K1121">
        <v>122900</v>
      </c>
      <c r="L1121">
        <v>5</v>
      </c>
      <c r="M1121">
        <v>614500</v>
      </c>
      <c r="N1121" s="19">
        <v>558636.36363636365</v>
      </c>
      <c r="O1121" s="19">
        <v>558636.36363636365</v>
      </c>
      <c r="P1121" t="str">
        <f t="shared" si="24"/>
        <v>Ninja Motorized</v>
      </c>
      <c r="Q1121" t="str">
        <f t="shared" si="25"/>
        <v>Trad</v>
      </c>
    </row>
    <row r="1122" spans="1:17" x14ac:dyDescent="0.35">
      <c r="A1122" t="str">
        <f>_xlfn.XLOOKUP(B1122,Mapping!C:C,Mapping!D:D)</f>
        <v>other Online malls</v>
      </c>
      <c r="B1122" t="s">
        <v>294</v>
      </c>
      <c r="C1122" t="s">
        <v>340</v>
      </c>
      <c r="D1122" s="21">
        <v>46244</v>
      </c>
      <c r="E1122" s="21">
        <v>46248</v>
      </c>
      <c r="F1122">
        <v>5</v>
      </c>
      <c r="G1122" t="s">
        <v>105</v>
      </c>
      <c r="H1122">
        <v>299900</v>
      </c>
      <c r="I1122">
        <v>269900</v>
      </c>
      <c r="J1122">
        <v>249900</v>
      </c>
      <c r="K1122">
        <v>292900</v>
      </c>
      <c r="L1122">
        <v>5</v>
      </c>
      <c r="M1122">
        <v>1464500</v>
      </c>
      <c r="N1122" s="19">
        <v>1331363.6363636362</v>
      </c>
      <c r="O1122" s="19">
        <v>1331363.6363636362</v>
      </c>
      <c r="P1122" t="str">
        <f t="shared" si="24"/>
        <v>Ninja Motorized</v>
      </c>
      <c r="Q1122" t="str">
        <f t="shared" si="25"/>
        <v>Kitchen</v>
      </c>
    </row>
    <row r="1123" spans="1:17" x14ac:dyDescent="0.35">
      <c r="A1123" t="str">
        <f>_xlfn.XLOOKUP(B1123,Mapping!C:C,Mapping!D:D)</f>
        <v>other Online malls</v>
      </c>
      <c r="B1123" t="s">
        <v>294</v>
      </c>
      <c r="C1123" t="s">
        <v>340</v>
      </c>
      <c r="D1123" s="21">
        <v>46244</v>
      </c>
      <c r="E1123" s="21">
        <v>46248</v>
      </c>
      <c r="F1123">
        <v>5</v>
      </c>
      <c r="G1123" t="s">
        <v>73</v>
      </c>
      <c r="H1123">
        <v>139900</v>
      </c>
      <c r="I1123">
        <v>129900</v>
      </c>
      <c r="J1123">
        <v>119900</v>
      </c>
      <c r="K1123">
        <v>132900</v>
      </c>
      <c r="L1123">
        <v>5</v>
      </c>
      <c r="M1123">
        <v>664500</v>
      </c>
      <c r="N1123" s="19">
        <v>604090.90909090906</v>
      </c>
      <c r="O1123" s="19">
        <v>604090.90909090906</v>
      </c>
      <c r="P1123" t="str">
        <f t="shared" si="24"/>
        <v>Ninja Motorized</v>
      </c>
      <c r="Q1123" t="str">
        <f t="shared" si="25"/>
        <v>Hand</v>
      </c>
    </row>
    <row r="1124" spans="1:17" x14ac:dyDescent="0.35">
      <c r="A1124" t="str">
        <f>_xlfn.XLOOKUP(B1124,Mapping!C:C,Mapping!D:D)</f>
        <v>other Online malls</v>
      </c>
      <c r="B1124" t="s">
        <v>294</v>
      </c>
      <c r="C1124" t="s">
        <v>340</v>
      </c>
      <c r="D1124" s="21">
        <v>46244</v>
      </c>
      <c r="E1124" s="21">
        <v>46248</v>
      </c>
      <c r="F1124">
        <v>5</v>
      </c>
      <c r="G1124" t="s">
        <v>16</v>
      </c>
      <c r="H1124">
        <v>199900</v>
      </c>
      <c r="I1124">
        <v>129900</v>
      </c>
      <c r="J1124">
        <v>129900</v>
      </c>
      <c r="K1124">
        <v>192900</v>
      </c>
      <c r="L1124">
        <v>5</v>
      </c>
      <c r="M1124">
        <v>964500</v>
      </c>
      <c r="N1124" s="19">
        <v>876818.18181818177</v>
      </c>
      <c r="O1124" s="19">
        <v>876818.18181818177</v>
      </c>
      <c r="P1124" t="str">
        <f t="shared" si="24"/>
        <v>Ninja Motorized</v>
      </c>
      <c r="Q1124" t="str">
        <f t="shared" si="25"/>
        <v>Trad</v>
      </c>
    </row>
    <row r="1125" spans="1:17" x14ac:dyDescent="0.35">
      <c r="A1125" t="str">
        <f>_xlfn.XLOOKUP(B1125,Mapping!C:C,Mapping!D:D)</f>
        <v>other Online malls</v>
      </c>
      <c r="B1125" t="s">
        <v>294</v>
      </c>
      <c r="C1125" t="s">
        <v>340</v>
      </c>
      <c r="D1125" s="21">
        <v>46244</v>
      </c>
      <c r="E1125" s="21">
        <v>46248</v>
      </c>
      <c r="F1125">
        <v>5</v>
      </c>
      <c r="G1125" t="s">
        <v>84</v>
      </c>
      <c r="H1125">
        <v>169900</v>
      </c>
      <c r="I1125">
        <v>149900</v>
      </c>
      <c r="J1125">
        <v>129900</v>
      </c>
      <c r="K1125">
        <v>162900</v>
      </c>
      <c r="L1125">
        <v>5</v>
      </c>
      <c r="M1125">
        <v>814500</v>
      </c>
      <c r="N1125" s="19">
        <v>740454.54545454541</v>
      </c>
      <c r="O1125" s="19">
        <v>740454.54545454541</v>
      </c>
      <c r="P1125" t="str">
        <f t="shared" si="24"/>
        <v>Ninja Motorized</v>
      </c>
      <c r="Q1125" t="str">
        <f t="shared" si="25"/>
        <v>Trad</v>
      </c>
    </row>
    <row r="1126" spans="1:17" x14ac:dyDescent="0.35">
      <c r="A1126" t="str">
        <f>_xlfn.XLOOKUP(B1126,Mapping!C:C,Mapping!D:D)</f>
        <v>other Online malls</v>
      </c>
      <c r="B1126" t="s">
        <v>294</v>
      </c>
      <c r="C1126" t="s">
        <v>340</v>
      </c>
      <c r="D1126" s="21">
        <v>46244</v>
      </c>
      <c r="E1126" s="21">
        <v>46248</v>
      </c>
      <c r="F1126">
        <v>5</v>
      </c>
      <c r="G1126" t="s">
        <v>38</v>
      </c>
      <c r="H1126">
        <v>429900</v>
      </c>
      <c r="I1126">
        <v>399900</v>
      </c>
      <c r="J1126">
        <v>349900</v>
      </c>
      <c r="K1126">
        <v>422900</v>
      </c>
      <c r="L1126">
        <v>5</v>
      </c>
      <c r="M1126">
        <v>2114500</v>
      </c>
      <c r="N1126" s="19">
        <v>1922272.7272727271</v>
      </c>
      <c r="O1126" s="19">
        <v>1922272.7272727271</v>
      </c>
      <c r="P1126" t="str">
        <f t="shared" si="24"/>
        <v>Ninja Heated</v>
      </c>
      <c r="Q1126" t="str">
        <f t="shared" si="25"/>
        <v>Grill</v>
      </c>
    </row>
    <row r="1127" spans="1:17" x14ac:dyDescent="0.35">
      <c r="A1127" t="str">
        <f>_xlfn.XLOOKUP(B1127,Mapping!C:C,Mapping!D:D)</f>
        <v>other Online malls</v>
      </c>
      <c r="B1127" t="s">
        <v>294</v>
      </c>
      <c r="C1127" t="s">
        <v>340</v>
      </c>
      <c r="D1127" s="21">
        <v>46244</v>
      </c>
      <c r="E1127" s="21">
        <v>46248</v>
      </c>
      <c r="F1127">
        <v>5</v>
      </c>
      <c r="G1127" t="s">
        <v>106</v>
      </c>
      <c r="H1127">
        <v>399900</v>
      </c>
      <c r="I1127">
        <v>349900</v>
      </c>
      <c r="J1127">
        <v>299900</v>
      </c>
      <c r="K1127">
        <v>392900</v>
      </c>
      <c r="L1127">
        <v>5</v>
      </c>
      <c r="M1127">
        <v>1964500</v>
      </c>
      <c r="N1127" s="19">
        <v>1785909.0909090908</v>
      </c>
      <c r="O1127" s="19">
        <v>1785909.0909090908</v>
      </c>
      <c r="P1127" t="str">
        <f t="shared" si="24"/>
        <v>Ninja Heated</v>
      </c>
      <c r="Q1127" t="str">
        <f t="shared" si="25"/>
        <v>Combi</v>
      </c>
    </row>
    <row r="1128" spans="1:17" x14ac:dyDescent="0.35">
      <c r="A1128" t="str">
        <f>_xlfn.XLOOKUP(B1128,Mapping!C:C,Mapping!D:D)</f>
        <v>other Online malls</v>
      </c>
      <c r="B1128" t="s">
        <v>294</v>
      </c>
      <c r="C1128" t="s">
        <v>340</v>
      </c>
      <c r="D1128" s="21">
        <v>46244</v>
      </c>
      <c r="E1128" s="21">
        <v>46248</v>
      </c>
      <c r="F1128">
        <v>5</v>
      </c>
      <c r="G1128" t="s">
        <v>37</v>
      </c>
      <c r="H1128">
        <v>229900</v>
      </c>
      <c r="I1128">
        <v>199900</v>
      </c>
      <c r="J1128">
        <v>179900</v>
      </c>
      <c r="K1128">
        <v>222900</v>
      </c>
      <c r="L1128">
        <v>5</v>
      </c>
      <c r="M1128">
        <v>1114500</v>
      </c>
      <c r="N1128" s="19">
        <v>1013181.8181818181</v>
      </c>
      <c r="O1128" s="19">
        <v>1013181.8181818181</v>
      </c>
      <c r="P1128" t="str">
        <f t="shared" si="24"/>
        <v>Ninja Heated</v>
      </c>
      <c r="Q1128" t="str">
        <f t="shared" si="25"/>
        <v>Airfry</v>
      </c>
    </row>
    <row r="1129" spans="1:17" x14ac:dyDescent="0.35">
      <c r="A1129" t="str">
        <f>_xlfn.XLOOKUP(B1129,Mapping!C:C,Mapping!D:D)</f>
        <v>other Online malls</v>
      </c>
      <c r="B1129" t="s">
        <v>294</v>
      </c>
      <c r="C1129" t="s">
        <v>340</v>
      </c>
      <c r="D1129" s="21">
        <v>46244</v>
      </c>
      <c r="E1129" s="21">
        <v>46248</v>
      </c>
      <c r="F1129">
        <v>5</v>
      </c>
      <c r="G1129" t="s">
        <v>31</v>
      </c>
      <c r="H1129">
        <v>849000</v>
      </c>
      <c r="I1129">
        <v>699000</v>
      </c>
      <c r="J1129">
        <v>649000</v>
      </c>
      <c r="K1129">
        <v>699000</v>
      </c>
      <c r="L1129">
        <v>5</v>
      </c>
      <c r="M1129">
        <v>3495000</v>
      </c>
      <c r="N1129" s="19">
        <v>3177272.7272727271</v>
      </c>
      <c r="O1129" s="19">
        <v>3177272.7272727271</v>
      </c>
      <c r="P1129" t="str">
        <f t="shared" si="24"/>
        <v>Shark Floorcare</v>
      </c>
      <c r="Q1129" t="str">
        <f t="shared" si="25"/>
        <v>FW</v>
      </c>
    </row>
    <row r="1130" spans="1:17" x14ac:dyDescent="0.35">
      <c r="A1130" t="str">
        <f>_xlfn.XLOOKUP(B1130,Mapping!C:C,Mapping!D:D)</f>
        <v>other Online malls</v>
      </c>
      <c r="B1130" t="s">
        <v>294</v>
      </c>
      <c r="C1130" t="s">
        <v>340</v>
      </c>
      <c r="D1130" s="21">
        <v>46244</v>
      </c>
      <c r="E1130" s="21">
        <v>46248</v>
      </c>
      <c r="F1130">
        <v>5</v>
      </c>
      <c r="G1130" t="s">
        <v>26</v>
      </c>
      <c r="H1130">
        <v>899000</v>
      </c>
      <c r="I1130">
        <v>749000</v>
      </c>
      <c r="J1130">
        <v>699000</v>
      </c>
      <c r="K1130">
        <v>759000</v>
      </c>
      <c r="L1130">
        <v>5</v>
      </c>
      <c r="M1130">
        <v>3795000</v>
      </c>
      <c r="N1130" s="19">
        <v>3450000</v>
      </c>
      <c r="O1130" s="19">
        <v>3450000</v>
      </c>
      <c r="P1130" t="str">
        <f t="shared" si="24"/>
        <v>Shark Floorcare</v>
      </c>
      <c r="Q1130" t="str">
        <f t="shared" si="25"/>
        <v>FW</v>
      </c>
    </row>
    <row r="1131" spans="1:17" x14ac:dyDescent="0.35">
      <c r="A1131" t="str">
        <f>_xlfn.XLOOKUP(B1131,Mapping!C:C,Mapping!D:D)</f>
        <v>other Online malls</v>
      </c>
      <c r="B1131" t="s">
        <v>294</v>
      </c>
      <c r="C1131" t="s">
        <v>340</v>
      </c>
      <c r="D1131" s="21">
        <v>46244</v>
      </c>
      <c r="E1131" s="21">
        <v>46248</v>
      </c>
      <c r="F1131">
        <v>5</v>
      </c>
      <c r="G1131" t="s">
        <v>107</v>
      </c>
      <c r="H1131">
        <v>849000</v>
      </c>
      <c r="I1131">
        <v>749000</v>
      </c>
      <c r="J1131">
        <v>699000</v>
      </c>
      <c r="K1131">
        <v>749000</v>
      </c>
      <c r="L1131">
        <v>5</v>
      </c>
      <c r="M1131">
        <v>3745000</v>
      </c>
      <c r="N1131" s="19">
        <v>3404545.4545454541</v>
      </c>
      <c r="O1131" s="19">
        <v>3404545.4545454541</v>
      </c>
      <c r="P1131" t="str">
        <f t="shared" si="24"/>
        <v>Shark Floorcare</v>
      </c>
      <c r="Q1131" t="str">
        <f t="shared" si="25"/>
        <v>Kion</v>
      </c>
    </row>
    <row r="1132" spans="1:17" x14ac:dyDescent="0.35">
      <c r="A1132" t="str">
        <f>_xlfn.XLOOKUP(B1132,Mapping!C:C,Mapping!D:D)</f>
        <v>other Online malls</v>
      </c>
      <c r="B1132" t="s">
        <v>294</v>
      </c>
      <c r="C1132" t="s">
        <v>340</v>
      </c>
      <c r="D1132" s="21">
        <v>46244</v>
      </c>
      <c r="E1132" s="21">
        <v>46248</v>
      </c>
      <c r="F1132">
        <v>5</v>
      </c>
      <c r="G1132" t="s">
        <v>88</v>
      </c>
      <c r="H1132">
        <v>449000</v>
      </c>
      <c r="I1132">
        <v>399000</v>
      </c>
      <c r="J1132">
        <v>0</v>
      </c>
      <c r="K1132">
        <v>399000</v>
      </c>
      <c r="L1132">
        <v>5</v>
      </c>
      <c r="M1132">
        <v>1995000</v>
      </c>
      <c r="N1132" s="19">
        <v>1813636.3636363635</v>
      </c>
      <c r="O1132" s="19">
        <v>1813636.3636363635</v>
      </c>
      <c r="P1132" t="str">
        <f t="shared" si="24"/>
        <v>Shark Floorcare</v>
      </c>
      <c r="Q1132" t="str">
        <f t="shared" si="25"/>
        <v>CS</v>
      </c>
    </row>
    <row r="1133" spans="1:17" x14ac:dyDescent="0.35">
      <c r="A1133" t="str">
        <f>_xlfn.XLOOKUP(B1133,Mapping!C:C,Mapping!D:D)</f>
        <v>other Online malls</v>
      </c>
      <c r="B1133" t="s">
        <v>294</v>
      </c>
      <c r="C1133" t="s">
        <v>340</v>
      </c>
      <c r="D1133" s="21">
        <v>46244</v>
      </c>
      <c r="E1133" s="21">
        <v>46248</v>
      </c>
      <c r="F1133">
        <v>5</v>
      </c>
      <c r="G1133" t="s">
        <v>108</v>
      </c>
      <c r="H1133">
        <v>199900</v>
      </c>
      <c r="I1133">
        <v>179900</v>
      </c>
      <c r="J1133">
        <v>169900</v>
      </c>
      <c r="K1133">
        <v>189000</v>
      </c>
      <c r="L1133">
        <v>5</v>
      </c>
      <c r="M1133">
        <v>945000</v>
      </c>
      <c r="N1133" s="19">
        <v>859090.90909090894</v>
      </c>
      <c r="O1133" s="19">
        <v>859090.90909090894</v>
      </c>
      <c r="P1133" t="str">
        <f t="shared" si="24"/>
        <v>Shark Floorcare</v>
      </c>
      <c r="Q1133" t="str">
        <f t="shared" si="25"/>
        <v>WV</v>
      </c>
    </row>
    <row r="1134" spans="1:17" x14ac:dyDescent="0.35">
      <c r="A1134" t="str">
        <f>_xlfn.XLOOKUP(B1134,Mapping!C:C,Mapping!D:D)</f>
        <v>other Online malls</v>
      </c>
      <c r="B1134" t="s">
        <v>294</v>
      </c>
      <c r="C1134" t="s">
        <v>340</v>
      </c>
      <c r="D1134" s="21">
        <v>46244</v>
      </c>
      <c r="E1134" s="21">
        <v>46248</v>
      </c>
      <c r="F1134">
        <v>5</v>
      </c>
      <c r="G1134" t="s">
        <v>96</v>
      </c>
      <c r="H1134">
        <v>139900</v>
      </c>
      <c r="I1134">
        <v>119900</v>
      </c>
      <c r="J1134">
        <v>99900</v>
      </c>
      <c r="K1134">
        <v>119900</v>
      </c>
      <c r="L1134">
        <v>5</v>
      </c>
      <c r="M1134">
        <v>599500</v>
      </c>
      <c r="N1134" s="19">
        <v>544999.99999999988</v>
      </c>
      <c r="O1134" s="19">
        <v>544999.99999999988</v>
      </c>
      <c r="P1134" t="str">
        <f t="shared" si="24"/>
        <v>Shark Floorcare</v>
      </c>
      <c r="Q1134" t="str">
        <f t="shared" si="25"/>
        <v>WV</v>
      </c>
    </row>
    <row r="1135" spans="1:17" x14ac:dyDescent="0.35">
      <c r="A1135" t="str">
        <f>_xlfn.XLOOKUP(B1135,Mapping!C:C,Mapping!D:D)</f>
        <v>other Online malls</v>
      </c>
      <c r="B1135" t="s">
        <v>294</v>
      </c>
      <c r="C1135" t="s">
        <v>340</v>
      </c>
      <c r="D1135" s="21">
        <v>46244</v>
      </c>
      <c r="E1135" s="21">
        <v>46248</v>
      </c>
      <c r="F1135">
        <v>5</v>
      </c>
      <c r="G1135" t="s">
        <v>17</v>
      </c>
      <c r="H1135">
        <v>449000</v>
      </c>
      <c r="I1135">
        <v>399000</v>
      </c>
      <c r="J1135">
        <v>0</v>
      </c>
      <c r="K1135">
        <v>399000</v>
      </c>
      <c r="L1135">
        <v>5</v>
      </c>
      <c r="M1135">
        <v>1995000</v>
      </c>
      <c r="N1135" s="19">
        <v>1813636.3636363635</v>
      </c>
      <c r="O1135" s="19">
        <v>1813636.3636363635</v>
      </c>
      <c r="P1135" t="str">
        <f t="shared" si="24"/>
        <v>Shark Floorcare</v>
      </c>
      <c r="Q1135" t="str">
        <f t="shared" si="25"/>
        <v>CS</v>
      </c>
    </row>
    <row r="1136" spans="1:17" x14ac:dyDescent="0.35">
      <c r="A1136" t="str">
        <f>_xlfn.XLOOKUP(B1136,Mapping!C:C,Mapping!D:D)</f>
        <v>other Online malls</v>
      </c>
      <c r="B1136" t="s">
        <v>294</v>
      </c>
      <c r="C1136" t="s">
        <v>340</v>
      </c>
      <c r="D1136" s="21">
        <v>46244</v>
      </c>
      <c r="E1136" s="21">
        <v>46248</v>
      </c>
      <c r="F1136">
        <v>5</v>
      </c>
      <c r="G1136" t="s">
        <v>54</v>
      </c>
      <c r="H1136">
        <v>699000</v>
      </c>
      <c r="I1136">
        <v>599000</v>
      </c>
      <c r="J1136">
        <v>499000</v>
      </c>
      <c r="K1136">
        <v>499000</v>
      </c>
      <c r="L1136">
        <v>5</v>
      </c>
      <c r="M1136">
        <v>2495000</v>
      </c>
      <c r="N1136" s="19">
        <v>2268181.8181818179</v>
      </c>
      <c r="O1136" s="19">
        <v>2268181.8181818179</v>
      </c>
      <c r="P1136" t="str">
        <f t="shared" si="24"/>
        <v>Shark Floorcare</v>
      </c>
      <c r="Q1136" t="str">
        <f t="shared" si="25"/>
        <v>FW</v>
      </c>
    </row>
    <row r="1137" spans="1:17" x14ac:dyDescent="0.35">
      <c r="A1137" t="str">
        <f>_xlfn.XLOOKUP(B1137,Mapping!C:C,Mapping!D:D)</f>
        <v>other Online malls</v>
      </c>
      <c r="B1137" t="s">
        <v>294</v>
      </c>
      <c r="C1137" t="s">
        <v>340</v>
      </c>
      <c r="D1137" s="21">
        <v>46244</v>
      </c>
      <c r="E1137" s="21">
        <v>46248</v>
      </c>
      <c r="F1137">
        <v>5</v>
      </c>
      <c r="G1137" t="s">
        <v>25</v>
      </c>
      <c r="H1137">
        <v>859000</v>
      </c>
      <c r="I1137">
        <v>749000</v>
      </c>
      <c r="J1137">
        <v>649000</v>
      </c>
      <c r="K1137">
        <v>749000</v>
      </c>
      <c r="L1137">
        <v>5</v>
      </c>
      <c r="M1137">
        <v>3745000</v>
      </c>
      <c r="N1137" s="19">
        <v>3404545.4545454541</v>
      </c>
      <c r="O1137" s="19">
        <v>3404545.4545454541</v>
      </c>
      <c r="P1137" t="str">
        <f t="shared" si="24"/>
        <v>Shark Floorcare</v>
      </c>
      <c r="Q1137" t="str">
        <f t="shared" si="25"/>
        <v>FW</v>
      </c>
    </row>
    <row r="1138" spans="1:17" x14ac:dyDescent="0.35">
      <c r="A1138" t="str">
        <f>_xlfn.XLOOKUP(B1138,Mapping!C:C,Mapping!D:D)</f>
        <v>other Online malls</v>
      </c>
      <c r="B1138" t="s">
        <v>294</v>
      </c>
      <c r="C1138" t="s">
        <v>340</v>
      </c>
      <c r="D1138" s="21">
        <v>46244</v>
      </c>
      <c r="E1138" s="21">
        <v>46248</v>
      </c>
      <c r="F1138">
        <v>5</v>
      </c>
      <c r="G1138" t="s">
        <v>40</v>
      </c>
      <c r="H1138">
        <v>349900</v>
      </c>
      <c r="I1138">
        <v>319900</v>
      </c>
      <c r="J1138">
        <v>299900</v>
      </c>
      <c r="K1138">
        <v>319900</v>
      </c>
      <c r="L1138">
        <v>5</v>
      </c>
      <c r="M1138">
        <v>1599500</v>
      </c>
      <c r="N1138" s="19">
        <v>1454090.9090909092</v>
      </c>
      <c r="O1138" s="19">
        <v>1454090.9090909092</v>
      </c>
      <c r="P1138" t="str">
        <f t="shared" si="24"/>
        <v>Ninja Motorized</v>
      </c>
      <c r="Q1138" t="str">
        <f t="shared" si="25"/>
        <v>Hot</v>
      </c>
    </row>
    <row r="1139" spans="1:17" x14ac:dyDescent="0.35">
      <c r="A1139" t="str">
        <f>_xlfn.XLOOKUP(B1139,Mapping!C:C,Mapping!D:D)</f>
        <v>other Online malls</v>
      </c>
      <c r="B1139" t="s">
        <v>294</v>
      </c>
      <c r="C1139" t="s">
        <v>340</v>
      </c>
      <c r="D1139" s="21">
        <v>46244</v>
      </c>
      <c r="E1139" s="21">
        <v>46248</v>
      </c>
      <c r="F1139">
        <v>5</v>
      </c>
      <c r="G1139" t="s">
        <v>85</v>
      </c>
      <c r="H1139">
        <v>349900</v>
      </c>
      <c r="I1139">
        <v>319900</v>
      </c>
      <c r="J1139">
        <v>299900</v>
      </c>
      <c r="K1139">
        <v>319900</v>
      </c>
      <c r="L1139">
        <v>5</v>
      </c>
      <c r="M1139">
        <v>1599500</v>
      </c>
      <c r="N1139" s="19">
        <v>1454090.9090909092</v>
      </c>
      <c r="O1139" s="19">
        <v>1454090.9090909092</v>
      </c>
      <c r="P1139" t="str">
        <f t="shared" si="24"/>
        <v>Ninja Motorized</v>
      </c>
      <c r="Q1139" t="str">
        <f t="shared" si="25"/>
        <v>Kitchen</v>
      </c>
    </row>
    <row r="1140" spans="1:17" x14ac:dyDescent="0.35">
      <c r="A1140" t="str">
        <f>_xlfn.XLOOKUP(B1140,Mapping!C:C,Mapping!D:D)</f>
        <v>other Online malls</v>
      </c>
      <c r="B1140" t="s">
        <v>294</v>
      </c>
      <c r="C1140" t="s">
        <v>340</v>
      </c>
      <c r="D1140" s="21">
        <v>46244</v>
      </c>
      <c r="E1140" s="21">
        <v>46248</v>
      </c>
      <c r="F1140">
        <v>5</v>
      </c>
      <c r="G1140" t="s">
        <v>87</v>
      </c>
      <c r="H1140">
        <v>219900</v>
      </c>
      <c r="I1140">
        <v>199900</v>
      </c>
      <c r="J1140">
        <v>179900</v>
      </c>
      <c r="K1140">
        <v>109000</v>
      </c>
      <c r="L1140">
        <v>5</v>
      </c>
      <c r="M1140">
        <v>545000</v>
      </c>
      <c r="N1140" s="19">
        <v>495454.54545454541</v>
      </c>
      <c r="O1140" s="19">
        <v>495454.54545454541</v>
      </c>
      <c r="P1140" t="str">
        <f t="shared" si="24"/>
        <v>Shark Fan</v>
      </c>
      <c r="Q1140" t="str">
        <f t="shared" si="25"/>
        <v>Fan</v>
      </c>
    </row>
    <row r="1141" spans="1:17" x14ac:dyDescent="0.35">
      <c r="A1141" t="str">
        <f>_xlfn.XLOOKUP(B1141,Mapping!C:C,Mapping!D:D)</f>
        <v>other Online malls</v>
      </c>
      <c r="B1141" t="s">
        <v>294</v>
      </c>
      <c r="C1141" t="s">
        <v>340</v>
      </c>
      <c r="D1141" s="21">
        <v>46244</v>
      </c>
      <c r="E1141" s="21">
        <v>46248</v>
      </c>
      <c r="F1141">
        <v>5</v>
      </c>
      <c r="G1141" t="s">
        <v>33</v>
      </c>
      <c r="H1141">
        <v>399900</v>
      </c>
      <c r="I1141">
        <v>349900</v>
      </c>
      <c r="J1141">
        <v>299900</v>
      </c>
      <c r="K1141">
        <v>349900</v>
      </c>
      <c r="L1141">
        <v>5</v>
      </c>
      <c r="M1141">
        <v>1749500</v>
      </c>
      <c r="N1141" s="19">
        <v>1590454.5454545454</v>
      </c>
      <c r="O1141" s="19">
        <v>1590454.5454545454</v>
      </c>
      <c r="P1141" t="str">
        <f t="shared" si="24"/>
        <v>Shark Fan</v>
      </c>
      <c r="Q1141" t="str">
        <f t="shared" si="25"/>
        <v>Fan</v>
      </c>
    </row>
    <row r="1142" spans="1:17" x14ac:dyDescent="0.35">
      <c r="A1142" t="str">
        <f>_xlfn.XLOOKUP(B1142,Mapping!C:C,Mapping!D:D)</f>
        <v>other Online malls</v>
      </c>
      <c r="B1142" t="s">
        <v>294</v>
      </c>
      <c r="C1142" t="s">
        <v>340</v>
      </c>
      <c r="D1142" s="21">
        <v>46244</v>
      </c>
      <c r="E1142" s="21">
        <v>46248</v>
      </c>
      <c r="F1142">
        <v>5</v>
      </c>
      <c r="G1142" t="s">
        <v>36</v>
      </c>
      <c r="H1142">
        <v>469900</v>
      </c>
      <c r="I1142">
        <v>399900</v>
      </c>
      <c r="J1142">
        <v>389900</v>
      </c>
      <c r="K1142">
        <v>399900</v>
      </c>
      <c r="L1142">
        <v>5</v>
      </c>
      <c r="M1142">
        <v>1999500</v>
      </c>
      <c r="N1142" s="19">
        <v>1817727.2727272727</v>
      </c>
      <c r="O1142" s="19">
        <v>1817727.2727272727</v>
      </c>
      <c r="P1142" t="str">
        <f t="shared" si="24"/>
        <v>Shark Floorcare</v>
      </c>
      <c r="Q1142" t="str">
        <f t="shared" si="25"/>
        <v>WD</v>
      </c>
    </row>
    <row r="1143" spans="1:17" x14ac:dyDescent="0.35">
      <c r="A1143" t="str">
        <f>_xlfn.XLOOKUP(B1143,Mapping!C:C,Mapping!D:D)</f>
        <v>other Online malls</v>
      </c>
      <c r="B1143" t="s">
        <v>294</v>
      </c>
      <c r="C1143" t="s">
        <v>340</v>
      </c>
      <c r="D1143" s="21">
        <v>46244</v>
      </c>
      <c r="E1143" s="21">
        <v>46248</v>
      </c>
      <c r="F1143">
        <v>5</v>
      </c>
      <c r="G1143" t="s">
        <v>28</v>
      </c>
      <c r="H1143">
        <v>299900</v>
      </c>
      <c r="I1143">
        <v>219900</v>
      </c>
      <c r="J1143">
        <v>219900</v>
      </c>
      <c r="K1143">
        <v>219900</v>
      </c>
      <c r="L1143">
        <v>5</v>
      </c>
      <c r="M1143">
        <v>1099500</v>
      </c>
      <c r="N1143" s="19">
        <v>999545.45454545435</v>
      </c>
      <c r="O1143" s="19">
        <v>999545.45454545435</v>
      </c>
      <c r="P1143" t="str">
        <f t="shared" si="24"/>
        <v>Shark Floorcare</v>
      </c>
      <c r="Q1143" t="str">
        <f t="shared" si="25"/>
        <v>WD</v>
      </c>
    </row>
    <row r="1144" spans="1:17" x14ac:dyDescent="0.35">
      <c r="A1144" t="str">
        <f>_xlfn.XLOOKUP(B1144,Mapping!C:C,Mapping!D:D)</f>
        <v>other Online malls</v>
      </c>
      <c r="B1144" t="s">
        <v>294</v>
      </c>
      <c r="C1144" t="s">
        <v>340</v>
      </c>
      <c r="D1144" s="21">
        <v>46244</v>
      </c>
      <c r="E1144" s="21">
        <v>46248</v>
      </c>
      <c r="F1144">
        <v>5</v>
      </c>
      <c r="G1144" t="s">
        <v>32</v>
      </c>
      <c r="H1144">
        <v>349900</v>
      </c>
      <c r="I1144">
        <v>299900</v>
      </c>
      <c r="J1144">
        <v>269900</v>
      </c>
      <c r="K1144">
        <v>269900</v>
      </c>
      <c r="L1144">
        <v>5</v>
      </c>
      <c r="M1144">
        <v>1349500</v>
      </c>
      <c r="N1144" s="19">
        <v>1226818.1818181816</v>
      </c>
      <c r="O1144" s="19">
        <v>1226818.1818181816</v>
      </c>
      <c r="P1144" t="str">
        <f t="shared" si="24"/>
        <v>Ninja Motorized</v>
      </c>
      <c r="Q1144" t="str">
        <f t="shared" si="25"/>
        <v>Icecream</v>
      </c>
    </row>
    <row r="1145" spans="1:17" x14ac:dyDescent="0.35">
      <c r="A1145" t="str">
        <f>_xlfn.XLOOKUP(B1145,Mapping!C:C,Mapping!D:D)</f>
        <v>other Online malls</v>
      </c>
      <c r="B1145" t="s">
        <v>294</v>
      </c>
      <c r="C1145" t="s">
        <v>340</v>
      </c>
      <c r="D1145" s="21">
        <v>46244</v>
      </c>
      <c r="E1145" s="21">
        <v>46248</v>
      </c>
      <c r="F1145">
        <v>5</v>
      </c>
      <c r="G1145" t="s">
        <v>97</v>
      </c>
      <c r="H1145">
        <v>349900</v>
      </c>
      <c r="I1145">
        <v>299900</v>
      </c>
      <c r="J1145">
        <v>249900</v>
      </c>
      <c r="K1145">
        <v>299900</v>
      </c>
      <c r="L1145">
        <v>5</v>
      </c>
      <c r="M1145">
        <v>1499500</v>
      </c>
      <c r="N1145" s="19">
        <v>1363181.8181818179</v>
      </c>
      <c r="O1145" s="19">
        <v>1363181.8181818179</v>
      </c>
      <c r="P1145" t="str">
        <f t="shared" si="24"/>
        <v>Ninja Heated</v>
      </c>
      <c r="Q1145" t="str">
        <f t="shared" si="25"/>
        <v>Grill</v>
      </c>
    </row>
    <row r="1146" spans="1:17" x14ac:dyDescent="0.35">
      <c r="A1146" t="str">
        <f>_xlfn.XLOOKUP(B1146,Mapping!C:C,Mapping!D:D)</f>
        <v>other Online malls</v>
      </c>
      <c r="B1146" t="s">
        <v>294</v>
      </c>
      <c r="C1146" t="s">
        <v>340</v>
      </c>
      <c r="D1146" s="21">
        <v>46244</v>
      </c>
      <c r="E1146" s="21">
        <v>46248</v>
      </c>
      <c r="F1146">
        <v>5</v>
      </c>
      <c r="G1146" t="s">
        <v>29</v>
      </c>
      <c r="H1146">
        <v>349900</v>
      </c>
      <c r="I1146">
        <v>299900</v>
      </c>
      <c r="J1146">
        <v>279900</v>
      </c>
      <c r="K1146">
        <v>279900</v>
      </c>
      <c r="L1146">
        <v>5</v>
      </c>
      <c r="M1146">
        <v>1399500</v>
      </c>
      <c r="N1146" s="19">
        <v>1272272.7272727273</v>
      </c>
      <c r="O1146" s="19">
        <v>1272272.7272727273</v>
      </c>
      <c r="P1146" t="str">
        <f t="shared" si="24"/>
        <v>Ninja Heated</v>
      </c>
      <c r="Q1146" t="str">
        <f t="shared" si="25"/>
        <v>Airfry</v>
      </c>
    </row>
    <row r="1147" spans="1:17" x14ac:dyDescent="0.35">
      <c r="A1147" t="str">
        <f>_xlfn.XLOOKUP(B1147,Mapping!C:C,Mapping!D:D)</f>
        <v>other Online malls</v>
      </c>
      <c r="B1147" t="s">
        <v>341</v>
      </c>
      <c r="C1147" t="s">
        <v>170</v>
      </c>
      <c r="D1147" s="21">
        <v>46244</v>
      </c>
      <c r="E1147" s="21">
        <v>46252</v>
      </c>
      <c r="F1147">
        <v>8</v>
      </c>
      <c r="G1147" t="s">
        <v>88</v>
      </c>
      <c r="H1147">
        <v>449000</v>
      </c>
      <c r="I1147">
        <v>399000</v>
      </c>
      <c r="J1147">
        <v>0</v>
      </c>
      <c r="K1147">
        <v>399000</v>
      </c>
      <c r="L1147">
        <v>5</v>
      </c>
      <c r="M1147">
        <v>1995000</v>
      </c>
      <c r="N1147" s="19">
        <v>1813636.3636363635</v>
      </c>
      <c r="O1147" s="19">
        <v>1813636.3636363635</v>
      </c>
      <c r="P1147" t="str">
        <f t="shared" si="24"/>
        <v>Shark Floorcare</v>
      </c>
      <c r="Q1147" t="str">
        <f t="shared" si="25"/>
        <v>CS</v>
      </c>
    </row>
    <row r="1148" spans="1:17" x14ac:dyDescent="0.35">
      <c r="A1148" t="str">
        <f>_xlfn.XLOOKUP(B1148,Mapping!C:C,Mapping!D:D)</f>
        <v>other Online malls</v>
      </c>
      <c r="B1148" t="s">
        <v>341</v>
      </c>
      <c r="C1148" t="s">
        <v>170</v>
      </c>
      <c r="D1148" s="21">
        <v>46244</v>
      </c>
      <c r="E1148" s="21">
        <v>46252</v>
      </c>
      <c r="F1148">
        <v>8</v>
      </c>
      <c r="G1148" t="s">
        <v>87</v>
      </c>
      <c r="H1148">
        <v>219900</v>
      </c>
      <c r="I1148">
        <v>199900</v>
      </c>
      <c r="J1148">
        <v>179900</v>
      </c>
      <c r="K1148">
        <v>105210</v>
      </c>
      <c r="L1148">
        <v>5</v>
      </c>
      <c r="M1148">
        <v>526050</v>
      </c>
      <c r="N1148" s="19">
        <v>478227.27272727271</v>
      </c>
      <c r="O1148" s="19">
        <v>478227.27272727271</v>
      </c>
      <c r="P1148" t="str">
        <f t="shared" si="24"/>
        <v>Shark Fan</v>
      </c>
      <c r="Q1148" t="str">
        <f t="shared" si="25"/>
        <v>Fan</v>
      </c>
    </row>
    <row r="1149" spans="1:17" x14ac:dyDescent="0.35">
      <c r="A1149" t="str">
        <f>_xlfn.XLOOKUP(B1149,Mapping!C:C,Mapping!D:D)</f>
        <v>other Online malls</v>
      </c>
      <c r="B1149" t="s">
        <v>341</v>
      </c>
      <c r="C1149" t="s">
        <v>170</v>
      </c>
      <c r="D1149" s="21">
        <v>46244</v>
      </c>
      <c r="E1149" s="21">
        <v>46252</v>
      </c>
      <c r="F1149">
        <v>8</v>
      </c>
      <c r="G1149" t="s">
        <v>33</v>
      </c>
      <c r="H1149">
        <v>399900</v>
      </c>
      <c r="I1149">
        <v>349900</v>
      </c>
      <c r="J1149">
        <v>299900</v>
      </c>
      <c r="K1149">
        <v>359410</v>
      </c>
      <c r="L1149">
        <v>5</v>
      </c>
      <c r="M1149">
        <v>1797050</v>
      </c>
      <c r="N1149" s="19">
        <v>1633681.8181818179</v>
      </c>
      <c r="O1149" s="19">
        <v>1633681.8181818179</v>
      </c>
      <c r="P1149" t="str">
        <f t="shared" ref="P1149:P1212" si="26">_xlfn.XLOOKUP(G1149,$G$2:$G$529,$P$2:$P$529,"Not Found")</f>
        <v>Shark Fan</v>
      </c>
      <c r="Q1149" t="str">
        <f t="shared" ref="Q1149:Q1212" si="27">_xlfn.XLOOKUP(G1149,$G$2:$G$529,$Q$2:$Q$529,"Not Found")</f>
        <v>Fan</v>
      </c>
    </row>
    <row r="1150" spans="1:17" x14ac:dyDescent="0.35">
      <c r="A1150" t="str">
        <f>_xlfn.XLOOKUP(B1150,Mapping!C:C,Mapping!D:D)</f>
        <v>other Online malls</v>
      </c>
      <c r="B1150" t="s">
        <v>341</v>
      </c>
      <c r="C1150" t="s">
        <v>170</v>
      </c>
      <c r="D1150" s="21">
        <v>46244</v>
      </c>
      <c r="E1150" s="21">
        <v>46252</v>
      </c>
      <c r="F1150">
        <v>8</v>
      </c>
      <c r="G1150" t="s">
        <v>304</v>
      </c>
      <c r="H1150">
        <v>0</v>
      </c>
      <c r="I1150">
        <v>0</v>
      </c>
      <c r="J1150">
        <v>0</v>
      </c>
      <c r="K1150">
        <v>242910</v>
      </c>
      <c r="L1150">
        <v>5</v>
      </c>
      <c r="M1150">
        <v>1214550</v>
      </c>
      <c r="N1150" s="19">
        <v>1104136.3636363635</v>
      </c>
      <c r="O1150" s="19">
        <v>1104136.3636363635</v>
      </c>
      <c r="P1150" t="str">
        <f t="shared" si="26"/>
        <v>Not Found</v>
      </c>
      <c r="Q1150" t="str">
        <f t="shared" si="27"/>
        <v>Not Found</v>
      </c>
    </row>
    <row r="1151" spans="1:17" x14ac:dyDescent="0.35">
      <c r="A1151" t="str">
        <f>_xlfn.XLOOKUP(B1151,Mapping!C:C,Mapping!D:D)</f>
        <v>other Online malls</v>
      </c>
      <c r="B1151" t="s">
        <v>341</v>
      </c>
      <c r="C1151" t="s">
        <v>170</v>
      </c>
      <c r="D1151" s="21">
        <v>46244</v>
      </c>
      <c r="E1151" s="21">
        <v>46252</v>
      </c>
      <c r="F1151">
        <v>8</v>
      </c>
      <c r="G1151" t="s">
        <v>26</v>
      </c>
      <c r="H1151">
        <v>899000</v>
      </c>
      <c r="I1151">
        <v>749000</v>
      </c>
      <c r="J1151">
        <v>699000</v>
      </c>
      <c r="K1151">
        <v>740050</v>
      </c>
      <c r="L1151">
        <v>5</v>
      </c>
      <c r="M1151">
        <v>3700250</v>
      </c>
      <c r="N1151" s="19">
        <v>3363863.6363636358</v>
      </c>
      <c r="O1151" s="19">
        <v>3363863.6363636358</v>
      </c>
      <c r="P1151" t="str">
        <f t="shared" si="26"/>
        <v>Shark Floorcare</v>
      </c>
      <c r="Q1151" t="str">
        <f t="shared" si="27"/>
        <v>FW</v>
      </c>
    </row>
    <row r="1152" spans="1:17" x14ac:dyDescent="0.35">
      <c r="A1152" t="str">
        <f>_xlfn.XLOOKUP(B1152,Mapping!C:C,Mapping!D:D)</f>
        <v>other Online malls</v>
      </c>
      <c r="B1152" t="s">
        <v>341</v>
      </c>
      <c r="C1152" t="s">
        <v>170</v>
      </c>
      <c r="D1152" s="21">
        <v>46244</v>
      </c>
      <c r="E1152" s="21">
        <v>46252</v>
      </c>
      <c r="F1152">
        <v>8</v>
      </c>
      <c r="G1152" t="s">
        <v>54</v>
      </c>
      <c r="H1152">
        <v>699000</v>
      </c>
      <c r="I1152">
        <v>599000</v>
      </c>
      <c r="J1152">
        <v>499000</v>
      </c>
      <c r="K1152">
        <v>499010</v>
      </c>
      <c r="L1152">
        <v>5</v>
      </c>
      <c r="M1152">
        <v>2495050</v>
      </c>
      <c r="N1152" s="19">
        <v>2268227.2727272725</v>
      </c>
      <c r="O1152" s="19">
        <v>2268227.2727272725</v>
      </c>
      <c r="P1152" t="str">
        <f t="shared" si="26"/>
        <v>Shark Floorcare</v>
      </c>
      <c r="Q1152" t="str">
        <f t="shared" si="27"/>
        <v>FW</v>
      </c>
    </row>
    <row r="1153" spans="1:17" x14ac:dyDescent="0.35">
      <c r="A1153" t="str">
        <f>_xlfn.XLOOKUP(B1153,Mapping!C:C,Mapping!D:D)</f>
        <v>other Online malls</v>
      </c>
      <c r="B1153" t="s">
        <v>341</v>
      </c>
      <c r="C1153" t="s">
        <v>170</v>
      </c>
      <c r="D1153" s="21">
        <v>46244</v>
      </c>
      <c r="E1153" s="21">
        <v>46252</v>
      </c>
      <c r="F1153">
        <v>8</v>
      </c>
      <c r="G1153" t="s">
        <v>49</v>
      </c>
      <c r="H1153">
        <v>119900</v>
      </c>
      <c r="I1153">
        <v>109900</v>
      </c>
      <c r="J1153">
        <v>99900</v>
      </c>
      <c r="K1153">
        <v>109910</v>
      </c>
      <c r="L1153">
        <v>5</v>
      </c>
      <c r="M1153">
        <v>549550</v>
      </c>
      <c r="N1153" s="19">
        <v>499590.90909090906</v>
      </c>
      <c r="O1153" s="19">
        <v>499590.90909090906</v>
      </c>
      <c r="P1153" t="str">
        <f t="shared" si="26"/>
        <v>Ninja Motorized</v>
      </c>
      <c r="Q1153" t="str">
        <f t="shared" si="27"/>
        <v>Hand</v>
      </c>
    </row>
    <row r="1154" spans="1:17" x14ac:dyDescent="0.35">
      <c r="A1154" t="str">
        <f>_xlfn.XLOOKUP(B1154,Mapping!C:C,Mapping!D:D)</f>
        <v>other Online malls</v>
      </c>
      <c r="B1154" t="s">
        <v>341</v>
      </c>
      <c r="C1154" t="s">
        <v>170</v>
      </c>
      <c r="D1154" s="21">
        <v>46244</v>
      </c>
      <c r="E1154" s="21">
        <v>46252</v>
      </c>
      <c r="F1154">
        <v>8</v>
      </c>
      <c r="G1154" t="s">
        <v>50</v>
      </c>
      <c r="H1154">
        <v>199900</v>
      </c>
      <c r="I1154">
        <v>179900</v>
      </c>
      <c r="J1154">
        <v>159900</v>
      </c>
      <c r="K1154">
        <v>179460</v>
      </c>
      <c r="L1154">
        <v>5</v>
      </c>
      <c r="M1154">
        <v>897300</v>
      </c>
      <c r="N1154" s="19">
        <v>815727.27272727271</v>
      </c>
      <c r="O1154" s="19">
        <v>815727.27272727271</v>
      </c>
      <c r="P1154" t="str">
        <f t="shared" si="26"/>
        <v>Ninja Motorized</v>
      </c>
      <c r="Q1154" t="str">
        <f t="shared" si="27"/>
        <v>Hand</v>
      </c>
    </row>
    <row r="1155" spans="1:17" x14ac:dyDescent="0.35">
      <c r="A1155" t="str">
        <f>_xlfn.XLOOKUP(B1155,Mapping!C:C,Mapping!D:D)</f>
        <v>other Online malls</v>
      </c>
      <c r="B1155" t="s">
        <v>341</v>
      </c>
      <c r="C1155" t="s">
        <v>170</v>
      </c>
      <c r="D1155" s="21">
        <v>46244</v>
      </c>
      <c r="E1155" s="21">
        <v>46252</v>
      </c>
      <c r="F1155">
        <v>8</v>
      </c>
      <c r="G1155" t="s">
        <v>62</v>
      </c>
      <c r="H1155">
        <v>349900</v>
      </c>
      <c r="I1155">
        <v>319900</v>
      </c>
      <c r="J1155">
        <v>299900</v>
      </c>
      <c r="K1155">
        <v>342910</v>
      </c>
      <c r="L1155">
        <v>5</v>
      </c>
      <c r="M1155">
        <v>1714550</v>
      </c>
      <c r="N1155" s="19">
        <v>1558681.8181818179</v>
      </c>
      <c r="O1155" s="19">
        <v>1558681.8181818179</v>
      </c>
      <c r="P1155" t="str">
        <f t="shared" si="26"/>
        <v>Shark Floorcare</v>
      </c>
      <c r="Q1155" t="str">
        <f t="shared" si="27"/>
        <v>WV</v>
      </c>
    </row>
    <row r="1156" spans="1:17" x14ac:dyDescent="0.35">
      <c r="A1156" t="str">
        <f>_xlfn.XLOOKUP(B1156,Mapping!C:C,Mapping!D:D)</f>
        <v>other Online malls</v>
      </c>
      <c r="B1156" t="s">
        <v>341</v>
      </c>
      <c r="C1156" t="s">
        <v>170</v>
      </c>
      <c r="D1156" s="21">
        <v>46244</v>
      </c>
      <c r="E1156" s="21">
        <v>46252</v>
      </c>
      <c r="F1156">
        <v>8</v>
      </c>
      <c r="G1156" t="s">
        <v>57</v>
      </c>
      <c r="H1156">
        <v>699000</v>
      </c>
      <c r="I1156">
        <v>599000</v>
      </c>
      <c r="J1156">
        <v>499000</v>
      </c>
      <c r="K1156">
        <v>689010</v>
      </c>
      <c r="L1156">
        <v>5</v>
      </c>
      <c r="M1156">
        <v>3445050</v>
      </c>
      <c r="N1156" s="19">
        <v>3131863.6363636358</v>
      </c>
      <c r="O1156" s="19">
        <v>3131863.6363636358</v>
      </c>
      <c r="P1156" t="str">
        <f t="shared" si="26"/>
        <v>Shark Floorcare</v>
      </c>
      <c r="Q1156" t="str">
        <f t="shared" si="27"/>
        <v>Kion</v>
      </c>
    </row>
    <row r="1157" spans="1:17" x14ac:dyDescent="0.35">
      <c r="A1157" t="str">
        <f>_xlfn.XLOOKUP(B1157,Mapping!C:C,Mapping!D:D)</f>
        <v>other Online malls</v>
      </c>
      <c r="B1157" t="s">
        <v>341</v>
      </c>
      <c r="C1157" t="s">
        <v>170</v>
      </c>
      <c r="D1157" s="21">
        <v>46244</v>
      </c>
      <c r="E1157" s="21">
        <v>46252</v>
      </c>
      <c r="F1157">
        <v>8</v>
      </c>
      <c r="G1157" t="s">
        <v>303</v>
      </c>
      <c r="H1157">
        <v>0</v>
      </c>
      <c r="I1157">
        <v>0</v>
      </c>
      <c r="J1157">
        <v>0</v>
      </c>
      <c r="K1157">
        <v>235010</v>
      </c>
      <c r="L1157">
        <v>5</v>
      </c>
      <c r="M1157">
        <v>1175050</v>
      </c>
      <c r="N1157" s="19">
        <v>1068227.2727272727</v>
      </c>
      <c r="O1157" s="19">
        <v>1068227.2727272727</v>
      </c>
      <c r="P1157" t="str">
        <f t="shared" si="26"/>
        <v>Not Found</v>
      </c>
      <c r="Q1157" t="str">
        <f t="shared" si="27"/>
        <v>Not Found</v>
      </c>
    </row>
    <row r="1158" spans="1:17" x14ac:dyDescent="0.35">
      <c r="A1158" t="str">
        <f>_xlfn.XLOOKUP(B1158,Mapping!C:C,Mapping!D:D)</f>
        <v>other Online malls</v>
      </c>
      <c r="B1158" t="s">
        <v>341</v>
      </c>
      <c r="C1158" t="s">
        <v>170</v>
      </c>
      <c r="D1158" s="21">
        <v>46244</v>
      </c>
      <c r="E1158" s="21">
        <v>46252</v>
      </c>
      <c r="F1158">
        <v>8</v>
      </c>
      <c r="G1158" t="s">
        <v>29</v>
      </c>
      <c r="H1158">
        <v>349900</v>
      </c>
      <c r="I1158">
        <v>299900</v>
      </c>
      <c r="J1158">
        <v>279900</v>
      </c>
      <c r="K1158">
        <v>279910</v>
      </c>
      <c r="L1158">
        <v>5</v>
      </c>
      <c r="M1158">
        <v>1399550</v>
      </c>
      <c r="N1158" s="19">
        <v>1272318.1818181816</v>
      </c>
      <c r="O1158" s="19">
        <v>1272318.1818181816</v>
      </c>
      <c r="P1158" t="str">
        <f t="shared" si="26"/>
        <v>Ninja Heated</v>
      </c>
      <c r="Q1158" t="str">
        <f t="shared" si="27"/>
        <v>Airfry</v>
      </c>
    </row>
    <row r="1159" spans="1:17" x14ac:dyDescent="0.35">
      <c r="A1159" t="str">
        <f>_xlfn.XLOOKUP(B1159,Mapping!C:C,Mapping!D:D)</f>
        <v>other Online malls</v>
      </c>
      <c r="B1159" t="s">
        <v>341</v>
      </c>
      <c r="C1159" t="s">
        <v>170</v>
      </c>
      <c r="D1159" s="21">
        <v>46244</v>
      </c>
      <c r="E1159" s="21">
        <v>46252</v>
      </c>
      <c r="F1159">
        <v>8</v>
      </c>
      <c r="G1159" t="s">
        <v>289</v>
      </c>
      <c r="H1159">
        <v>0</v>
      </c>
      <c r="I1159">
        <v>0</v>
      </c>
      <c r="J1159">
        <v>0</v>
      </c>
      <c r="K1159">
        <v>119910</v>
      </c>
      <c r="L1159">
        <v>5</v>
      </c>
      <c r="M1159">
        <v>599550</v>
      </c>
      <c r="N1159" s="19">
        <v>545045.45454545447</v>
      </c>
      <c r="O1159" s="19">
        <v>545045.45454545447</v>
      </c>
      <c r="P1159" t="str">
        <f t="shared" si="26"/>
        <v>Not Found</v>
      </c>
      <c r="Q1159" t="str">
        <f t="shared" si="27"/>
        <v>Not Found</v>
      </c>
    </row>
    <row r="1160" spans="1:17" x14ac:dyDescent="0.35">
      <c r="A1160" t="str">
        <f>_xlfn.XLOOKUP(B1160,Mapping!C:C,Mapping!D:D)</f>
        <v>other Online malls</v>
      </c>
      <c r="B1160" t="s">
        <v>341</v>
      </c>
      <c r="C1160" t="s">
        <v>170</v>
      </c>
      <c r="D1160" s="21">
        <v>46244</v>
      </c>
      <c r="E1160" s="21">
        <v>46252</v>
      </c>
      <c r="F1160">
        <v>8</v>
      </c>
      <c r="G1160" t="s">
        <v>329</v>
      </c>
      <c r="H1160">
        <v>0</v>
      </c>
      <c r="I1160">
        <v>0</v>
      </c>
      <c r="J1160">
        <v>0</v>
      </c>
      <c r="K1160">
        <v>84910</v>
      </c>
      <c r="L1160">
        <v>5</v>
      </c>
      <c r="M1160">
        <v>424550</v>
      </c>
      <c r="N1160" s="19">
        <v>385954.54545454541</v>
      </c>
      <c r="O1160" s="19">
        <v>385954.54545454541</v>
      </c>
      <c r="P1160" t="str">
        <f t="shared" si="26"/>
        <v>Not Found</v>
      </c>
      <c r="Q1160" t="str">
        <f t="shared" si="27"/>
        <v>Not Found</v>
      </c>
    </row>
    <row r="1161" spans="1:17" x14ac:dyDescent="0.35">
      <c r="A1161" t="str">
        <f>_xlfn.XLOOKUP(B1161,Mapping!C:C,Mapping!D:D)</f>
        <v>other Online malls</v>
      </c>
      <c r="B1161" t="s">
        <v>341</v>
      </c>
      <c r="C1161" t="s">
        <v>170</v>
      </c>
      <c r="D1161" s="21">
        <v>46244</v>
      </c>
      <c r="E1161" s="21">
        <v>46252</v>
      </c>
      <c r="F1161">
        <v>8</v>
      </c>
      <c r="G1161" t="s">
        <v>36</v>
      </c>
      <c r="H1161">
        <v>469900</v>
      </c>
      <c r="I1161">
        <v>399900</v>
      </c>
      <c r="J1161">
        <v>389900</v>
      </c>
      <c r="K1161">
        <v>399910</v>
      </c>
      <c r="L1161">
        <v>5</v>
      </c>
      <c r="M1161">
        <v>1999550</v>
      </c>
      <c r="N1161" s="19">
        <v>1817772.7272727271</v>
      </c>
      <c r="O1161" s="19">
        <v>1817772.7272727271</v>
      </c>
      <c r="P1161" t="str">
        <f t="shared" si="26"/>
        <v>Shark Floorcare</v>
      </c>
      <c r="Q1161" t="str">
        <f t="shared" si="27"/>
        <v>WD</v>
      </c>
    </row>
    <row r="1162" spans="1:17" x14ac:dyDescent="0.35">
      <c r="A1162" t="str">
        <f>_xlfn.XLOOKUP(B1162,Mapping!C:C,Mapping!D:D)</f>
        <v>other Online malls</v>
      </c>
      <c r="B1162" t="s">
        <v>341</v>
      </c>
      <c r="C1162" t="s">
        <v>170</v>
      </c>
      <c r="D1162" s="21">
        <v>46244</v>
      </c>
      <c r="E1162" s="21">
        <v>46252</v>
      </c>
      <c r="F1162">
        <v>8</v>
      </c>
      <c r="G1162" t="s">
        <v>31</v>
      </c>
      <c r="H1162">
        <v>849000</v>
      </c>
      <c r="I1162">
        <v>699000</v>
      </c>
      <c r="J1162">
        <v>649000</v>
      </c>
      <c r="K1162">
        <v>699000</v>
      </c>
      <c r="L1162">
        <v>5</v>
      </c>
      <c r="M1162">
        <v>3495000</v>
      </c>
      <c r="N1162" s="19">
        <v>3177272.7272727271</v>
      </c>
      <c r="O1162" s="19">
        <v>3177272.7272727271</v>
      </c>
      <c r="P1162" t="str">
        <f t="shared" si="26"/>
        <v>Shark Floorcare</v>
      </c>
      <c r="Q1162" t="str">
        <f t="shared" si="27"/>
        <v>FW</v>
      </c>
    </row>
    <row r="1163" spans="1:17" x14ac:dyDescent="0.35">
      <c r="A1163" t="str">
        <f>_xlfn.XLOOKUP(B1163,Mapping!C:C,Mapping!D:D)</f>
        <v>other Online malls</v>
      </c>
      <c r="B1163" t="s">
        <v>341</v>
      </c>
      <c r="C1163" t="s">
        <v>170</v>
      </c>
      <c r="D1163" s="21">
        <v>46244</v>
      </c>
      <c r="E1163" s="21">
        <v>46252</v>
      </c>
      <c r="F1163">
        <v>8</v>
      </c>
      <c r="G1163" t="s">
        <v>73</v>
      </c>
      <c r="H1163">
        <v>139900</v>
      </c>
      <c r="I1163">
        <v>129900</v>
      </c>
      <c r="J1163">
        <v>119900</v>
      </c>
      <c r="K1163">
        <v>132910</v>
      </c>
      <c r="L1163">
        <v>5</v>
      </c>
      <c r="M1163">
        <v>664550</v>
      </c>
      <c r="N1163" s="19">
        <v>604136.36363636365</v>
      </c>
      <c r="O1163" s="19">
        <v>604136.36363636365</v>
      </c>
      <c r="P1163" t="str">
        <f t="shared" si="26"/>
        <v>Ninja Motorized</v>
      </c>
      <c r="Q1163" t="str">
        <f t="shared" si="27"/>
        <v>Hand</v>
      </c>
    </row>
    <row r="1164" spans="1:17" x14ac:dyDescent="0.35">
      <c r="A1164" t="str">
        <f>_xlfn.XLOOKUP(B1164,Mapping!C:C,Mapping!D:D)</f>
        <v>other Online malls</v>
      </c>
      <c r="B1164" t="s">
        <v>341</v>
      </c>
      <c r="C1164" t="s">
        <v>170</v>
      </c>
      <c r="D1164" s="21">
        <v>46244</v>
      </c>
      <c r="E1164" s="21">
        <v>46252</v>
      </c>
      <c r="F1164">
        <v>8</v>
      </c>
      <c r="G1164" t="s">
        <v>85</v>
      </c>
      <c r="H1164">
        <v>349900</v>
      </c>
      <c r="I1164">
        <v>319900</v>
      </c>
      <c r="J1164">
        <v>299900</v>
      </c>
      <c r="K1164">
        <v>319910</v>
      </c>
      <c r="L1164">
        <v>5</v>
      </c>
      <c r="M1164">
        <v>1599550</v>
      </c>
      <c r="N1164" s="19">
        <v>1454136.3636363635</v>
      </c>
      <c r="O1164" s="19">
        <v>1454136.3636363635</v>
      </c>
      <c r="P1164" t="str">
        <f t="shared" si="26"/>
        <v>Ninja Motorized</v>
      </c>
      <c r="Q1164" t="str">
        <f t="shared" si="27"/>
        <v>Kitchen</v>
      </c>
    </row>
    <row r="1165" spans="1:17" x14ac:dyDescent="0.35">
      <c r="A1165" t="str">
        <f>_xlfn.XLOOKUP(B1165,Mapping!C:C,Mapping!D:D)</f>
        <v>other Online malls</v>
      </c>
      <c r="B1165" t="s">
        <v>341</v>
      </c>
      <c r="C1165" t="s">
        <v>170</v>
      </c>
      <c r="D1165" s="21">
        <v>46244</v>
      </c>
      <c r="E1165" s="21">
        <v>46252</v>
      </c>
      <c r="F1165">
        <v>8</v>
      </c>
      <c r="G1165" t="s">
        <v>105</v>
      </c>
      <c r="H1165">
        <v>299900</v>
      </c>
      <c r="I1165">
        <v>269900</v>
      </c>
      <c r="J1165">
        <v>249900</v>
      </c>
      <c r="K1165">
        <v>292910</v>
      </c>
      <c r="L1165">
        <v>5</v>
      </c>
      <c r="M1165">
        <v>1464550</v>
      </c>
      <c r="N1165" s="19">
        <v>1331409.0909090908</v>
      </c>
      <c r="O1165" s="19">
        <v>1331409.0909090908</v>
      </c>
      <c r="P1165" t="str">
        <f t="shared" si="26"/>
        <v>Ninja Motorized</v>
      </c>
      <c r="Q1165" t="str">
        <f t="shared" si="27"/>
        <v>Kitchen</v>
      </c>
    </row>
    <row r="1166" spans="1:17" x14ac:dyDescent="0.35">
      <c r="A1166" t="str">
        <f>_xlfn.XLOOKUP(B1166,Mapping!C:C,Mapping!D:D)</f>
        <v>other Online malls</v>
      </c>
      <c r="B1166" t="s">
        <v>341</v>
      </c>
      <c r="C1166" t="s">
        <v>170</v>
      </c>
      <c r="D1166" s="21">
        <v>46244</v>
      </c>
      <c r="E1166" s="21">
        <v>46252</v>
      </c>
      <c r="F1166">
        <v>8</v>
      </c>
      <c r="G1166" t="s">
        <v>39</v>
      </c>
      <c r="H1166">
        <v>249900</v>
      </c>
      <c r="I1166">
        <v>199900</v>
      </c>
      <c r="J1166">
        <v>189900</v>
      </c>
      <c r="K1166">
        <v>242910</v>
      </c>
      <c r="L1166">
        <v>5</v>
      </c>
      <c r="M1166">
        <v>1214550</v>
      </c>
      <c r="N1166" s="19">
        <v>1104136.3636363635</v>
      </c>
      <c r="O1166" s="19">
        <v>1104136.3636363635</v>
      </c>
      <c r="P1166" t="str">
        <f t="shared" si="26"/>
        <v>Ninja Motorized</v>
      </c>
      <c r="Q1166" t="str">
        <f t="shared" si="27"/>
        <v>Trad</v>
      </c>
    </row>
    <row r="1167" spans="1:17" x14ac:dyDescent="0.35">
      <c r="A1167" t="str">
        <f>_xlfn.XLOOKUP(B1167,Mapping!C:C,Mapping!D:D)</f>
        <v>other Online malls</v>
      </c>
      <c r="B1167" t="s">
        <v>341</v>
      </c>
      <c r="C1167" t="s">
        <v>170</v>
      </c>
      <c r="D1167" s="21">
        <v>46244</v>
      </c>
      <c r="E1167" s="21">
        <v>46252</v>
      </c>
      <c r="F1167">
        <v>8</v>
      </c>
      <c r="G1167" t="s">
        <v>16</v>
      </c>
      <c r="H1167">
        <v>199900</v>
      </c>
      <c r="I1167">
        <v>129900</v>
      </c>
      <c r="J1167">
        <v>129900</v>
      </c>
      <c r="K1167">
        <v>192910</v>
      </c>
      <c r="L1167">
        <v>5</v>
      </c>
      <c r="M1167">
        <v>964550</v>
      </c>
      <c r="N1167" s="19">
        <v>876863.63636363635</v>
      </c>
      <c r="O1167" s="19">
        <v>876863.63636363635</v>
      </c>
      <c r="P1167" t="str">
        <f t="shared" si="26"/>
        <v>Ninja Motorized</v>
      </c>
      <c r="Q1167" t="str">
        <f t="shared" si="27"/>
        <v>Trad</v>
      </c>
    </row>
    <row r="1168" spans="1:17" x14ac:dyDescent="0.35">
      <c r="A1168" t="str">
        <f>_xlfn.XLOOKUP(B1168,Mapping!C:C,Mapping!D:D)</f>
        <v>other Online malls</v>
      </c>
      <c r="B1168" t="s">
        <v>341</v>
      </c>
      <c r="C1168" t="s">
        <v>170</v>
      </c>
      <c r="D1168" s="21">
        <v>46244</v>
      </c>
      <c r="E1168" s="21">
        <v>46252</v>
      </c>
      <c r="F1168">
        <v>8</v>
      </c>
      <c r="G1168" t="s">
        <v>84</v>
      </c>
      <c r="H1168">
        <v>169900</v>
      </c>
      <c r="I1168">
        <v>149900</v>
      </c>
      <c r="J1168">
        <v>129900</v>
      </c>
      <c r="K1168">
        <v>162910</v>
      </c>
      <c r="L1168">
        <v>5</v>
      </c>
      <c r="M1168">
        <v>814550</v>
      </c>
      <c r="N1168" s="19">
        <v>740500</v>
      </c>
      <c r="O1168" s="19">
        <v>740500</v>
      </c>
      <c r="P1168" t="str">
        <f t="shared" si="26"/>
        <v>Ninja Motorized</v>
      </c>
      <c r="Q1168" t="str">
        <f t="shared" si="27"/>
        <v>Trad</v>
      </c>
    </row>
    <row r="1169" spans="1:17" x14ac:dyDescent="0.35">
      <c r="A1169" t="str">
        <f>_xlfn.XLOOKUP(B1169,Mapping!C:C,Mapping!D:D)</f>
        <v>other Online malls</v>
      </c>
      <c r="B1169" t="s">
        <v>341</v>
      </c>
      <c r="C1169" t="s">
        <v>170</v>
      </c>
      <c r="D1169" s="21">
        <v>46244</v>
      </c>
      <c r="E1169" s="21">
        <v>46252</v>
      </c>
      <c r="F1169">
        <v>8</v>
      </c>
      <c r="G1169" t="s">
        <v>108</v>
      </c>
      <c r="H1169">
        <v>199900</v>
      </c>
      <c r="I1169">
        <v>179900</v>
      </c>
      <c r="J1169">
        <v>169900</v>
      </c>
      <c r="K1169">
        <v>189010</v>
      </c>
      <c r="L1169">
        <v>5</v>
      </c>
      <c r="M1169">
        <v>945050</v>
      </c>
      <c r="N1169" s="19">
        <v>859136.36363636353</v>
      </c>
      <c r="O1169" s="19">
        <v>859136.36363636353</v>
      </c>
      <c r="P1169" t="str">
        <f t="shared" si="26"/>
        <v>Shark Floorcare</v>
      </c>
      <c r="Q1169" t="str">
        <f t="shared" si="27"/>
        <v>WV</v>
      </c>
    </row>
    <row r="1170" spans="1:17" x14ac:dyDescent="0.35">
      <c r="A1170" t="str">
        <f>_xlfn.XLOOKUP(B1170,Mapping!C:C,Mapping!D:D)</f>
        <v>other Online malls</v>
      </c>
      <c r="B1170" t="s">
        <v>341</v>
      </c>
      <c r="C1170" t="s">
        <v>170</v>
      </c>
      <c r="D1170" s="21">
        <v>46244</v>
      </c>
      <c r="E1170" s="21">
        <v>46252</v>
      </c>
      <c r="F1170">
        <v>8</v>
      </c>
      <c r="G1170" t="s">
        <v>32</v>
      </c>
      <c r="H1170">
        <v>349900</v>
      </c>
      <c r="I1170">
        <v>299900</v>
      </c>
      <c r="J1170">
        <v>269900</v>
      </c>
      <c r="K1170">
        <v>269910</v>
      </c>
      <c r="L1170">
        <v>5</v>
      </c>
      <c r="M1170">
        <v>1349550</v>
      </c>
      <c r="N1170" s="19">
        <v>1226863.6363636362</v>
      </c>
      <c r="O1170" s="19">
        <v>1226863.6363636362</v>
      </c>
      <c r="P1170" t="str">
        <f t="shared" si="26"/>
        <v>Ninja Motorized</v>
      </c>
      <c r="Q1170" t="str">
        <f t="shared" si="27"/>
        <v>Icecream</v>
      </c>
    </row>
    <row r="1171" spans="1:17" x14ac:dyDescent="0.35">
      <c r="A1171" t="str">
        <f>_xlfn.XLOOKUP(B1171,Mapping!C:C,Mapping!D:D)</f>
        <v>other Online malls</v>
      </c>
      <c r="B1171" t="s">
        <v>341</v>
      </c>
      <c r="C1171" t="s">
        <v>170</v>
      </c>
      <c r="D1171" s="21">
        <v>46244</v>
      </c>
      <c r="E1171" s="21">
        <v>46252</v>
      </c>
      <c r="F1171">
        <v>8</v>
      </c>
      <c r="G1171" t="s">
        <v>290</v>
      </c>
      <c r="H1171">
        <v>0</v>
      </c>
      <c r="I1171">
        <v>0</v>
      </c>
      <c r="J1171">
        <v>0</v>
      </c>
      <c r="K1171">
        <v>159010</v>
      </c>
      <c r="L1171">
        <v>5</v>
      </c>
      <c r="M1171">
        <v>795050</v>
      </c>
      <c r="N1171" s="19">
        <v>722772.72727272718</v>
      </c>
      <c r="O1171" s="19">
        <v>722772.72727272718</v>
      </c>
      <c r="P1171" t="str">
        <f t="shared" si="26"/>
        <v>Not Found</v>
      </c>
      <c r="Q1171" t="str">
        <f t="shared" si="27"/>
        <v>Not Found</v>
      </c>
    </row>
    <row r="1172" spans="1:17" x14ac:dyDescent="0.35">
      <c r="A1172" t="str">
        <f>_xlfn.XLOOKUP(B1172,Mapping!C:C,Mapping!D:D)</f>
        <v>other Online malls</v>
      </c>
      <c r="B1172" t="s">
        <v>341</v>
      </c>
      <c r="C1172" t="s">
        <v>170</v>
      </c>
      <c r="D1172" s="21">
        <v>46244</v>
      </c>
      <c r="E1172" s="21">
        <v>46252</v>
      </c>
      <c r="F1172">
        <v>8</v>
      </c>
      <c r="G1172" t="s">
        <v>28</v>
      </c>
      <c r="H1172">
        <v>299900</v>
      </c>
      <c r="I1172">
        <v>219900</v>
      </c>
      <c r="J1172">
        <v>219900</v>
      </c>
      <c r="K1172">
        <v>219910</v>
      </c>
      <c r="L1172">
        <v>5</v>
      </c>
      <c r="M1172">
        <v>1099550</v>
      </c>
      <c r="N1172" s="19">
        <v>999590.90909090894</v>
      </c>
      <c r="O1172" s="19">
        <v>999590.90909090894</v>
      </c>
      <c r="P1172" t="str">
        <f t="shared" si="26"/>
        <v>Shark Floorcare</v>
      </c>
      <c r="Q1172" t="str">
        <f t="shared" si="27"/>
        <v>WD</v>
      </c>
    </row>
    <row r="1173" spans="1:17" x14ac:dyDescent="0.35">
      <c r="A1173" t="str">
        <f>_xlfn.XLOOKUP(B1173,Mapping!C:C,Mapping!D:D)</f>
        <v>other Online malls</v>
      </c>
      <c r="B1173" t="s">
        <v>341</v>
      </c>
      <c r="C1173" t="s">
        <v>170</v>
      </c>
      <c r="D1173" s="21">
        <v>46244</v>
      </c>
      <c r="E1173" s="21">
        <v>46252</v>
      </c>
      <c r="F1173">
        <v>8</v>
      </c>
      <c r="G1173" t="s">
        <v>38</v>
      </c>
      <c r="H1173">
        <v>429900</v>
      </c>
      <c r="I1173">
        <v>399900</v>
      </c>
      <c r="J1173">
        <v>349900</v>
      </c>
      <c r="K1173">
        <v>422910</v>
      </c>
      <c r="L1173">
        <v>5</v>
      </c>
      <c r="M1173">
        <v>2114550</v>
      </c>
      <c r="N1173" s="19">
        <v>1922318.1818181816</v>
      </c>
      <c r="O1173" s="19">
        <v>1922318.1818181816</v>
      </c>
      <c r="P1173" t="str">
        <f t="shared" si="26"/>
        <v>Ninja Heated</v>
      </c>
      <c r="Q1173" t="str">
        <f t="shared" si="27"/>
        <v>Grill</v>
      </c>
    </row>
    <row r="1174" spans="1:17" x14ac:dyDescent="0.35">
      <c r="A1174" t="str">
        <f>_xlfn.XLOOKUP(B1174,Mapping!C:C,Mapping!D:D)</f>
        <v>other Online malls</v>
      </c>
      <c r="B1174" t="s">
        <v>341</v>
      </c>
      <c r="C1174" t="s">
        <v>170</v>
      </c>
      <c r="D1174" s="21">
        <v>46244</v>
      </c>
      <c r="E1174" s="21">
        <v>46252</v>
      </c>
      <c r="F1174">
        <v>8</v>
      </c>
      <c r="G1174" t="s">
        <v>37</v>
      </c>
      <c r="H1174">
        <v>229900</v>
      </c>
      <c r="I1174">
        <v>199900</v>
      </c>
      <c r="J1174">
        <v>179900</v>
      </c>
      <c r="K1174">
        <v>222910</v>
      </c>
      <c r="L1174">
        <v>5</v>
      </c>
      <c r="M1174">
        <v>1114550</v>
      </c>
      <c r="N1174" s="19">
        <v>1013227.2727272727</v>
      </c>
      <c r="O1174" s="19">
        <v>1013227.2727272727</v>
      </c>
      <c r="P1174" t="str">
        <f t="shared" si="26"/>
        <v>Ninja Heated</v>
      </c>
      <c r="Q1174" t="str">
        <f t="shared" si="27"/>
        <v>Airfry</v>
      </c>
    </row>
    <row r="1175" spans="1:17" x14ac:dyDescent="0.35">
      <c r="A1175" t="str">
        <f>_xlfn.XLOOKUP(B1175,Mapping!C:C,Mapping!D:D)</f>
        <v>other Online malls</v>
      </c>
      <c r="B1175" t="s">
        <v>341</v>
      </c>
      <c r="C1175" t="s">
        <v>170</v>
      </c>
      <c r="D1175" s="21">
        <v>46244</v>
      </c>
      <c r="E1175" s="21">
        <v>46252</v>
      </c>
      <c r="F1175">
        <v>8</v>
      </c>
      <c r="G1175" t="s">
        <v>106</v>
      </c>
      <c r="H1175">
        <v>399900</v>
      </c>
      <c r="I1175">
        <v>349900</v>
      </c>
      <c r="J1175">
        <v>299900</v>
      </c>
      <c r="K1175">
        <v>392910</v>
      </c>
      <c r="L1175">
        <v>5</v>
      </c>
      <c r="M1175">
        <v>1964550</v>
      </c>
      <c r="N1175" s="19">
        <v>1785954.5454545454</v>
      </c>
      <c r="O1175" s="19">
        <v>1785954.5454545454</v>
      </c>
      <c r="P1175" t="str">
        <f t="shared" si="26"/>
        <v>Ninja Heated</v>
      </c>
      <c r="Q1175" t="str">
        <f t="shared" si="27"/>
        <v>Combi</v>
      </c>
    </row>
    <row r="1176" spans="1:17" x14ac:dyDescent="0.35">
      <c r="A1176" t="str">
        <f>_xlfn.XLOOKUP(B1176,Mapping!C:C,Mapping!D:D)</f>
        <v>other Online malls</v>
      </c>
      <c r="B1176" t="s">
        <v>341</v>
      </c>
      <c r="C1176" t="s">
        <v>170</v>
      </c>
      <c r="D1176" s="21">
        <v>46244</v>
      </c>
      <c r="E1176" s="21">
        <v>46252</v>
      </c>
      <c r="F1176">
        <v>8</v>
      </c>
      <c r="G1176" t="s">
        <v>97</v>
      </c>
      <c r="H1176">
        <v>349900</v>
      </c>
      <c r="I1176">
        <v>299900</v>
      </c>
      <c r="J1176">
        <v>249900</v>
      </c>
      <c r="K1176">
        <v>299910</v>
      </c>
      <c r="L1176">
        <v>5</v>
      </c>
      <c r="M1176">
        <v>1499550</v>
      </c>
      <c r="N1176" s="19">
        <v>1363227.2727272727</v>
      </c>
      <c r="O1176" s="19">
        <v>1363227.2727272727</v>
      </c>
      <c r="P1176" t="str">
        <f t="shared" si="26"/>
        <v>Ninja Heated</v>
      </c>
      <c r="Q1176" t="str">
        <f t="shared" si="27"/>
        <v>Grill</v>
      </c>
    </row>
    <row r="1177" spans="1:17" x14ac:dyDescent="0.35">
      <c r="A1177" t="str">
        <f>_xlfn.XLOOKUP(B1177,Mapping!C:C,Mapping!D:D)</f>
        <v>other Online malls</v>
      </c>
      <c r="B1177" t="s">
        <v>341</v>
      </c>
      <c r="C1177" t="s">
        <v>170</v>
      </c>
      <c r="D1177" s="21">
        <v>46244</v>
      </c>
      <c r="E1177" s="21">
        <v>46252</v>
      </c>
      <c r="F1177">
        <v>8</v>
      </c>
      <c r="G1177" t="s">
        <v>95</v>
      </c>
      <c r="H1177">
        <v>79900</v>
      </c>
      <c r="I1177">
        <v>54900</v>
      </c>
      <c r="J1177">
        <v>54900</v>
      </c>
      <c r="K1177">
        <v>72910</v>
      </c>
      <c r="L1177">
        <v>5</v>
      </c>
      <c r="M1177">
        <v>364550</v>
      </c>
      <c r="N1177" s="19">
        <v>331409.09090909088</v>
      </c>
      <c r="O1177" s="19">
        <v>331409.09090909088</v>
      </c>
      <c r="P1177" t="str">
        <f t="shared" si="26"/>
        <v>Ninja Motorized</v>
      </c>
      <c r="Q1177" t="str">
        <f t="shared" si="27"/>
        <v>Food process</v>
      </c>
    </row>
    <row r="1178" spans="1:17" x14ac:dyDescent="0.35">
      <c r="A1178" t="str">
        <f>_xlfn.XLOOKUP(B1178,Mapping!C:C,Mapping!D:D)</f>
        <v>other Online malls</v>
      </c>
      <c r="B1178" t="s">
        <v>341</v>
      </c>
      <c r="C1178" t="s">
        <v>170</v>
      </c>
      <c r="D1178" s="21">
        <v>46244</v>
      </c>
      <c r="E1178" s="21">
        <v>46252</v>
      </c>
      <c r="F1178">
        <v>8</v>
      </c>
      <c r="G1178" t="s">
        <v>40</v>
      </c>
      <c r="H1178">
        <v>349900</v>
      </c>
      <c r="I1178">
        <v>319900</v>
      </c>
      <c r="J1178">
        <v>299900</v>
      </c>
      <c r="K1178">
        <v>319910</v>
      </c>
      <c r="L1178">
        <v>5</v>
      </c>
      <c r="M1178">
        <v>1599550</v>
      </c>
      <c r="N1178" s="19">
        <v>1454136.3636363635</v>
      </c>
      <c r="O1178" s="19">
        <v>1454136.3636363635</v>
      </c>
      <c r="P1178" t="str">
        <f t="shared" si="26"/>
        <v>Ninja Motorized</v>
      </c>
      <c r="Q1178" t="str">
        <f t="shared" si="27"/>
        <v>Hot</v>
      </c>
    </row>
    <row r="1179" spans="1:17" x14ac:dyDescent="0.35">
      <c r="A1179" t="str">
        <f>_xlfn.XLOOKUP(B1179,Mapping!C:C,Mapping!D:D)</f>
        <v>other Online malls</v>
      </c>
      <c r="B1179" t="s">
        <v>341</v>
      </c>
      <c r="C1179" t="s">
        <v>170</v>
      </c>
      <c r="D1179" s="21">
        <v>46244</v>
      </c>
      <c r="E1179" s="21">
        <v>46252</v>
      </c>
      <c r="F1179">
        <v>8</v>
      </c>
      <c r="G1179" t="s">
        <v>68</v>
      </c>
      <c r="H1179">
        <v>169900</v>
      </c>
      <c r="I1179">
        <v>169900</v>
      </c>
      <c r="J1179">
        <v>149900</v>
      </c>
      <c r="K1179">
        <v>159910</v>
      </c>
      <c r="L1179">
        <v>5</v>
      </c>
      <c r="M1179">
        <v>799550</v>
      </c>
      <c r="N1179" s="19">
        <v>726863.63636363635</v>
      </c>
      <c r="O1179" s="19">
        <v>726863.63636363635</v>
      </c>
      <c r="P1179" t="str">
        <f t="shared" si="26"/>
        <v>Ninja Motorized</v>
      </c>
      <c r="Q1179" t="str">
        <f t="shared" si="27"/>
        <v>Trad</v>
      </c>
    </row>
    <row r="1180" spans="1:17" x14ac:dyDescent="0.35">
      <c r="A1180" t="str">
        <f>_xlfn.XLOOKUP(B1180,Mapping!C:C,Mapping!D:D)</f>
        <v>other Online malls</v>
      </c>
      <c r="B1180" t="s">
        <v>341</v>
      </c>
      <c r="C1180" t="s">
        <v>170</v>
      </c>
      <c r="D1180" s="21">
        <v>46244</v>
      </c>
      <c r="E1180" s="21">
        <v>46252</v>
      </c>
      <c r="F1180">
        <v>8</v>
      </c>
      <c r="G1180" t="s">
        <v>69</v>
      </c>
      <c r="H1180">
        <v>219900</v>
      </c>
      <c r="I1180">
        <v>219900</v>
      </c>
      <c r="J1180">
        <v>199900</v>
      </c>
      <c r="K1180">
        <v>209910</v>
      </c>
      <c r="L1180">
        <v>5</v>
      </c>
      <c r="M1180">
        <v>1049550</v>
      </c>
      <c r="N1180" s="19">
        <v>954136.36363636353</v>
      </c>
      <c r="O1180" s="19">
        <v>954136.36363636353</v>
      </c>
      <c r="P1180" t="str">
        <f t="shared" si="26"/>
        <v>Ninja Motorized</v>
      </c>
      <c r="Q1180" t="str">
        <f t="shared" si="27"/>
        <v>Trad</v>
      </c>
    </row>
    <row r="1181" spans="1:17" x14ac:dyDescent="0.35">
      <c r="A1181" t="str">
        <f>_xlfn.XLOOKUP(B1181,Mapping!C:C,Mapping!D:D)</f>
        <v>other Online malls</v>
      </c>
      <c r="B1181" t="s">
        <v>341</v>
      </c>
      <c r="C1181" t="s">
        <v>170</v>
      </c>
      <c r="D1181" s="21">
        <v>46244</v>
      </c>
      <c r="E1181" s="21">
        <v>46252</v>
      </c>
      <c r="F1181">
        <v>8</v>
      </c>
      <c r="G1181" t="s">
        <v>110</v>
      </c>
      <c r="H1181">
        <v>129900</v>
      </c>
      <c r="I1181">
        <v>114900</v>
      </c>
      <c r="J1181">
        <v>99900</v>
      </c>
      <c r="K1181">
        <v>122910</v>
      </c>
      <c r="L1181">
        <v>5</v>
      </c>
      <c r="M1181">
        <v>614550</v>
      </c>
      <c r="N1181" s="19">
        <v>558681.81818181812</v>
      </c>
      <c r="O1181" s="19">
        <v>558681.81818181812</v>
      </c>
      <c r="P1181" t="str">
        <f t="shared" si="26"/>
        <v>Ninja Motorized</v>
      </c>
      <c r="Q1181" t="str">
        <f t="shared" si="27"/>
        <v>Trad</v>
      </c>
    </row>
    <row r="1182" spans="1:17" x14ac:dyDescent="0.35">
      <c r="A1182" t="str">
        <f>_xlfn.XLOOKUP(B1182,Mapping!C:C,Mapping!D:D)</f>
        <v>other Online malls</v>
      </c>
      <c r="B1182" t="s">
        <v>341</v>
      </c>
      <c r="C1182" t="s">
        <v>170</v>
      </c>
      <c r="D1182" s="21">
        <v>46244</v>
      </c>
      <c r="E1182" s="21">
        <v>46252</v>
      </c>
      <c r="F1182">
        <v>8</v>
      </c>
      <c r="G1182" t="s">
        <v>27</v>
      </c>
      <c r="H1182">
        <v>329900</v>
      </c>
      <c r="I1182">
        <v>299900</v>
      </c>
      <c r="J1182">
        <v>279900</v>
      </c>
      <c r="K1182">
        <v>322910</v>
      </c>
      <c r="L1182">
        <v>5</v>
      </c>
      <c r="M1182">
        <v>1614550</v>
      </c>
      <c r="N1182" s="19">
        <v>1467772.7272727271</v>
      </c>
      <c r="O1182" s="19">
        <v>1467772.7272727271</v>
      </c>
      <c r="P1182" t="str">
        <f t="shared" si="26"/>
        <v>Ninja Motorized</v>
      </c>
      <c r="Q1182" t="str">
        <f t="shared" si="27"/>
        <v>Trad</v>
      </c>
    </row>
    <row r="1183" spans="1:17" x14ac:dyDescent="0.35">
      <c r="A1183" t="str">
        <f>_xlfn.XLOOKUP(B1183,Mapping!C:C,Mapping!D:D)</f>
        <v>other Online malls</v>
      </c>
      <c r="B1183" t="s">
        <v>341</v>
      </c>
      <c r="C1183" t="s">
        <v>170</v>
      </c>
      <c r="D1183" s="21">
        <v>46244</v>
      </c>
      <c r="E1183" s="21">
        <v>46252</v>
      </c>
      <c r="F1183">
        <v>8</v>
      </c>
      <c r="G1183" t="s">
        <v>23</v>
      </c>
      <c r="H1183">
        <v>899000</v>
      </c>
      <c r="I1183">
        <v>849000</v>
      </c>
      <c r="J1183">
        <v>749000</v>
      </c>
      <c r="K1183">
        <v>892010</v>
      </c>
      <c r="L1183">
        <v>5</v>
      </c>
      <c r="M1183">
        <v>4460050</v>
      </c>
      <c r="N1183" s="19">
        <v>4054590.9090909087</v>
      </c>
      <c r="O1183" s="19">
        <v>4054590.9090909087</v>
      </c>
      <c r="P1183" t="str">
        <f t="shared" si="26"/>
        <v>Shark Floorcare</v>
      </c>
      <c r="Q1183" t="str">
        <f t="shared" si="27"/>
        <v>Kion</v>
      </c>
    </row>
    <row r="1184" spans="1:17" x14ac:dyDescent="0.35">
      <c r="A1184" t="str">
        <f>_xlfn.XLOOKUP(B1184,Mapping!C:C,Mapping!D:D)</f>
        <v>other Online malls</v>
      </c>
      <c r="B1184" t="s">
        <v>341</v>
      </c>
      <c r="C1184" t="s">
        <v>170</v>
      </c>
      <c r="D1184" s="21">
        <v>46244</v>
      </c>
      <c r="E1184" s="21">
        <v>46252</v>
      </c>
      <c r="F1184">
        <v>8</v>
      </c>
      <c r="G1184" t="s">
        <v>96</v>
      </c>
      <c r="H1184">
        <v>139900</v>
      </c>
      <c r="I1184">
        <v>119900</v>
      </c>
      <c r="J1184">
        <v>99900</v>
      </c>
      <c r="K1184">
        <v>119910</v>
      </c>
      <c r="L1184">
        <v>5</v>
      </c>
      <c r="M1184">
        <v>599550</v>
      </c>
      <c r="N1184" s="19">
        <v>545045.45454545447</v>
      </c>
      <c r="O1184" s="19">
        <v>545045.45454545447</v>
      </c>
      <c r="P1184" t="str">
        <f t="shared" si="26"/>
        <v>Shark Floorcare</v>
      </c>
      <c r="Q1184" t="str">
        <f t="shared" si="27"/>
        <v>WV</v>
      </c>
    </row>
    <row r="1185" spans="1:17" x14ac:dyDescent="0.35">
      <c r="A1185" t="str">
        <f>_xlfn.XLOOKUP(B1185,Mapping!C:C,Mapping!D:D)</f>
        <v>other Online malls</v>
      </c>
      <c r="B1185" t="s">
        <v>341</v>
      </c>
      <c r="C1185" t="s">
        <v>170</v>
      </c>
      <c r="D1185" s="21">
        <v>46244</v>
      </c>
      <c r="E1185" s="21">
        <v>46252</v>
      </c>
      <c r="F1185">
        <v>8</v>
      </c>
      <c r="G1185" t="s">
        <v>25</v>
      </c>
      <c r="H1185">
        <v>859000</v>
      </c>
      <c r="I1185">
        <v>749000</v>
      </c>
      <c r="J1185">
        <v>649000</v>
      </c>
      <c r="K1185">
        <v>749010</v>
      </c>
      <c r="L1185">
        <v>5</v>
      </c>
      <c r="M1185">
        <v>3745050</v>
      </c>
      <c r="N1185" s="19">
        <v>3404590.9090909087</v>
      </c>
      <c r="O1185" s="19">
        <v>3404590.9090909087</v>
      </c>
      <c r="P1185" t="str">
        <f t="shared" si="26"/>
        <v>Shark Floorcare</v>
      </c>
      <c r="Q1185" t="str">
        <f t="shared" si="27"/>
        <v>FW</v>
      </c>
    </row>
    <row r="1186" spans="1:17" x14ac:dyDescent="0.35">
      <c r="A1186" t="str">
        <f>_xlfn.XLOOKUP(B1186,Mapping!C:C,Mapping!D:D)</f>
        <v>other Online malls</v>
      </c>
      <c r="B1186" t="s">
        <v>341</v>
      </c>
      <c r="C1186" t="s">
        <v>170</v>
      </c>
      <c r="D1186" s="21">
        <v>46244</v>
      </c>
      <c r="E1186" s="21">
        <v>46252</v>
      </c>
      <c r="F1186">
        <v>8</v>
      </c>
      <c r="G1186" t="s">
        <v>35</v>
      </c>
      <c r="H1186">
        <v>599000</v>
      </c>
      <c r="I1186">
        <v>549000</v>
      </c>
      <c r="J1186">
        <v>499000</v>
      </c>
      <c r="K1186">
        <v>592010</v>
      </c>
      <c r="L1186">
        <v>5</v>
      </c>
      <c r="M1186">
        <v>2960050</v>
      </c>
      <c r="N1186" s="19">
        <v>2690954.5454545454</v>
      </c>
      <c r="O1186" s="19">
        <v>2690954.5454545454</v>
      </c>
      <c r="P1186" t="str">
        <f t="shared" si="26"/>
        <v>Shark Floorcare</v>
      </c>
      <c r="Q1186" t="str">
        <f t="shared" si="27"/>
        <v>FW</v>
      </c>
    </row>
    <row r="1187" spans="1:17" x14ac:dyDescent="0.35">
      <c r="A1187" t="str">
        <f>_xlfn.XLOOKUP(B1187,Mapping!C:C,Mapping!D:D)</f>
        <v>other Online malls</v>
      </c>
      <c r="B1187" t="s">
        <v>341</v>
      </c>
      <c r="C1187" t="s">
        <v>170</v>
      </c>
      <c r="D1187" s="21">
        <v>46244</v>
      </c>
      <c r="E1187" s="21">
        <v>46252</v>
      </c>
      <c r="F1187">
        <v>8</v>
      </c>
      <c r="G1187" t="s">
        <v>112</v>
      </c>
      <c r="H1187">
        <v>799000</v>
      </c>
      <c r="I1187">
        <v>599000</v>
      </c>
      <c r="J1187">
        <v>599000</v>
      </c>
      <c r="K1187">
        <v>792010</v>
      </c>
      <c r="L1187">
        <v>5</v>
      </c>
      <c r="M1187">
        <v>3960050</v>
      </c>
      <c r="N1187" s="19">
        <v>3600045.4545454541</v>
      </c>
      <c r="O1187" s="19">
        <v>3600045.4545454541</v>
      </c>
      <c r="P1187" t="str">
        <f t="shared" si="26"/>
        <v>Shark Floorcare</v>
      </c>
      <c r="Q1187" t="str">
        <f t="shared" si="27"/>
        <v>CS</v>
      </c>
    </row>
    <row r="1188" spans="1:17" x14ac:dyDescent="0.35">
      <c r="A1188" t="str">
        <f>_xlfn.XLOOKUP(B1188,Mapping!C:C,Mapping!D:D)</f>
        <v>other Online malls</v>
      </c>
      <c r="B1188" t="s">
        <v>341</v>
      </c>
      <c r="C1188" t="s">
        <v>170</v>
      </c>
      <c r="D1188" s="21">
        <v>46244</v>
      </c>
      <c r="E1188" s="21">
        <v>46252</v>
      </c>
      <c r="F1188">
        <v>8</v>
      </c>
      <c r="G1188" t="s">
        <v>104</v>
      </c>
      <c r="H1188">
        <v>799000</v>
      </c>
      <c r="I1188">
        <v>699000</v>
      </c>
      <c r="J1188">
        <v>599000</v>
      </c>
      <c r="K1188">
        <v>792010</v>
      </c>
      <c r="L1188">
        <v>5</v>
      </c>
      <c r="M1188">
        <v>3960050</v>
      </c>
      <c r="N1188" s="19">
        <v>3600045.4545454541</v>
      </c>
      <c r="O1188" s="19">
        <v>3600045.4545454541</v>
      </c>
      <c r="P1188" t="str">
        <f t="shared" si="26"/>
        <v>Shark Floorcare</v>
      </c>
      <c r="Q1188" t="str">
        <f t="shared" si="27"/>
        <v>FW</v>
      </c>
    </row>
    <row r="1189" spans="1:17" x14ac:dyDescent="0.35">
      <c r="A1189" t="str">
        <f>_xlfn.XLOOKUP(B1189,Mapping!C:C,Mapping!D:D)</f>
        <v>other Online malls</v>
      </c>
      <c r="B1189" t="s">
        <v>341</v>
      </c>
      <c r="C1189" t="s">
        <v>170</v>
      </c>
      <c r="D1189" s="21">
        <v>46244</v>
      </c>
      <c r="E1189" s="21">
        <v>46252</v>
      </c>
      <c r="F1189">
        <v>8</v>
      </c>
      <c r="G1189" t="s">
        <v>107</v>
      </c>
      <c r="H1189">
        <v>849000</v>
      </c>
      <c r="I1189">
        <v>749000</v>
      </c>
      <c r="J1189">
        <v>699000</v>
      </c>
      <c r="K1189">
        <v>749010</v>
      </c>
      <c r="L1189">
        <v>5</v>
      </c>
      <c r="M1189">
        <v>3745050</v>
      </c>
      <c r="N1189" s="19">
        <v>3404590.9090909087</v>
      </c>
      <c r="O1189" s="19">
        <v>3404590.9090909087</v>
      </c>
      <c r="P1189" t="str">
        <f t="shared" si="26"/>
        <v>Shark Floorcare</v>
      </c>
      <c r="Q1189" t="str">
        <f t="shared" si="27"/>
        <v>Kion</v>
      </c>
    </row>
    <row r="1190" spans="1:17" x14ac:dyDescent="0.35">
      <c r="A1190" t="str">
        <f>_xlfn.XLOOKUP(B1190,Mapping!C:C,Mapping!D:D)</f>
        <v>other Online malls</v>
      </c>
      <c r="B1190" t="s">
        <v>341</v>
      </c>
      <c r="C1190" t="s">
        <v>170</v>
      </c>
      <c r="D1190" s="21">
        <v>46244</v>
      </c>
      <c r="E1190" s="21">
        <v>46252</v>
      </c>
      <c r="F1190">
        <v>8</v>
      </c>
      <c r="G1190" t="s">
        <v>46</v>
      </c>
      <c r="H1190">
        <v>699000</v>
      </c>
      <c r="I1190">
        <v>499000</v>
      </c>
      <c r="J1190">
        <v>499000</v>
      </c>
      <c r="K1190">
        <v>692010</v>
      </c>
      <c r="L1190">
        <v>5</v>
      </c>
      <c r="M1190">
        <v>3460050</v>
      </c>
      <c r="N1190" s="19">
        <v>3145500</v>
      </c>
      <c r="O1190" s="19">
        <v>3145500</v>
      </c>
      <c r="P1190" t="str">
        <f t="shared" si="26"/>
        <v>Shark Floorcare</v>
      </c>
      <c r="Q1190" t="str">
        <f t="shared" si="27"/>
        <v>Kion</v>
      </c>
    </row>
    <row r="1191" spans="1:17" x14ac:dyDescent="0.35">
      <c r="A1191" t="str">
        <f>_xlfn.XLOOKUP(B1191,Mapping!C:C,Mapping!D:D)</f>
        <v>other Online malls</v>
      </c>
      <c r="B1191" t="s">
        <v>294</v>
      </c>
      <c r="C1191" t="s">
        <v>342</v>
      </c>
      <c r="D1191" s="21">
        <v>46251</v>
      </c>
      <c r="E1191" s="21">
        <v>46255</v>
      </c>
      <c r="F1191">
        <v>5</v>
      </c>
      <c r="G1191" t="s">
        <v>26</v>
      </c>
      <c r="H1191">
        <v>899000</v>
      </c>
      <c r="I1191">
        <v>749000</v>
      </c>
      <c r="J1191">
        <v>699000</v>
      </c>
      <c r="K1191">
        <v>709000</v>
      </c>
      <c r="L1191">
        <v>40</v>
      </c>
      <c r="M1191">
        <v>28360000</v>
      </c>
      <c r="N1191" s="19">
        <v>25781818.18181818</v>
      </c>
      <c r="O1191" s="19">
        <v>25781818.18181818</v>
      </c>
      <c r="P1191" t="str">
        <f t="shared" si="26"/>
        <v>Shark Floorcare</v>
      </c>
      <c r="Q1191" t="str">
        <f t="shared" si="27"/>
        <v>FW</v>
      </c>
    </row>
    <row r="1192" spans="1:17" x14ac:dyDescent="0.35">
      <c r="A1192" t="str">
        <f>_xlfn.XLOOKUP(B1192,Mapping!C:C,Mapping!D:D)</f>
        <v>other Online malls</v>
      </c>
      <c r="B1192" t="s">
        <v>294</v>
      </c>
      <c r="C1192" t="s">
        <v>342</v>
      </c>
      <c r="D1192" s="21">
        <v>46251</v>
      </c>
      <c r="E1192" s="21">
        <v>46255</v>
      </c>
      <c r="F1192">
        <v>5</v>
      </c>
      <c r="G1192" t="s">
        <v>31</v>
      </c>
      <c r="H1192">
        <v>849000</v>
      </c>
      <c r="I1192">
        <v>699000</v>
      </c>
      <c r="J1192">
        <v>649000</v>
      </c>
      <c r="K1192">
        <v>659000</v>
      </c>
      <c r="L1192">
        <v>40</v>
      </c>
      <c r="M1192">
        <v>26360000</v>
      </c>
      <c r="N1192" s="19">
        <v>23963636.363636363</v>
      </c>
      <c r="O1192" s="19">
        <v>23963636.363636363</v>
      </c>
      <c r="P1192" t="str">
        <f t="shared" si="26"/>
        <v>Shark Floorcare</v>
      </c>
      <c r="Q1192" t="str">
        <f t="shared" si="27"/>
        <v>FW</v>
      </c>
    </row>
    <row r="1193" spans="1:17" x14ac:dyDescent="0.35">
      <c r="A1193" t="str">
        <f>_xlfn.XLOOKUP(B1193,Mapping!C:C,Mapping!D:D)</f>
        <v>other Online malls</v>
      </c>
      <c r="B1193" t="s">
        <v>294</v>
      </c>
      <c r="C1193" t="s">
        <v>342</v>
      </c>
      <c r="D1193" s="21">
        <v>46251</v>
      </c>
      <c r="E1193" s="21">
        <v>46255</v>
      </c>
      <c r="F1193">
        <v>5</v>
      </c>
      <c r="G1193" t="s">
        <v>112</v>
      </c>
      <c r="H1193">
        <v>799000</v>
      </c>
      <c r="I1193">
        <v>599000</v>
      </c>
      <c r="J1193">
        <v>599000</v>
      </c>
      <c r="K1193">
        <v>549000</v>
      </c>
      <c r="L1193">
        <v>20</v>
      </c>
      <c r="M1193">
        <v>10980000</v>
      </c>
      <c r="N1193" s="19">
        <v>9981818.1818181816</v>
      </c>
      <c r="O1193" s="19">
        <v>9981818.1818181816</v>
      </c>
      <c r="P1193" t="str">
        <f t="shared" si="26"/>
        <v>Shark Floorcare</v>
      </c>
      <c r="Q1193" t="str">
        <f t="shared" si="27"/>
        <v>CS</v>
      </c>
    </row>
    <row r="1194" spans="1:17" x14ac:dyDescent="0.35">
      <c r="A1194" t="str">
        <f>_xlfn.XLOOKUP(B1194,Mapping!C:C,Mapping!D:D)</f>
        <v>other Online malls</v>
      </c>
      <c r="B1194" t="s">
        <v>294</v>
      </c>
      <c r="C1194" t="s">
        <v>342</v>
      </c>
      <c r="D1194" s="21">
        <v>46251</v>
      </c>
      <c r="E1194" s="21">
        <v>46255</v>
      </c>
      <c r="F1194">
        <v>5</v>
      </c>
      <c r="G1194" t="s">
        <v>88</v>
      </c>
      <c r="H1194">
        <v>449000</v>
      </c>
      <c r="I1194">
        <v>399000</v>
      </c>
      <c r="J1194">
        <v>0</v>
      </c>
      <c r="K1194">
        <v>349000</v>
      </c>
      <c r="L1194">
        <v>20</v>
      </c>
      <c r="M1194">
        <v>6980000</v>
      </c>
      <c r="N1194" s="19">
        <v>6345454.5454545449</v>
      </c>
      <c r="O1194" s="19">
        <v>6345454.5454545449</v>
      </c>
      <c r="P1194" t="str">
        <f t="shared" si="26"/>
        <v>Shark Floorcare</v>
      </c>
      <c r="Q1194" t="str">
        <f t="shared" si="27"/>
        <v>CS</v>
      </c>
    </row>
    <row r="1195" spans="1:17" x14ac:dyDescent="0.35">
      <c r="A1195" t="str">
        <f>_xlfn.XLOOKUP(B1195,Mapping!C:C,Mapping!D:D)</f>
        <v>other Online malls</v>
      </c>
      <c r="B1195" t="s">
        <v>294</v>
      </c>
      <c r="C1195" t="s">
        <v>342</v>
      </c>
      <c r="D1195" s="21">
        <v>46251</v>
      </c>
      <c r="E1195" s="21">
        <v>46255</v>
      </c>
      <c r="F1195">
        <v>5</v>
      </c>
      <c r="G1195" t="s">
        <v>54</v>
      </c>
      <c r="H1195">
        <v>699000</v>
      </c>
      <c r="I1195">
        <v>599000</v>
      </c>
      <c r="J1195">
        <v>499000</v>
      </c>
      <c r="K1195">
        <v>449000</v>
      </c>
      <c r="L1195">
        <v>20</v>
      </c>
      <c r="M1195">
        <v>8980000</v>
      </c>
      <c r="N1195" s="19">
        <v>8163636.3636363633</v>
      </c>
      <c r="O1195" s="19">
        <v>8163636.3636363633</v>
      </c>
      <c r="P1195" t="str">
        <f t="shared" si="26"/>
        <v>Shark Floorcare</v>
      </c>
      <c r="Q1195" t="str">
        <f t="shared" si="27"/>
        <v>FW</v>
      </c>
    </row>
    <row r="1196" spans="1:17" x14ac:dyDescent="0.35">
      <c r="A1196" t="str">
        <f>_xlfn.XLOOKUP(B1196,Mapping!C:C,Mapping!D:D)</f>
        <v>other Online malls</v>
      </c>
      <c r="B1196" t="s">
        <v>294</v>
      </c>
      <c r="C1196" t="s">
        <v>342</v>
      </c>
      <c r="D1196" s="21">
        <v>46251</v>
      </c>
      <c r="E1196" s="21">
        <v>46255</v>
      </c>
      <c r="F1196">
        <v>5</v>
      </c>
      <c r="G1196" t="s">
        <v>25</v>
      </c>
      <c r="H1196">
        <v>859000</v>
      </c>
      <c r="I1196">
        <v>749000</v>
      </c>
      <c r="J1196">
        <v>649000</v>
      </c>
      <c r="K1196">
        <v>699000</v>
      </c>
      <c r="L1196">
        <v>5</v>
      </c>
      <c r="M1196">
        <v>3495000</v>
      </c>
      <c r="N1196" s="19">
        <v>3177272.7272727271</v>
      </c>
      <c r="O1196" s="19">
        <v>3177272.7272727271</v>
      </c>
      <c r="P1196" t="str">
        <f t="shared" si="26"/>
        <v>Shark Floorcare</v>
      </c>
      <c r="Q1196" t="str">
        <f t="shared" si="27"/>
        <v>FW</v>
      </c>
    </row>
    <row r="1197" spans="1:17" x14ac:dyDescent="0.35">
      <c r="A1197" t="str">
        <f>_xlfn.XLOOKUP(B1197,Mapping!C:C,Mapping!D:D)</f>
        <v>other Online malls</v>
      </c>
      <c r="B1197" t="s">
        <v>294</v>
      </c>
      <c r="C1197" t="s">
        <v>342</v>
      </c>
      <c r="D1197" s="21">
        <v>46251</v>
      </c>
      <c r="E1197" s="21">
        <v>46255</v>
      </c>
      <c r="F1197">
        <v>5</v>
      </c>
      <c r="G1197" t="s">
        <v>35</v>
      </c>
      <c r="H1197">
        <v>599000</v>
      </c>
      <c r="I1197">
        <v>549000</v>
      </c>
      <c r="J1197">
        <v>499000</v>
      </c>
      <c r="K1197">
        <v>579000</v>
      </c>
      <c r="L1197">
        <v>5</v>
      </c>
      <c r="M1197">
        <v>2895000</v>
      </c>
      <c r="N1197" s="19">
        <v>2631818.1818181816</v>
      </c>
      <c r="O1197" s="19">
        <v>2631818.1818181816</v>
      </c>
      <c r="P1197" t="str">
        <f t="shared" si="26"/>
        <v>Shark Floorcare</v>
      </c>
      <c r="Q1197" t="str">
        <f t="shared" si="27"/>
        <v>FW</v>
      </c>
    </row>
    <row r="1198" spans="1:17" x14ac:dyDescent="0.35">
      <c r="A1198" t="str">
        <f>_xlfn.XLOOKUP(B1198,Mapping!C:C,Mapping!D:D)</f>
        <v>other Online malls</v>
      </c>
      <c r="B1198" t="s">
        <v>294</v>
      </c>
      <c r="C1198" t="s">
        <v>342</v>
      </c>
      <c r="D1198" s="21">
        <v>46251</v>
      </c>
      <c r="E1198" s="21">
        <v>46255</v>
      </c>
      <c r="F1198">
        <v>5</v>
      </c>
      <c r="G1198" t="s">
        <v>107</v>
      </c>
      <c r="H1198">
        <v>849000</v>
      </c>
      <c r="I1198">
        <v>749000</v>
      </c>
      <c r="J1198">
        <v>699000</v>
      </c>
      <c r="K1198">
        <v>749000</v>
      </c>
      <c r="L1198">
        <v>5</v>
      </c>
      <c r="M1198">
        <v>3745000</v>
      </c>
      <c r="N1198" s="19">
        <v>3404545.4545454541</v>
      </c>
      <c r="O1198" s="19">
        <v>3404545.4545454541</v>
      </c>
      <c r="P1198" t="str">
        <f t="shared" si="26"/>
        <v>Shark Floorcare</v>
      </c>
      <c r="Q1198" t="str">
        <f t="shared" si="27"/>
        <v>Kion</v>
      </c>
    </row>
    <row r="1199" spans="1:17" x14ac:dyDescent="0.35">
      <c r="A1199" t="str">
        <f>_xlfn.XLOOKUP(B1199,Mapping!C:C,Mapping!D:D)</f>
        <v>other Online malls</v>
      </c>
      <c r="B1199" t="s">
        <v>294</v>
      </c>
      <c r="C1199" t="s">
        <v>342</v>
      </c>
      <c r="D1199" s="21">
        <v>46251</v>
      </c>
      <c r="E1199" s="21">
        <v>46255</v>
      </c>
      <c r="F1199">
        <v>5</v>
      </c>
      <c r="G1199" t="s">
        <v>23</v>
      </c>
      <c r="H1199">
        <v>899000</v>
      </c>
      <c r="I1199">
        <v>849000</v>
      </c>
      <c r="J1199">
        <v>749000</v>
      </c>
      <c r="K1199">
        <v>899000</v>
      </c>
      <c r="L1199">
        <v>5</v>
      </c>
      <c r="M1199">
        <v>4495000</v>
      </c>
      <c r="N1199" s="19">
        <v>4086363.6363636358</v>
      </c>
      <c r="O1199" s="19">
        <v>4086363.6363636358</v>
      </c>
      <c r="P1199" t="str">
        <f t="shared" si="26"/>
        <v>Shark Floorcare</v>
      </c>
      <c r="Q1199" t="str">
        <f t="shared" si="27"/>
        <v>Kion</v>
      </c>
    </row>
    <row r="1200" spans="1:17" x14ac:dyDescent="0.35">
      <c r="A1200" t="str">
        <f>_xlfn.XLOOKUP(B1200,Mapping!C:C,Mapping!D:D)</f>
        <v>other Online malls</v>
      </c>
      <c r="B1200" t="s">
        <v>294</v>
      </c>
      <c r="C1200" t="s">
        <v>342</v>
      </c>
      <c r="D1200" s="21">
        <v>46251</v>
      </c>
      <c r="E1200" s="21">
        <v>46255</v>
      </c>
      <c r="F1200">
        <v>5</v>
      </c>
      <c r="G1200" t="s">
        <v>108</v>
      </c>
      <c r="H1200">
        <v>199900</v>
      </c>
      <c r="I1200">
        <v>179900</v>
      </c>
      <c r="J1200">
        <v>169900</v>
      </c>
      <c r="K1200">
        <v>179900</v>
      </c>
      <c r="L1200">
        <v>5</v>
      </c>
      <c r="M1200">
        <v>899500</v>
      </c>
      <c r="N1200" s="19">
        <v>817727.27272727271</v>
      </c>
      <c r="O1200" s="19">
        <v>817727.27272727271</v>
      </c>
      <c r="P1200" t="str">
        <f t="shared" si="26"/>
        <v>Shark Floorcare</v>
      </c>
      <c r="Q1200" t="str">
        <f t="shared" si="27"/>
        <v>WV</v>
      </c>
    </row>
    <row r="1201" spans="1:17" x14ac:dyDescent="0.35">
      <c r="A1201" t="str">
        <f>_xlfn.XLOOKUP(B1201,Mapping!C:C,Mapping!D:D)</f>
        <v>other Online malls</v>
      </c>
      <c r="B1201" t="s">
        <v>294</v>
      </c>
      <c r="C1201" t="s">
        <v>342</v>
      </c>
      <c r="D1201" s="21">
        <v>46251</v>
      </c>
      <c r="E1201" s="21">
        <v>46255</v>
      </c>
      <c r="F1201">
        <v>5</v>
      </c>
      <c r="G1201" t="s">
        <v>96</v>
      </c>
      <c r="H1201">
        <v>139900</v>
      </c>
      <c r="I1201">
        <v>119900</v>
      </c>
      <c r="J1201">
        <v>99900</v>
      </c>
      <c r="K1201">
        <v>119900</v>
      </c>
      <c r="L1201">
        <v>5</v>
      </c>
      <c r="M1201">
        <v>599500</v>
      </c>
      <c r="N1201" s="19">
        <v>544999.99999999988</v>
      </c>
      <c r="O1201" s="19">
        <v>544999.99999999988</v>
      </c>
      <c r="P1201" t="str">
        <f t="shared" si="26"/>
        <v>Shark Floorcare</v>
      </c>
      <c r="Q1201" t="str">
        <f t="shared" si="27"/>
        <v>WV</v>
      </c>
    </row>
    <row r="1202" spans="1:17" x14ac:dyDescent="0.35">
      <c r="A1202" t="str">
        <f>_xlfn.XLOOKUP(B1202,Mapping!C:C,Mapping!D:D)</f>
        <v>other Online malls</v>
      </c>
      <c r="B1202" t="s">
        <v>294</v>
      </c>
      <c r="C1202" t="s">
        <v>342</v>
      </c>
      <c r="D1202" s="21">
        <v>46251</v>
      </c>
      <c r="E1202" s="21">
        <v>46255</v>
      </c>
      <c r="F1202">
        <v>5</v>
      </c>
      <c r="G1202" t="s">
        <v>62</v>
      </c>
      <c r="H1202">
        <v>349900</v>
      </c>
      <c r="I1202">
        <v>319900</v>
      </c>
      <c r="J1202">
        <v>299900</v>
      </c>
      <c r="K1202">
        <v>349900</v>
      </c>
      <c r="L1202">
        <v>5</v>
      </c>
      <c r="M1202">
        <v>1749500</v>
      </c>
      <c r="N1202" s="19">
        <v>1590454.5454545454</v>
      </c>
      <c r="O1202" s="19">
        <v>1590454.5454545454</v>
      </c>
      <c r="P1202" t="str">
        <f t="shared" si="26"/>
        <v>Shark Floorcare</v>
      </c>
      <c r="Q1202" t="str">
        <f t="shared" si="27"/>
        <v>WV</v>
      </c>
    </row>
    <row r="1203" spans="1:17" x14ac:dyDescent="0.35">
      <c r="A1203" t="str">
        <f>_xlfn.XLOOKUP(B1203,Mapping!C:C,Mapping!D:D)</f>
        <v>other Online malls</v>
      </c>
      <c r="B1203" t="s">
        <v>294</v>
      </c>
      <c r="C1203" t="s">
        <v>342</v>
      </c>
      <c r="D1203" s="21">
        <v>46251</v>
      </c>
      <c r="E1203" s="21">
        <v>46255</v>
      </c>
      <c r="F1203">
        <v>5</v>
      </c>
      <c r="G1203" t="s">
        <v>104</v>
      </c>
      <c r="H1203">
        <v>799000</v>
      </c>
      <c r="I1203">
        <v>699000</v>
      </c>
      <c r="J1203">
        <v>599000</v>
      </c>
      <c r="K1203">
        <v>789000</v>
      </c>
      <c r="L1203">
        <v>5</v>
      </c>
      <c r="M1203">
        <v>3945000</v>
      </c>
      <c r="N1203" s="19">
        <v>3586363.6363636358</v>
      </c>
      <c r="O1203" s="19">
        <v>3586363.6363636358</v>
      </c>
      <c r="P1203" t="str">
        <f t="shared" si="26"/>
        <v>Shark Floorcare</v>
      </c>
      <c r="Q1203" t="str">
        <f t="shared" si="27"/>
        <v>FW</v>
      </c>
    </row>
    <row r="1204" spans="1:17" x14ac:dyDescent="0.35">
      <c r="A1204" t="str">
        <f>_xlfn.XLOOKUP(B1204,Mapping!C:C,Mapping!D:D)</f>
        <v>other Online malls</v>
      </c>
      <c r="B1204" t="s">
        <v>294</v>
      </c>
      <c r="C1204" t="s">
        <v>342</v>
      </c>
      <c r="D1204" s="21">
        <v>46251</v>
      </c>
      <c r="E1204" s="21">
        <v>46255</v>
      </c>
      <c r="F1204">
        <v>5</v>
      </c>
      <c r="G1204" t="s">
        <v>46</v>
      </c>
      <c r="H1204">
        <v>699000</v>
      </c>
      <c r="I1204">
        <v>499000</v>
      </c>
      <c r="J1204">
        <v>499000</v>
      </c>
      <c r="K1204">
        <v>599000</v>
      </c>
      <c r="L1204">
        <v>5</v>
      </c>
      <c r="M1204">
        <v>2995000</v>
      </c>
      <c r="N1204" s="19">
        <v>2722727.2727272725</v>
      </c>
      <c r="O1204" s="19">
        <v>2722727.2727272725</v>
      </c>
      <c r="P1204" t="str">
        <f t="shared" si="26"/>
        <v>Shark Floorcare</v>
      </c>
      <c r="Q1204" t="str">
        <f t="shared" si="27"/>
        <v>Kion</v>
      </c>
    </row>
    <row r="1205" spans="1:17" x14ac:dyDescent="0.35">
      <c r="A1205" t="str">
        <f>_xlfn.XLOOKUP(B1205,Mapping!C:C,Mapping!D:D)</f>
        <v>other Online malls</v>
      </c>
      <c r="B1205" t="s">
        <v>294</v>
      </c>
      <c r="C1205" t="s">
        <v>342</v>
      </c>
      <c r="D1205" s="21">
        <v>46251</v>
      </c>
      <c r="E1205" s="21">
        <v>46255</v>
      </c>
      <c r="F1205">
        <v>5</v>
      </c>
      <c r="G1205" t="s">
        <v>17</v>
      </c>
      <c r="H1205">
        <v>449000</v>
      </c>
      <c r="I1205">
        <v>399000</v>
      </c>
      <c r="J1205">
        <v>0</v>
      </c>
      <c r="K1205">
        <v>449000</v>
      </c>
      <c r="L1205">
        <v>5</v>
      </c>
      <c r="M1205">
        <v>2245000</v>
      </c>
      <c r="N1205" s="19">
        <v>2040909.0909090908</v>
      </c>
      <c r="O1205" s="19">
        <v>2040909.0909090908</v>
      </c>
      <c r="P1205" t="str">
        <f t="shared" si="26"/>
        <v>Shark Floorcare</v>
      </c>
      <c r="Q1205" t="str">
        <f t="shared" si="27"/>
        <v>CS</v>
      </c>
    </row>
    <row r="1206" spans="1:17" x14ac:dyDescent="0.35">
      <c r="A1206" t="str">
        <f>_xlfn.XLOOKUP(B1206,Mapping!C:C,Mapping!D:D)</f>
        <v>other Online malls</v>
      </c>
      <c r="B1206" t="s">
        <v>294</v>
      </c>
      <c r="C1206" t="s">
        <v>342</v>
      </c>
      <c r="D1206" s="21">
        <v>46251</v>
      </c>
      <c r="E1206" s="21">
        <v>46255</v>
      </c>
      <c r="F1206">
        <v>5</v>
      </c>
      <c r="G1206" t="s">
        <v>36</v>
      </c>
      <c r="H1206">
        <v>469900</v>
      </c>
      <c r="I1206">
        <v>399900</v>
      </c>
      <c r="J1206">
        <v>389900</v>
      </c>
      <c r="K1206">
        <v>399900</v>
      </c>
      <c r="L1206">
        <v>5</v>
      </c>
      <c r="M1206">
        <v>1999500</v>
      </c>
      <c r="N1206" s="19">
        <v>1817727.2727272727</v>
      </c>
      <c r="O1206" s="19">
        <v>1817727.2727272727</v>
      </c>
      <c r="P1206" t="str">
        <f t="shared" si="26"/>
        <v>Shark Floorcare</v>
      </c>
      <c r="Q1206" t="str">
        <f t="shared" si="27"/>
        <v>WD</v>
      </c>
    </row>
    <row r="1207" spans="1:17" x14ac:dyDescent="0.35">
      <c r="A1207" t="str">
        <f>_xlfn.XLOOKUP(B1207,Mapping!C:C,Mapping!D:D)</f>
        <v>other Online malls</v>
      </c>
      <c r="B1207" t="s">
        <v>294</v>
      </c>
      <c r="C1207" t="s">
        <v>342</v>
      </c>
      <c r="D1207" s="21">
        <v>46251</v>
      </c>
      <c r="E1207" s="21">
        <v>46255</v>
      </c>
      <c r="F1207">
        <v>5</v>
      </c>
      <c r="G1207" t="s">
        <v>28</v>
      </c>
      <c r="H1207">
        <v>299900</v>
      </c>
      <c r="I1207">
        <v>219900</v>
      </c>
      <c r="J1207">
        <v>219900</v>
      </c>
      <c r="K1207">
        <v>219000</v>
      </c>
      <c r="L1207">
        <v>5</v>
      </c>
      <c r="M1207">
        <v>1095000</v>
      </c>
      <c r="N1207" s="19">
        <v>995454.54545454541</v>
      </c>
      <c r="O1207" s="19">
        <v>995454.54545454541</v>
      </c>
      <c r="P1207" t="str">
        <f t="shared" si="26"/>
        <v>Shark Floorcare</v>
      </c>
      <c r="Q1207" t="str">
        <f t="shared" si="27"/>
        <v>WD</v>
      </c>
    </row>
    <row r="1208" spans="1:17" x14ac:dyDescent="0.35">
      <c r="A1208" t="str">
        <f>_xlfn.XLOOKUP(B1208,Mapping!C:C,Mapping!D:D)</f>
        <v>other Online malls</v>
      </c>
      <c r="B1208" t="s">
        <v>294</v>
      </c>
      <c r="C1208" t="s">
        <v>342</v>
      </c>
      <c r="D1208" s="21">
        <v>46251</v>
      </c>
      <c r="E1208" s="21">
        <v>46255</v>
      </c>
      <c r="F1208">
        <v>5</v>
      </c>
      <c r="G1208" t="s">
        <v>33</v>
      </c>
      <c r="H1208">
        <v>399900</v>
      </c>
      <c r="I1208">
        <v>349900</v>
      </c>
      <c r="J1208">
        <v>299900</v>
      </c>
      <c r="K1208">
        <v>349900</v>
      </c>
      <c r="L1208">
        <v>50</v>
      </c>
      <c r="M1208">
        <v>17495000</v>
      </c>
      <c r="N1208" s="19">
        <v>15904545.454545453</v>
      </c>
      <c r="O1208" s="19">
        <v>15904545.454545453</v>
      </c>
      <c r="P1208" t="str">
        <f t="shared" si="26"/>
        <v>Shark Fan</v>
      </c>
      <c r="Q1208" t="str">
        <f t="shared" si="27"/>
        <v>Fan</v>
      </c>
    </row>
    <row r="1209" spans="1:17" x14ac:dyDescent="0.35">
      <c r="A1209" t="str">
        <f>_xlfn.XLOOKUP(B1209,Mapping!C:C,Mapping!D:D)</f>
        <v>other Online malls</v>
      </c>
      <c r="B1209" t="s">
        <v>294</v>
      </c>
      <c r="C1209" t="s">
        <v>342</v>
      </c>
      <c r="D1209" s="21">
        <v>46251</v>
      </c>
      <c r="E1209" s="21">
        <v>46255</v>
      </c>
      <c r="F1209">
        <v>5</v>
      </c>
      <c r="G1209" t="s">
        <v>109</v>
      </c>
      <c r="H1209">
        <v>249900</v>
      </c>
      <c r="I1209">
        <v>219900</v>
      </c>
      <c r="J1209">
        <v>199900</v>
      </c>
      <c r="K1209">
        <v>149000</v>
      </c>
      <c r="L1209">
        <v>30</v>
      </c>
      <c r="M1209">
        <v>4470000</v>
      </c>
      <c r="N1209" s="19">
        <v>4063636.3636363633</v>
      </c>
      <c r="O1209" s="19">
        <v>4063636.3636363633</v>
      </c>
      <c r="P1209" t="str">
        <f t="shared" si="26"/>
        <v>Shark Fan</v>
      </c>
      <c r="Q1209" t="str">
        <f t="shared" si="27"/>
        <v>Fan</v>
      </c>
    </row>
    <row r="1210" spans="1:17" x14ac:dyDescent="0.35">
      <c r="A1210" t="str">
        <f>_xlfn.XLOOKUP(B1210,Mapping!C:C,Mapping!D:D)</f>
        <v>other Online malls</v>
      </c>
      <c r="B1210" t="s">
        <v>294</v>
      </c>
      <c r="C1210" t="s">
        <v>342</v>
      </c>
      <c r="D1210" s="21">
        <v>46251</v>
      </c>
      <c r="E1210" s="21">
        <v>46255</v>
      </c>
      <c r="F1210">
        <v>5</v>
      </c>
      <c r="G1210" t="s">
        <v>87</v>
      </c>
      <c r="H1210">
        <v>219900</v>
      </c>
      <c r="I1210">
        <v>199900</v>
      </c>
      <c r="J1210">
        <v>179900</v>
      </c>
      <c r="K1210">
        <v>109000</v>
      </c>
      <c r="L1210">
        <v>30</v>
      </c>
      <c r="M1210">
        <v>3270000</v>
      </c>
      <c r="N1210" s="19">
        <v>2972727.2727272725</v>
      </c>
      <c r="O1210" s="19">
        <v>2972727.2727272725</v>
      </c>
      <c r="P1210" t="str">
        <f t="shared" si="26"/>
        <v>Shark Fan</v>
      </c>
      <c r="Q1210" t="str">
        <f t="shared" si="27"/>
        <v>Fan</v>
      </c>
    </row>
    <row r="1211" spans="1:17" x14ac:dyDescent="0.35">
      <c r="A1211" t="str">
        <f>_xlfn.XLOOKUP(B1211,Mapping!C:C,Mapping!D:D)</f>
        <v>other Online malls</v>
      </c>
      <c r="B1211" t="s">
        <v>294</v>
      </c>
      <c r="C1211" t="s">
        <v>342</v>
      </c>
      <c r="D1211" s="21">
        <v>46251</v>
      </c>
      <c r="E1211" s="21">
        <v>46255</v>
      </c>
      <c r="F1211">
        <v>5</v>
      </c>
      <c r="G1211" t="s">
        <v>75</v>
      </c>
      <c r="H1211">
        <v>249900</v>
      </c>
      <c r="I1211">
        <v>219900</v>
      </c>
      <c r="J1211">
        <v>199900</v>
      </c>
      <c r="K1211">
        <v>219000</v>
      </c>
      <c r="L1211">
        <v>100</v>
      </c>
      <c r="M1211">
        <v>21900000</v>
      </c>
      <c r="N1211" s="19">
        <v>19909090.90909091</v>
      </c>
      <c r="O1211" s="19">
        <v>19909090.90909091</v>
      </c>
      <c r="P1211" t="str">
        <f t="shared" si="26"/>
        <v>Ninja Heated</v>
      </c>
      <c r="Q1211" t="str">
        <f t="shared" si="27"/>
        <v>Crispi</v>
      </c>
    </row>
    <row r="1212" spans="1:17" x14ac:dyDescent="0.35">
      <c r="A1212" t="str">
        <f>_xlfn.XLOOKUP(B1212,Mapping!C:C,Mapping!D:D)</f>
        <v>other Online malls</v>
      </c>
      <c r="B1212" t="s">
        <v>294</v>
      </c>
      <c r="C1212" t="s">
        <v>342</v>
      </c>
      <c r="D1212" s="21">
        <v>46251</v>
      </c>
      <c r="E1212" s="21">
        <v>46255</v>
      </c>
      <c r="F1212">
        <v>5</v>
      </c>
      <c r="G1212" t="s">
        <v>68</v>
      </c>
      <c r="H1212">
        <v>169900</v>
      </c>
      <c r="I1212">
        <v>169900</v>
      </c>
      <c r="J1212">
        <v>149900</v>
      </c>
      <c r="K1212">
        <v>129900</v>
      </c>
      <c r="L1212">
        <v>30</v>
      </c>
      <c r="M1212">
        <v>3897000</v>
      </c>
      <c r="N1212" s="19">
        <v>3542727.2727272725</v>
      </c>
      <c r="O1212" s="19">
        <v>3542727.2727272725</v>
      </c>
      <c r="P1212" t="str">
        <f t="shared" si="26"/>
        <v>Ninja Motorized</v>
      </c>
      <c r="Q1212" t="str">
        <f t="shared" si="27"/>
        <v>Trad</v>
      </c>
    </row>
    <row r="1213" spans="1:17" x14ac:dyDescent="0.35">
      <c r="A1213" t="str">
        <f>_xlfn.XLOOKUP(B1213,Mapping!C:C,Mapping!D:D)</f>
        <v>other Online malls</v>
      </c>
      <c r="B1213" t="s">
        <v>294</v>
      </c>
      <c r="C1213" t="s">
        <v>342</v>
      </c>
      <c r="D1213" s="21">
        <v>46251</v>
      </c>
      <c r="E1213" s="21">
        <v>46255</v>
      </c>
      <c r="F1213">
        <v>5</v>
      </c>
      <c r="G1213" t="s">
        <v>69</v>
      </c>
      <c r="H1213">
        <v>219900</v>
      </c>
      <c r="I1213">
        <v>219900</v>
      </c>
      <c r="J1213">
        <v>199900</v>
      </c>
      <c r="K1213">
        <v>179900</v>
      </c>
      <c r="L1213">
        <v>15</v>
      </c>
      <c r="M1213">
        <v>2698500</v>
      </c>
      <c r="N1213" s="19">
        <v>2453181.8181818179</v>
      </c>
      <c r="O1213" s="19">
        <v>2453181.8181818179</v>
      </c>
      <c r="P1213" t="str">
        <f t="shared" ref="P1213:P1276" si="28">_xlfn.XLOOKUP(G1213,$G$2:$G$529,$P$2:$P$529,"Not Found")</f>
        <v>Ninja Motorized</v>
      </c>
      <c r="Q1213" t="str">
        <f t="shared" ref="Q1213:Q1276" si="29">_xlfn.XLOOKUP(G1213,$G$2:$G$529,$Q$2:$Q$529,"Not Found")</f>
        <v>Trad</v>
      </c>
    </row>
    <row r="1214" spans="1:17" x14ac:dyDescent="0.35">
      <c r="A1214" t="str">
        <f>_xlfn.XLOOKUP(B1214,Mapping!C:C,Mapping!D:D)</f>
        <v>other Online malls</v>
      </c>
      <c r="B1214" t="s">
        <v>294</v>
      </c>
      <c r="C1214" t="s">
        <v>342</v>
      </c>
      <c r="D1214" s="21">
        <v>46251</v>
      </c>
      <c r="E1214" s="21">
        <v>46255</v>
      </c>
      <c r="F1214">
        <v>5</v>
      </c>
      <c r="G1214" t="s">
        <v>27</v>
      </c>
      <c r="H1214">
        <v>329900</v>
      </c>
      <c r="I1214">
        <v>299900</v>
      </c>
      <c r="J1214">
        <v>279900</v>
      </c>
      <c r="K1214">
        <v>299900</v>
      </c>
      <c r="L1214">
        <v>5</v>
      </c>
      <c r="M1214">
        <v>1499500</v>
      </c>
      <c r="N1214" s="19">
        <v>1363181.8181818179</v>
      </c>
      <c r="O1214" s="19">
        <v>1363181.8181818179</v>
      </c>
      <c r="P1214" t="str">
        <f t="shared" si="28"/>
        <v>Ninja Motorized</v>
      </c>
      <c r="Q1214" t="str">
        <f t="shared" si="29"/>
        <v>Trad</v>
      </c>
    </row>
    <row r="1215" spans="1:17" x14ac:dyDescent="0.35">
      <c r="A1215" t="str">
        <f>_xlfn.XLOOKUP(B1215,Mapping!C:C,Mapping!D:D)</f>
        <v>other Online malls</v>
      </c>
      <c r="B1215" t="s">
        <v>294</v>
      </c>
      <c r="C1215" t="s">
        <v>342</v>
      </c>
      <c r="D1215" s="21">
        <v>46251</v>
      </c>
      <c r="E1215" s="21">
        <v>46255</v>
      </c>
      <c r="F1215">
        <v>5</v>
      </c>
      <c r="G1215" t="s">
        <v>95</v>
      </c>
      <c r="H1215">
        <v>79900</v>
      </c>
      <c r="I1215">
        <v>54900</v>
      </c>
      <c r="J1215">
        <v>54900</v>
      </c>
      <c r="K1215">
        <v>54900</v>
      </c>
      <c r="L1215">
        <v>5</v>
      </c>
      <c r="M1215">
        <v>274500</v>
      </c>
      <c r="N1215" s="19">
        <v>249545.45454545453</v>
      </c>
      <c r="O1215" s="19">
        <v>249545.45454545453</v>
      </c>
      <c r="P1215" t="str">
        <f t="shared" si="28"/>
        <v>Ninja Motorized</v>
      </c>
      <c r="Q1215" t="str">
        <f t="shared" si="29"/>
        <v>Food process</v>
      </c>
    </row>
    <row r="1216" spans="1:17" x14ac:dyDescent="0.35">
      <c r="A1216" t="str">
        <f>_xlfn.XLOOKUP(B1216,Mapping!C:C,Mapping!D:D)</f>
        <v>other Online malls</v>
      </c>
      <c r="B1216" t="s">
        <v>294</v>
      </c>
      <c r="C1216" t="s">
        <v>342</v>
      </c>
      <c r="D1216" s="21">
        <v>46251</v>
      </c>
      <c r="E1216" s="21">
        <v>46255</v>
      </c>
      <c r="F1216">
        <v>5</v>
      </c>
      <c r="G1216" t="s">
        <v>40</v>
      </c>
      <c r="H1216">
        <v>349900</v>
      </c>
      <c r="I1216">
        <v>319900</v>
      </c>
      <c r="J1216">
        <v>299900</v>
      </c>
      <c r="K1216">
        <v>349900</v>
      </c>
      <c r="L1216">
        <v>5</v>
      </c>
      <c r="M1216">
        <v>1749500</v>
      </c>
      <c r="N1216" s="19">
        <v>1590454.5454545454</v>
      </c>
      <c r="O1216" s="19">
        <v>1590454.5454545454</v>
      </c>
      <c r="P1216" t="str">
        <f t="shared" si="28"/>
        <v>Ninja Motorized</v>
      </c>
      <c r="Q1216" t="str">
        <f t="shared" si="29"/>
        <v>Hot</v>
      </c>
    </row>
    <row r="1217" spans="1:17" x14ac:dyDescent="0.35">
      <c r="A1217" t="str">
        <f>_xlfn.XLOOKUP(B1217,Mapping!C:C,Mapping!D:D)</f>
        <v>other Online malls</v>
      </c>
      <c r="B1217" t="s">
        <v>294</v>
      </c>
      <c r="C1217" t="s">
        <v>342</v>
      </c>
      <c r="D1217" s="21">
        <v>46251</v>
      </c>
      <c r="E1217" s="21">
        <v>46255</v>
      </c>
      <c r="F1217">
        <v>5</v>
      </c>
      <c r="G1217" t="s">
        <v>39</v>
      </c>
      <c r="H1217">
        <v>249900</v>
      </c>
      <c r="I1217">
        <v>199900</v>
      </c>
      <c r="J1217">
        <v>189900</v>
      </c>
      <c r="K1217">
        <v>199900</v>
      </c>
      <c r="L1217">
        <v>5</v>
      </c>
      <c r="M1217">
        <v>999500</v>
      </c>
      <c r="N1217" s="19">
        <v>908636.36363636353</v>
      </c>
      <c r="O1217" s="19">
        <v>908636.36363636353</v>
      </c>
      <c r="P1217" t="str">
        <f t="shared" si="28"/>
        <v>Ninja Motorized</v>
      </c>
      <c r="Q1217" t="str">
        <f t="shared" si="29"/>
        <v>Trad</v>
      </c>
    </row>
    <row r="1218" spans="1:17" x14ac:dyDescent="0.35">
      <c r="A1218" t="str">
        <f>_xlfn.XLOOKUP(B1218,Mapping!C:C,Mapping!D:D)</f>
        <v>other Online malls</v>
      </c>
      <c r="B1218" t="s">
        <v>294</v>
      </c>
      <c r="C1218" t="s">
        <v>342</v>
      </c>
      <c r="D1218" s="21">
        <v>46251</v>
      </c>
      <c r="E1218" s="21">
        <v>46255</v>
      </c>
      <c r="F1218">
        <v>5</v>
      </c>
      <c r="G1218" t="s">
        <v>329</v>
      </c>
      <c r="H1218">
        <v>0</v>
      </c>
      <c r="I1218">
        <v>0</v>
      </c>
      <c r="J1218">
        <v>0</v>
      </c>
      <c r="K1218">
        <v>74900</v>
      </c>
      <c r="L1218">
        <v>20</v>
      </c>
      <c r="M1218">
        <v>1498000</v>
      </c>
      <c r="N1218" s="19">
        <v>1361818.1818181816</v>
      </c>
      <c r="O1218" s="19">
        <v>1361818.1818181816</v>
      </c>
      <c r="P1218" t="str">
        <f t="shared" si="28"/>
        <v>Not Found</v>
      </c>
      <c r="Q1218" t="str">
        <f t="shared" si="29"/>
        <v>Not Found</v>
      </c>
    </row>
    <row r="1219" spans="1:17" x14ac:dyDescent="0.35">
      <c r="A1219" t="str">
        <f>_xlfn.XLOOKUP(B1219,Mapping!C:C,Mapping!D:D)</f>
        <v>other Online malls</v>
      </c>
      <c r="B1219" t="s">
        <v>294</v>
      </c>
      <c r="C1219" t="s">
        <v>342</v>
      </c>
      <c r="D1219" s="21">
        <v>46251</v>
      </c>
      <c r="E1219" s="21">
        <v>46255</v>
      </c>
      <c r="F1219">
        <v>5</v>
      </c>
      <c r="G1219" t="s">
        <v>289</v>
      </c>
      <c r="H1219">
        <v>0</v>
      </c>
      <c r="I1219">
        <v>0</v>
      </c>
      <c r="J1219">
        <v>0</v>
      </c>
      <c r="K1219">
        <v>109000</v>
      </c>
      <c r="L1219">
        <v>20</v>
      </c>
      <c r="M1219">
        <v>2180000</v>
      </c>
      <c r="N1219" s="19">
        <v>1981818.1818181816</v>
      </c>
      <c r="O1219" s="19">
        <v>1981818.1818181816</v>
      </c>
      <c r="P1219" t="str">
        <f t="shared" si="28"/>
        <v>Not Found</v>
      </c>
      <c r="Q1219" t="str">
        <f t="shared" si="29"/>
        <v>Not Found</v>
      </c>
    </row>
    <row r="1220" spans="1:17" x14ac:dyDescent="0.35">
      <c r="A1220" t="str">
        <f>_xlfn.XLOOKUP(B1220,Mapping!C:C,Mapping!D:D)</f>
        <v>other Online malls</v>
      </c>
      <c r="B1220" t="s">
        <v>294</v>
      </c>
      <c r="C1220" t="s">
        <v>342</v>
      </c>
      <c r="D1220" s="21">
        <v>46251</v>
      </c>
      <c r="E1220" s="21">
        <v>46255</v>
      </c>
      <c r="F1220">
        <v>5</v>
      </c>
      <c r="G1220" t="s">
        <v>303</v>
      </c>
      <c r="H1220">
        <v>0</v>
      </c>
      <c r="I1220">
        <v>0</v>
      </c>
      <c r="J1220">
        <v>0</v>
      </c>
      <c r="K1220">
        <v>239000</v>
      </c>
      <c r="L1220">
        <v>10</v>
      </c>
      <c r="M1220">
        <v>2390000</v>
      </c>
      <c r="N1220" s="19">
        <v>2172727.2727272725</v>
      </c>
      <c r="O1220" s="19">
        <v>2172727.2727272725</v>
      </c>
      <c r="P1220" t="str">
        <f t="shared" si="28"/>
        <v>Not Found</v>
      </c>
      <c r="Q1220" t="str">
        <f t="shared" si="29"/>
        <v>Not Found</v>
      </c>
    </row>
    <row r="1221" spans="1:17" x14ac:dyDescent="0.35">
      <c r="A1221" t="str">
        <f>_xlfn.XLOOKUP(B1221,Mapping!C:C,Mapping!D:D)</f>
        <v>other Online malls</v>
      </c>
      <c r="B1221" t="s">
        <v>294</v>
      </c>
      <c r="C1221" t="s">
        <v>342</v>
      </c>
      <c r="D1221" s="21">
        <v>46251</v>
      </c>
      <c r="E1221" s="21">
        <v>46255</v>
      </c>
      <c r="F1221">
        <v>5</v>
      </c>
      <c r="G1221" t="s">
        <v>110</v>
      </c>
      <c r="H1221">
        <v>129900</v>
      </c>
      <c r="I1221">
        <v>114900</v>
      </c>
      <c r="J1221">
        <v>99900</v>
      </c>
      <c r="K1221">
        <v>129900</v>
      </c>
      <c r="L1221">
        <v>5</v>
      </c>
      <c r="M1221">
        <v>649500</v>
      </c>
      <c r="N1221" s="19">
        <v>590454.54545454541</v>
      </c>
      <c r="O1221" s="19">
        <v>590454.54545454541</v>
      </c>
      <c r="P1221" t="str">
        <f t="shared" si="28"/>
        <v>Ninja Motorized</v>
      </c>
      <c r="Q1221" t="str">
        <f t="shared" si="29"/>
        <v>Trad</v>
      </c>
    </row>
    <row r="1222" spans="1:17" x14ac:dyDescent="0.35">
      <c r="A1222" t="str">
        <f>_xlfn.XLOOKUP(B1222,Mapping!C:C,Mapping!D:D)</f>
        <v>other Online malls</v>
      </c>
      <c r="B1222" t="s">
        <v>294</v>
      </c>
      <c r="C1222" t="s">
        <v>342</v>
      </c>
      <c r="D1222" s="21">
        <v>46251</v>
      </c>
      <c r="E1222" s="21">
        <v>46255</v>
      </c>
      <c r="F1222">
        <v>5</v>
      </c>
      <c r="G1222" t="s">
        <v>105</v>
      </c>
      <c r="H1222">
        <v>299900</v>
      </c>
      <c r="I1222">
        <v>269900</v>
      </c>
      <c r="J1222">
        <v>249900</v>
      </c>
      <c r="K1222">
        <v>299900</v>
      </c>
      <c r="L1222">
        <v>5</v>
      </c>
      <c r="M1222">
        <v>1499500</v>
      </c>
      <c r="N1222" s="19">
        <v>1363181.8181818179</v>
      </c>
      <c r="O1222" s="19">
        <v>1363181.8181818179</v>
      </c>
      <c r="P1222" t="str">
        <f t="shared" si="28"/>
        <v>Ninja Motorized</v>
      </c>
      <c r="Q1222" t="str">
        <f t="shared" si="29"/>
        <v>Kitchen</v>
      </c>
    </row>
    <row r="1223" spans="1:17" x14ac:dyDescent="0.35">
      <c r="A1223" t="str">
        <f>_xlfn.XLOOKUP(B1223,Mapping!C:C,Mapping!D:D)</f>
        <v>other Online malls</v>
      </c>
      <c r="B1223" t="s">
        <v>294</v>
      </c>
      <c r="C1223" t="s">
        <v>342</v>
      </c>
      <c r="D1223" s="21">
        <v>46251</v>
      </c>
      <c r="E1223" s="21">
        <v>46255</v>
      </c>
      <c r="F1223">
        <v>5</v>
      </c>
      <c r="G1223" t="s">
        <v>85</v>
      </c>
      <c r="H1223">
        <v>349900</v>
      </c>
      <c r="I1223">
        <v>319900</v>
      </c>
      <c r="J1223">
        <v>299900</v>
      </c>
      <c r="K1223">
        <v>319900</v>
      </c>
      <c r="L1223">
        <v>5</v>
      </c>
      <c r="M1223">
        <v>1599500</v>
      </c>
      <c r="N1223" s="19">
        <v>1454090.9090909092</v>
      </c>
      <c r="O1223" s="19">
        <v>1454090.9090909092</v>
      </c>
      <c r="P1223" t="str">
        <f t="shared" si="28"/>
        <v>Ninja Motorized</v>
      </c>
      <c r="Q1223" t="str">
        <f t="shared" si="29"/>
        <v>Kitchen</v>
      </c>
    </row>
    <row r="1224" spans="1:17" x14ac:dyDescent="0.35">
      <c r="A1224" t="str">
        <f>_xlfn.XLOOKUP(B1224,Mapping!C:C,Mapping!D:D)</f>
        <v>other Online malls</v>
      </c>
      <c r="B1224" t="s">
        <v>294</v>
      </c>
      <c r="C1224" t="s">
        <v>342</v>
      </c>
      <c r="D1224" s="21">
        <v>46251</v>
      </c>
      <c r="E1224" s="21">
        <v>46255</v>
      </c>
      <c r="F1224">
        <v>5</v>
      </c>
      <c r="G1224" t="s">
        <v>73</v>
      </c>
      <c r="H1224">
        <v>139900</v>
      </c>
      <c r="I1224">
        <v>129900</v>
      </c>
      <c r="J1224">
        <v>119900</v>
      </c>
      <c r="K1224">
        <v>129900</v>
      </c>
      <c r="L1224">
        <v>5</v>
      </c>
      <c r="M1224">
        <v>649500</v>
      </c>
      <c r="N1224" s="19">
        <v>590454.54545454541</v>
      </c>
      <c r="O1224" s="19">
        <v>590454.54545454541</v>
      </c>
      <c r="P1224" t="str">
        <f t="shared" si="28"/>
        <v>Ninja Motorized</v>
      </c>
      <c r="Q1224" t="str">
        <f t="shared" si="29"/>
        <v>Hand</v>
      </c>
    </row>
    <row r="1225" spans="1:17" x14ac:dyDescent="0.35">
      <c r="A1225" t="str">
        <f>_xlfn.XLOOKUP(B1225,Mapping!C:C,Mapping!D:D)</f>
        <v>other Online malls</v>
      </c>
      <c r="B1225" t="s">
        <v>294</v>
      </c>
      <c r="C1225" t="s">
        <v>342</v>
      </c>
      <c r="D1225" s="21">
        <v>46251</v>
      </c>
      <c r="E1225" s="21">
        <v>46255</v>
      </c>
      <c r="F1225">
        <v>5</v>
      </c>
      <c r="G1225" t="s">
        <v>49</v>
      </c>
      <c r="H1225">
        <v>119900</v>
      </c>
      <c r="I1225">
        <v>109900</v>
      </c>
      <c r="J1225">
        <v>99900</v>
      </c>
      <c r="K1225">
        <v>119900</v>
      </c>
      <c r="L1225">
        <v>5</v>
      </c>
      <c r="M1225">
        <v>599500</v>
      </c>
      <c r="N1225" s="19">
        <v>544999.99999999988</v>
      </c>
      <c r="O1225" s="19">
        <v>544999.99999999988</v>
      </c>
      <c r="P1225" t="str">
        <f t="shared" si="28"/>
        <v>Ninja Motorized</v>
      </c>
      <c r="Q1225" t="str">
        <f t="shared" si="29"/>
        <v>Hand</v>
      </c>
    </row>
    <row r="1226" spans="1:17" x14ac:dyDescent="0.35">
      <c r="A1226" t="str">
        <f>_xlfn.XLOOKUP(B1226,Mapping!C:C,Mapping!D:D)</f>
        <v>other Online malls</v>
      </c>
      <c r="B1226" t="s">
        <v>294</v>
      </c>
      <c r="C1226" t="s">
        <v>342</v>
      </c>
      <c r="D1226" s="21">
        <v>46251</v>
      </c>
      <c r="E1226" s="21">
        <v>46255</v>
      </c>
      <c r="F1226">
        <v>5</v>
      </c>
      <c r="G1226" t="s">
        <v>84</v>
      </c>
      <c r="H1226">
        <v>169900</v>
      </c>
      <c r="I1226">
        <v>149900</v>
      </c>
      <c r="J1226">
        <v>129900</v>
      </c>
      <c r="K1226">
        <v>169900</v>
      </c>
      <c r="L1226">
        <v>5</v>
      </c>
      <c r="M1226">
        <v>849500</v>
      </c>
      <c r="N1226" s="19">
        <v>772272.72727272718</v>
      </c>
      <c r="O1226" s="19">
        <v>772272.72727272718</v>
      </c>
      <c r="P1226" t="str">
        <f t="shared" si="28"/>
        <v>Ninja Motorized</v>
      </c>
      <c r="Q1226" t="str">
        <f t="shared" si="29"/>
        <v>Trad</v>
      </c>
    </row>
    <row r="1227" spans="1:17" x14ac:dyDescent="0.35">
      <c r="A1227" t="str">
        <f>_xlfn.XLOOKUP(B1227,Mapping!C:C,Mapping!D:D)</f>
        <v>other Online malls</v>
      </c>
      <c r="B1227" t="s">
        <v>294</v>
      </c>
      <c r="C1227" t="s">
        <v>342</v>
      </c>
      <c r="D1227" s="21">
        <v>46251</v>
      </c>
      <c r="E1227" s="21">
        <v>46255</v>
      </c>
      <c r="F1227">
        <v>5</v>
      </c>
      <c r="G1227" t="s">
        <v>32</v>
      </c>
      <c r="H1227">
        <v>349900</v>
      </c>
      <c r="I1227">
        <v>299900</v>
      </c>
      <c r="J1227">
        <v>269900</v>
      </c>
      <c r="K1227">
        <v>269900</v>
      </c>
      <c r="L1227">
        <v>5</v>
      </c>
      <c r="M1227">
        <v>1349500</v>
      </c>
      <c r="N1227" s="19">
        <v>1226818.1818181816</v>
      </c>
      <c r="O1227" s="19">
        <v>1226818.1818181816</v>
      </c>
      <c r="P1227" t="str">
        <f t="shared" si="28"/>
        <v>Ninja Motorized</v>
      </c>
      <c r="Q1227" t="str">
        <f t="shared" si="29"/>
        <v>Icecream</v>
      </c>
    </row>
    <row r="1228" spans="1:17" x14ac:dyDescent="0.35">
      <c r="A1228" t="str">
        <f>_xlfn.XLOOKUP(B1228,Mapping!C:C,Mapping!D:D)</f>
        <v>other Online malls</v>
      </c>
      <c r="B1228" t="s">
        <v>294</v>
      </c>
      <c r="C1228" t="s">
        <v>342</v>
      </c>
      <c r="D1228" s="21">
        <v>46251</v>
      </c>
      <c r="E1228" s="21">
        <v>46255</v>
      </c>
      <c r="F1228">
        <v>5</v>
      </c>
      <c r="G1228" t="s">
        <v>97</v>
      </c>
      <c r="H1228">
        <v>349900</v>
      </c>
      <c r="I1228">
        <v>299900</v>
      </c>
      <c r="J1228">
        <v>249900</v>
      </c>
      <c r="K1228">
        <v>299900</v>
      </c>
      <c r="L1228">
        <v>5</v>
      </c>
      <c r="M1228">
        <v>1499500</v>
      </c>
      <c r="N1228" s="19">
        <v>1363181.8181818179</v>
      </c>
      <c r="O1228" s="19">
        <v>1363181.8181818179</v>
      </c>
      <c r="P1228" t="str">
        <f t="shared" si="28"/>
        <v>Ninja Heated</v>
      </c>
      <c r="Q1228" t="str">
        <f t="shared" si="29"/>
        <v>Grill</v>
      </c>
    </row>
    <row r="1229" spans="1:17" x14ac:dyDescent="0.35">
      <c r="A1229" t="str">
        <f>_xlfn.XLOOKUP(B1229,Mapping!C:C,Mapping!D:D)</f>
        <v>other Online malls</v>
      </c>
      <c r="B1229" t="s">
        <v>294</v>
      </c>
      <c r="C1229" t="s">
        <v>342</v>
      </c>
      <c r="D1229" s="21">
        <v>46251</v>
      </c>
      <c r="E1229" s="21">
        <v>46255</v>
      </c>
      <c r="F1229">
        <v>5</v>
      </c>
      <c r="G1229" t="s">
        <v>38</v>
      </c>
      <c r="H1229">
        <v>429900</v>
      </c>
      <c r="I1229">
        <v>399900</v>
      </c>
      <c r="J1229">
        <v>349900</v>
      </c>
      <c r="K1229">
        <v>429900</v>
      </c>
      <c r="L1229">
        <v>5</v>
      </c>
      <c r="M1229">
        <v>2149500</v>
      </c>
      <c r="N1229" s="19">
        <v>1954090.9090909087</v>
      </c>
      <c r="O1229" s="19">
        <v>1954090.9090909087</v>
      </c>
      <c r="P1229" t="str">
        <f t="shared" si="28"/>
        <v>Ninja Heated</v>
      </c>
      <c r="Q1229" t="str">
        <f t="shared" si="29"/>
        <v>Grill</v>
      </c>
    </row>
    <row r="1230" spans="1:17" x14ac:dyDescent="0.35">
      <c r="A1230" t="str">
        <f>_xlfn.XLOOKUP(B1230,Mapping!C:C,Mapping!D:D)</f>
        <v>other Online malls</v>
      </c>
      <c r="B1230" t="s">
        <v>294</v>
      </c>
      <c r="C1230" t="s">
        <v>342</v>
      </c>
      <c r="D1230" s="21">
        <v>46251</v>
      </c>
      <c r="E1230" s="21">
        <v>46255</v>
      </c>
      <c r="F1230">
        <v>5</v>
      </c>
      <c r="G1230" t="s">
        <v>106</v>
      </c>
      <c r="H1230">
        <v>399900</v>
      </c>
      <c r="I1230">
        <v>349900</v>
      </c>
      <c r="J1230">
        <v>299900</v>
      </c>
      <c r="K1230">
        <v>399900</v>
      </c>
      <c r="L1230">
        <v>5</v>
      </c>
      <c r="M1230">
        <v>1999500</v>
      </c>
      <c r="N1230" s="19">
        <v>1817727.2727272727</v>
      </c>
      <c r="O1230" s="19">
        <v>1817727.2727272727</v>
      </c>
      <c r="P1230" t="str">
        <f t="shared" si="28"/>
        <v>Ninja Heated</v>
      </c>
      <c r="Q1230" t="str">
        <f t="shared" si="29"/>
        <v>Combi</v>
      </c>
    </row>
    <row r="1231" spans="1:17" x14ac:dyDescent="0.35">
      <c r="A1231" t="str">
        <f>_xlfn.XLOOKUP(B1231,Mapping!C:C,Mapping!D:D)</f>
        <v>other Online malls</v>
      </c>
      <c r="B1231" t="s">
        <v>294</v>
      </c>
      <c r="C1231" t="s">
        <v>342</v>
      </c>
      <c r="D1231" s="21">
        <v>46251</v>
      </c>
      <c r="E1231" s="21">
        <v>46255</v>
      </c>
      <c r="F1231">
        <v>5</v>
      </c>
      <c r="G1231" t="s">
        <v>37</v>
      </c>
      <c r="H1231">
        <v>229900</v>
      </c>
      <c r="I1231">
        <v>199900</v>
      </c>
      <c r="J1231">
        <v>179900</v>
      </c>
      <c r="K1231">
        <v>229900</v>
      </c>
      <c r="L1231">
        <v>5</v>
      </c>
      <c r="M1231">
        <v>1149500</v>
      </c>
      <c r="N1231" s="19">
        <v>1044999.9999999999</v>
      </c>
      <c r="O1231" s="19">
        <v>1044999.9999999999</v>
      </c>
      <c r="P1231" t="str">
        <f t="shared" si="28"/>
        <v>Ninja Heated</v>
      </c>
      <c r="Q1231" t="str">
        <f t="shared" si="29"/>
        <v>Airfry</v>
      </c>
    </row>
    <row r="1232" spans="1:17" x14ac:dyDescent="0.35">
      <c r="A1232" t="str">
        <f>_xlfn.XLOOKUP(B1232,Mapping!C:C,Mapping!D:D)</f>
        <v>other Online malls</v>
      </c>
      <c r="B1232" t="s">
        <v>294</v>
      </c>
      <c r="C1232" t="s">
        <v>342</v>
      </c>
      <c r="D1232" s="21">
        <v>46251</v>
      </c>
      <c r="E1232" s="21">
        <v>46255</v>
      </c>
      <c r="F1232">
        <v>5</v>
      </c>
      <c r="G1232" t="s">
        <v>29</v>
      </c>
      <c r="H1232">
        <v>349900</v>
      </c>
      <c r="I1232">
        <v>299900</v>
      </c>
      <c r="J1232">
        <v>279900</v>
      </c>
      <c r="K1232">
        <v>279900</v>
      </c>
      <c r="L1232">
        <v>5</v>
      </c>
      <c r="M1232">
        <v>1399500</v>
      </c>
      <c r="N1232" s="19">
        <v>1272272.7272727273</v>
      </c>
      <c r="O1232" s="19">
        <v>1272272.7272727273</v>
      </c>
      <c r="P1232" t="str">
        <f t="shared" si="28"/>
        <v>Ninja Heated</v>
      </c>
      <c r="Q1232" t="str">
        <f t="shared" si="29"/>
        <v>Airfry</v>
      </c>
    </row>
    <row r="1233" spans="1:17" x14ac:dyDescent="0.35">
      <c r="A1233" t="str">
        <f>_xlfn.XLOOKUP(B1233,Mapping!C:C,Mapping!D:D)</f>
        <v>TVHS</v>
      </c>
      <c r="B1233" t="s">
        <v>163</v>
      </c>
      <c r="C1233" t="s">
        <v>343</v>
      </c>
      <c r="D1233" s="21">
        <v>46235</v>
      </c>
      <c r="E1233" s="21">
        <v>46235</v>
      </c>
      <c r="F1233">
        <v>1</v>
      </c>
      <c r="G1233" t="s">
        <v>23</v>
      </c>
      <c r="H1233" s="19">
        <v>899000</v>
      </c>
      <c r="I1233" s="19">
        <v>849000</v>
      </c>
      <c r="J1233">
        <v>749000</v>
      </c>
      <c r="K1233">
        <v>749000</v>
      </c>
      <c r="L1233">
        <v>1100</v>
      </c>
      <c r="M1233">
        <v>823900000</v>
      </c>
      <c r="N1233" s="19">
        <v>748999999.99999988</v>
      </c>
      <c r="O1233" s="19">
        <v>441909999.99999988</v>
      </c>
      <c r="P1233" t="str">
        <f t="shared" si="28"/>
        <v>Shark Floorcare</v>
      </c>
      <c r="Q1233" t="str">
        <f t="shared" si="29"/>
        <v>Kion</v>
      </c>
    </row>
    <row r="1234" spans="1:17" x14ac:dyDescent="0.35">
      <c r="A1234" t="str">
        <f>_xlfn.XLOOKUP(B1234,Mapping!C:C,Mapping!D:D)</f>
        <v>TVHS</v>
      </c>
      <c r="B1234" t="s">
        <v>163</v>
      </c>
      <c r="C1234" t="s">
        <v>344</v>
      </c>
      <c r="D1234" s="21">
        <v>46236</v>
      </c>
      <c r="E1234" s="21">
        <v>46236</v>
      </c>
      <c r="F1234">
        <v>1</v>
      </c>
      <c r="G1234" t="s">
        <v>65</v>
      </c>
      <c r="H1234" s="19">
        <v>249900</v>
      </c>
      <c r="I1234" s="19">
        <v>229900</v>
      </c>
      <c r="J1234">
        <v>199900</v>
      </c>
      <c r="K1234">
        <v>199900</v>
      </c>
      <c r="L1234">
        <v>2340</v>
      </c>
      <c r="M1234">
        <v>467766000</v>
      </c>
      <c r="N1234" s="19">
        <v>425241818.18181813</v>
      </c>
      <c r="O1234" s="19">
        <v>250892672.72727269</v>
      </c>
      <c r="P1234" t="str">
        <f t="shared" si="28"/>
        <v>Ninja Motorized</v>
      </c>
      <c r="Q1234" t="str">
        <f t="shared" si="29"/>
        <v>Portable</v>
      </c>
    </row>
    <row r="1235" spans="1:17" x14ac:dyDescent="0.35">
      <c r="A1235" t="str">
        <f>_xlfn.XLOOKUP(B1235,Mapping!C:C,Mapping!D:D)</f>
        <v>TVHS</v>
      </c>
      <c r="B1235" t="s">
        <v>163</v>
      </c>
      <c r="C1235" t="s">
        <v>344</v>
      </c>
      <c r="D1235" s="21">
        <v>46237</v>
      </c>
      <c r="E1235" s="21">
        <v>46237</v>
      </c>
      <c r="F1235">
        <v>1</v>
      </c>
      <c r="G1235" t="s">
        <v>65</v>
      </c>
      <c r="H1235" s="19">
        <v>249900</v>
      </c>
      <c r="I1235" s="19">
        <v>229900</v>
      </c>
      <c r="J1235">
        <v>199900</v>
      </c>
      <c r="K1235">
        <v>209900</v>
      </c>
      <c r="L1235">
        <v>900</v>
      </c>
      <c r="M1235">
        <v>188910000</v>
      </c>
      <c r="N1235" s="19">
        <v>171736363.63636363</v>
      </c>
      <c r="O1235" s="19">
        <v>101324454.54545453</v>
      </c>
      <c r="P1235" t="str">
        <f t="shared" si="28"/>
        <v>Ninja Motorized</v>
      </c>
      <c r="Q1235" t="str">
        <f t="shared" si="29"/>
        <v>Portable</v>
      </c>
    </row>
    <row r="1236" spans="1:17" x14ac:dyDescent="0.35">
      <c r="A1236" t="str">
        <f>_xlfn.XLOOKUP(B1236,Mapping!C:C,Mapping!D:D)</f>
        <v>TVHS</v>
      </c>
      <c r="B1236" t="s">
        <v>163</v>
      </c>
      <c r="C1236" t="s">
        <v>344</v>
      </c>
      <c r="D1236" s="21">
        <v>46241</v>
      </c>
      <c r="E1236" s="21">
        <v>46241</v>
      </c>
      <c r="F1236">
        <v>1</v>
      </c>
      <c r="G1236" t="s">
        <v>57</v>
      </c>
      <c r="H1236" s="19">
        <v>699000</v>
      </c>
      <c r="I1236" s="19">
        <v>599000</v>
      </c>
      <c r="J1236">
        <v>499000</v>
      </c>
      <c r="K1236">
        <v>499000</v>
      </c>
      <c r="L1236">
        <v>630</v>
      </c>
      <c r="M1236">
        <v>314370000</v>
      </c>
      <c r="N1236" s="19">
        <v>285790909.09090906</v>
      </c>
      <c r="O1236" s="19">
        <v>168616636.36363634</v>
      </c>
      <c r="P1236" t="str">
        <f t="shared" si="28"/>
        <v>Shark Floorcare</v>
      </c>
      <c r="Q1236" t="str">
        <f t="shared" si="29"/>
        <v>Kion</v>
      </c>
    </row>
    <row r="1237" spans="1:17" x14ac:dyDescent="0.35">
      <c r="A1237" t="str">
        <f>_xlfn.XLOOKUP(B1237,Mapping!C:C,Mapping!D:D)</f>
        <v>TVHS</v>
      </c>
      <c r="B1237" t="s">
        <v>163</v>
      </c>
      <c r="C1237" t="s">
        <v>344</v>
      </c>
      <c r="D1237" s="21">
        <v>46249</v>
      </c>
      <c r="E1237" s="21">
        <v>46249</v>
      </c>
      <c r="F1237">
        <v>1</v>
      </c>
      <c r="G1237" t="s">
        <v>65</v>
      </c>
      <c r="H1237" s="19">
        <v>249900</v>
      </c>
      <c r="I1237" s="19">
        <v>229900</v>
      </c>
      <c r="J1237">
        <v>199900</v>
      </c>
      <c r="K1237">
        <v>199900</v>
      </c>
      <c r="L1237">
        <v>1980</v>
      </c>
      <c r="M1237">
        <v>395802000</v>
      </c>
      <c r="N1237" s="19">
        <v>359819999.99999994</v>
      </c>
      <c r="O1237" s="19">
        <v>212293799.99999994</v>
      </c>
      <c r="P1237" t="str">
        <f t="shared" si="28"/>
        <v>Ninja Motorized</v>
      </c>
      <c r="Q1237" t="str">
        <f t="shared" si="29"/>
        <v>Portable</v>
      </c>
    </row>
    <row r="1238" spans="1:17" x14ac:dyDescent="0.35">
      <c r="A1238" t="str">
        <f>_xlfn.XLOOKUP(B1238,Mapping!C:C,Mapping!D:D)</f>
        <v>TVHS</v>
      </c>
      <c r="B1238" t="s">
        <v>163</v>
      </c>
      <c r="C1238" t="s">
        <v>344</v>
      </c>
      <c r="D1238" s="21">
        <v>46253</v>
      </c>
      <c r="E1238" s="21">
        <v>46253</v>
      </c>
      <c r="F1238">
        <v>1</v>
      </c>
      <c r="G1238" t="s">
        <v>85</v>
      </c>
      <c r="H1238" s="19">
        <v>349900</v>
      </c>
      <c r="I1238" s="19">
        <v>319900</v>
      </c>
      <c r="J1238">
        <v>299900</v>
      </c>
      <c r="K1238">
        <v>299900</v>
      </c>
      <c r="L1238">
        <v>480</v>
      </c>
      <c r="M1238">
        <v>143952000</v>
      </c>
      <c r="N1238" s="19">
        <v>130865454.54545452</v>
      </c>
      <c r="O1238" s="19">
        <v>77210618.181818157</v>
      </c>
      <c r="P1238" t="str">
        <f t="shared" si="28"/>
        <v>Ninja Motorized</v>
      </c>
      <c r="Q1238" t="str">
        <f t="shared" si="29"/>
        <v>Kitchen</v>
      </c>
    </row>
    <row r="1239" spans="1:17" x14ac:dyDescent="0.35">
      <c r="A1239" t="str">
        <f>_xlfn.XLOOKUP(B1239,Mapping!C:C,Mapping!D:D)</f>
        <v>TVHS</v>
      </c>
      <c r="B1239" t="s">
        <v>163</v>
      </c>
      <c r="C1239" t="s">
        <v>344</v>
      </c>
      <c r="D1239" s="21">
        <v>46263</v>
      </c>
      <c r="E1239" s="21">
        <v>46263</v>
      </c>
      <c r="F1239">
        <v>1</v>
      </c>
      <c r="G1239" t="s">
        <v>85</v>
      </c>
      <c r="H1239" s="19">
        <v>349900</v>
      </c>
      <c r="I1239" s="19">
        <v>319900</v>
      </c>
      <c r="J1239">
        <v>299900</v>
      </c>
      <c r="K1239">
        <v>299900</v>
      </c>
      <c r="L1239">
        <v>1200</v>
      </c>
      <c r="M1239">
        <v>359880000</v>
      </c>
      <c r="N1239" s="19">
        <v>327163636.36363631</v>
      </c>
      <c r="O1239" s="19">
        <v>193026545.45454541</v>
      </c>
      <c r="P1239" t="str">
        <f t="shared" si="28"/>
        <v>Ninja Motorized</v>
      </c>
      <c r="Q1239" t="str">
        <f t="shared" si="29"/>
        <v>Kitchen</v>
      </c>
    </row>
    <row r="1240" spans="1:17" x14ac:dyDescent="0.35">
      <c r="A1240" t="str">
        <f>_xlfn.XLOOKUP(B1240,Mapping!C:C,Mapping!D:D)</f>
        <v>TVHS</v>
      </c>
      <c r="B1240" t="s">
        <v>163</v>
      </c>
      <c r="C1240" t="s">
        <v>344</v>
      </c>
      <c r="D1240" s="21">
        <v>46258</v>
      </c>
      <c r="E1240" s="21">
        <v>46258</v>
      </c>
      <c r="F1240">
        <v>1</v>
      </c>
      <c r="G1240" t="s">
        <v>46</v>
      </c>
      <c r="H1240" s="19">
        <v>699000</v>
      </c>
      <c r="I1240" s="19">
        <v>499000</v>
      </c>
      <c r="J1240">
        <v>499000</v>
      </c>
      <c r="K1240">
        <v>449000</v>
      </c>
      <c r="L1240">
        <v>490</v>
      </c>
      <c r="M1240">
        <v>220010000</v>
      </c>
      <c r="N1240" s="19">
        <v>200009090.90909091</v>
      </c>
      <c r="O1240" s="19">
        <v>118005363.63636363</v>
      </c>
      <c r="P1240" t="str">
        <f t="shared" si="28"/>
        <v>Shark Floorcare</v>
      </c>
      <c r="Q1240" t="str">
        <f t="shared" si="29"/>
        <v>Kion</v>
      </c>
    </row>
    <row r="1241" spans="1:17" x14ac:dyDescent="0.35">
      <c r="A1241" t="str">
        <f>_xlfn.XLOOKUP(B1241,Mapping!C:C,Mapping!D:D)</f>
        <v>TVHS</v>
      </c>
      <c r="B1241" t="s">
        <v>163</v>
      </c>
      <c r="C1241" t="s">
        <v>345</v>
      </c>
      <c r="D1241" s="21">
        <v>46254</v>
      </c>
      <c r="E1241" s="21">
        <v>46254</v>
      </c>
      <c r="F1241">
        <v>1</v>
      </c>
      <c r="G1241" t="s">
        <v>57</v>
      </c>
      <c r="H1241" s="19">
        <v>699000</v>
      </c>
      <c r="I1241" s="19">
        <v>599000</v>
      </c>
      <c r="J1241">
        <v>499000</v>
      </c>
      <c r="K1241">
        <v>499000</v>
      </c>
      <c r="L1241">
        <v>135</v>
      </c>
      <c r="M1241">
        <v>67365000</v>
      </c>
      <c r="N1241" s="19">
        <v>61240909.090909086</v>
      </c>
      <c r="O1241" s="19">
        <v>36132136.36363636</v>
      </c>
      <c r="P1241" t="str">
        <f t="shared" si="28"/>
        <v>Shark Floorcare</v>
      </c>
      <c r="Q1241" t="str">
        <f t="shared" si="29"/>
        <v>Kion</v>
      </c>
    </row>
    <row r="1242" spans="1:17" x14ac:dyDescent="0.35">
      <c r="A1242" t="str">
        <f>_xlfn.XLOOKUP(B1242,Mapping!C:C,Mapping!D:D)</f>
        <v>TVHS</v>
      </c>
      <c r="B1242" t="s">
        <v>163</v>
      </c>
      <c r="C1242" t="s">
        <v>345</v>
      </c>
      <c r="D1242" s="21">
        <v>46261</v>
      </c>
      <c r="E1242" s="21">
        <v>46261</v>
      </c>
      <c r="F1242">
        <v>1</v>
      </c>
      <c r="G1242" t="s">
        <v>57</v>
      </c>
      <c r="H1242" s="19">
        <v>699000</v>
      </c>
      <c r="I1242" s="19">
        <v>599000</v>
      </c>
      <c r="J1242">
        <v>499000</v>
      </c>
      <c r="K1242">
        <v>499000</v>
      </c>
      <c r="L1242">
        <v>135</v>
      </c>
      <c r="M1242">
        <v>67365000</v>
      </c>
      <c r="N1242" s="19">
        <v>61240909.090909086</v>
      </c>
      <c r="O1242" s="19">
        <v>36132136.36363636</v>
      </c>
      <c r="P1242" t="str">
        <f t="shared" si="28"/>
        <v>Shark Floorcare</v>
      </c>
      <c r="Q1242" t="str">
        <f t="shared" si="29"/>
        <v>Kion</v>
      </c>
    </row>
    <row r="1243" spans="1:17" x14ac:dyDescent="0.35">
      <c r="A1243" t="str">
        <f>_xlfn.XLOOKUP(B1243,Mapping!C:C,Mapping!D:D)</f>
        <v>TVHS</v>
      </c>
      <c r="B1243" t="s">
        <v>163</v>
      </c>
      <c r="C1243" t="s">
        <v>345</v>
      </c>
      <c r="D1243" s="21">
        <v>46241</v>
      </c>
      <c r="E1243" s="21">
        <v>46241</v>
      </c>
      <c r="F1243">
        <v>1</v>
      </c>
      <c r="G1243" t="s">
        <v>85</v>
      </c>
      <c r="H1243" s="19">
        <v>349900</v>
      </c>
      <c r="I1243" s="19">
        <v>319900</v>
      </c>
      <c r="J1243">
        <v>299900</v>
      </c>
      <c r="K1243">
        <v>299900</v>
      </c>
      <c r="L1243">
        <v>200</v>
      </c>
      <c r="M1243">
        <v>59980000</v>
      </c>
      <c r="N1243" s="19">
        <v>54527272.727272719</v>
      </c>
      <c r="O1243" s="19">
        <v>32171090.909090903</v>
      </c>
      <c r="P1243" t="str">
        <f t="shared" si="28"/>
        <v>Ninja Motorized</v>
      </c>
      <c r="Q1243" t="str">
        <f t="shared" si="29"/>
        <v>Kitchen</v>
      </c>
    </row>
    <row r="1244" spans="1:17" x14ac:dyDescent="0.35">
      <c r="A1244" t="str">
        <f>_xlfn.XLOOKUP(B1244,Mapping!C:C,Mapping!D:D)</f>
        <v>TVHS</v>
      </c>
      <c r="B1244" t="s">
        <v>163</v>
      </c>
      <c r="C1244" t="s">
        <v>345</v>
      </c>
      <c r="D1244" s="21">
        <v>46248</v>
      </c>
      <c r="E1244" s="21">
        <v>46248</v>
      </c>
      <c r="F1244">
        <v>1</v>
      </c>
      <c r="G1244" t="s">
        <v>85</v>
      </c>
      <c r="H1244" s="19">
        <v>349900</v>
      </c>
      <c r="I1244" s="19">
        <v>319900</v>
      </c>
      <c r="J1244">
        <v>299900</v>
      </c>
      <c r="K1244">
        <v>299900</v>
      </c>
      <c r="L1244">
        <v>200</v>
      </c>
      <c r="M1244">
        <v>59980000</v>
      </c>
      <c r="N1244" s="19">
        <v>54527272.727272719</v>
      </c>
      <c r="O1244" s="19">
        <v>32171090.909090903</v>
      </c>
      <c r="P1244" t="str">
        <f t="shared" si="28"/>
        <v>Ninja Motorized</v>
      </c>
      <c r="Q1244" t="str">
        <f t="shared" si="29"/>
        <v>Kitchen</v>
      </c>
    </row>
    <row r="1245" spans="1:17" x14ac:dyDescent="0.35">
      <c r="A1245" t="str">
        <f>_xlfn.XLOOKUP(B1245,Mapping!C:C,Mapping!D:D)</f>
        <v>TVHS</v>
      </c>
      <c r="B1245" t="s">
        <v>163</v>
      </c>
      <c r="C1245" t="s">
        <v>345</v>
      </c>
      <c r="D1245" s="21">
        <v>46255</v>
      </c>
      <c r="E1245" s="21">
        <v>46255</v>
      </c>
      <c r="F1245">
        <v>1</v>
      </c>
      <c r="G1245" t="s">
        <v>85</v>
      </c>
      <c r="H1245" s="19">
        <v>349900</v>
      </c>
      <c r="I1245" s="19">
        <v>319900</v>
      </c>
      <c r="J1245">
        <v>299900</v>
      </c>
      <c r="K1245">
        <v>299900</v>
      </c>
      <c r="L1245">
        <v>200</v>
      </c>
      <c r="M1245">
        <v>59980000</v>
      </c>
      <c r="N1245" s="19">
        <v>54527272.727272719</v>
      </c>
      <c r="O1245" s="19">
        <v>32171090.909090903</v>
      </c>
      <c r="P1245" t="str">
        <f t="shared" si="28"/>
        <v>Ninja Motorized</v>
      </c>
      <c r="Q1245" t="str">
        <f t="shared" si="29"/>
        <v>Kitchen</v>
      </c>
    </row>
    <row r="1246" spans="1:17" x14ac:dyDescent="0.35">
      <c r="A1246" t="str">
        <f>_xlfn.XLOOKUP(B1246,Mapping!C:C,Mapping!D:D)</f>
        <v>TVHS</v>
      </c>
      <c r="B1246" t="s">
        <v>163</v>
      </c>
      <c r="C1246" t="s">
        <v>345</v>
      </c>
      <c r="D1246" s="21">
        <v>46257</v>
      </c>
      <c r="E1246" s="21">
        <v>46257</v>
      </c>
      <c r="F1246">
        <v>1</v>
      </c>
      <c r="G1246" t="s">
        <v>35</v>
      </c>
      <c r="H1246" s="19">
        <v>599000</v>
      </c>
      <c r="I1246" s="19">
        <v>549000</v>
      </c>
      <c r="J1246">
        <v>499000</v>
      </c>
      <c r="K1246">
        <v>449000</v>
      </c>
      <c r="L1246">
        <v>225</v>
      </c>
      <c r="M1246">
        <v>101025000</v>
      </c>
      <c r="N1246" s="19">
        <v>91840909.090909094</v>
      </c>
      <c r="O1246" s="19">
        <v>54186136.36363636</v>
      </c>
      <c r="P1246" t="str">
        <f t="shared" si="28"/>
        <v>Shark Floorcare</v>
      </c>
      <c r="Q1246" t="str">
        <f t="shared" si="29"/>
        <v>FW</v>
      </c>
    </row>
    <row r="1247" spans="1:17" x14ac:dyDescent="0.35">
      <c r="A1247" t="str">
        <f>_xlfn.XLOOKUP(B1247,Mapping!C:C,Mapping!D:D)</f>
        <v>TVHS</v>
      </c>
      <c r="B1247" t="s">
        <v>163</v>
      </c>
      <c r="C1247" t="s">
        <v>345</v>
      </c>
      <c r="D1247" s="21">
        <v>46258</v>
      </c>
      <c r="E1247" s="21">
        <v>46258</v>
      </c>
      <c r="F1247">
        <v>1</v>
      </c>
      <c r="G1247" t="s">
        <v>35</v>
      </c>
      <c r="H1247" s="19">
        <v>599000</v>
      </c>
      <c r="I1247" s="19">
        <v>549000</v>
      </c>
      <c r="J1247">
        <v>499000</v>
      </c>
      <c r="K1247">
        <v>449000</v>
      </c>
      <c r="L1247">
        <v>200</v>
      </c>
      <c r="M1247">
        <v>89800000</v>
      </c>
      <c r="N1247" s="19">
        <v>81636363.63636364</v>
      </c>
      <c r="O1247" s="19">
        <v>48165454.545454547</v>
      </c>
      <c r="P1247" t="str">
        <f t="shared" si="28"/>
        <v>Shark Floorcare</v>
      </c>
      <c r="Q1247" t="str">
        <f t="shared" si="29"/>
        <v>FW</v>
      </c>
    </row>
    <row r="1248" spans="1:17" x14ac:dyDescent="0.35">
      <c r="A1248" t="str">
        <f>_xlfn.XLOOKUP(B1248,Mapping!C:C,Mapping!D:D)</f>
        <v>TVHS</v>
      </c>
      <c r="B1248" t="s">
        <v>163</v>
      </c>
      <c r="C1248" t="s">
        <v>344</v>
      </c>
      <c r="D1248" s="21">
        <v>46263</v>
      </c>
      <c r="E1248" s="21">
        <v>46263</v>
      </c>
      <c r="F1248">
        <v>1</v>
      </c>
      <c r="G1248" t="s">
        <v>46</v>
      </c>
      <c r="H1248" s="19">
        <v>699000</v>
      </c>
      <c r="I1248" s="19">
        <v>499000</v>
      </c>
      <c r="J1248">
        <v>499000</v>
      </c>
      <c r="K1248">
        <v>449000</v>
      </c>
      <c r="L1248">
        <v>770</v>
      </c>
      <c r="M1248">
        <v>345730000</v>
      </c>
      <c r="N1248" s="19">
        <v>314300000</v>
      </c>
      <c r="O1248" s="19">
        <v>185437000</v>
      </c>
      <c r="P1248" t="str">
        <f t="shared" si="28"/>
        <v>Shark Floorcare</v>
      </c>
      <c r="Q1248" t="str">
        <f t="shared" si="29"/>
        <v>Kion</v>
      </c>
    </row>
    <row r="1249" spans="1:17" x14ac:dyDescent="0.35">
      <c r="A1249" t="str">
        <f>_xlfn.XLOOKUP(B1249,Mapping!C:C,Mapping!D:D)</f>
        <v>TVHS</v>
      </c>
      <c r="B1249" t="s">
        <v>163</v>
      </c>
      <c r="C1249" t="s">
        <v>346</v>
      </c>
      <c r="D1249" s="21">
        <v>46257</v>
      </c>
      <c r="E1249" s="21">
        <v>46257</v>
      </c>
      <c r="F1249">
        <v>1</v>
      </c>
      <c r="G1249" t="s">
        <v>46</v>
      </c>
      <c r="H1249" s="19">
        <v>699000</v>
      </c>
      <c r="I1249" s="19">
        <v>499000</v>
      </c>
      <c r="J1249">
        <v>499000</v>
      </c>
      <c r="K1249">
        <v>499000</v>
      </c>
      <c r="L1249">
        <v>350</v>
      </c>
      <c r="M1249">
        <v>174650000</v>
      </c>
      <c r="N1249" s="19">
        <v>158772727.27272725</v>
      </c>
      <c r="O1249" s="19">
        <v>93675909.090909064</v>
      </c>
      <c r="P1249" t="str">
        <f t="shared" si="28"/>
        <v>Shark Floorcare</v>
      </c>
      <c r="Q1249" t="str">
        <f t="shared" si="29"/>
        <v>Kion</v>
      </c>
    </row>
    <row r="1250" spans="1:17" x14ac:dyDescent="0.35">
      <c r="A1250" t="str">
        <f>_xlfn.XLOOKUP(B1250,Mapping!C:C,Mapping!D:D)</f>
        <v>PP</v>
      </c>
      <c r="B1250" t="s">
        <v>154</v>
      </c>
      <c r="C1250" t="s">
        <v>154</v>
      </c>
      <c r="D1250" s="21">
        <v>46236</v>
      </c>
      <c r="E1250" s="21">
        <v>46240</v>
      </c>
      <c r="F1250">
        <v>5</v>
      </c>
      <c r="G1250" t="s">
        <v>19</v>
      </c>
      <c r="H1250" s="19">
        <v>249900</v>
      </c>
      <c r="I1250" s="19">
        <v>219900</v>
      </c>
      <c r="J1250">
        <v>199900</v>
      </c>
      <c r="K1250">
        <v>221000</v>
      </c>
      <c r="L1250">
        <v>500</v>
      </c>
      <c r="M1250">
        <v>110500000</v>
      </c>
      <c r="N1250" s="19">
        <v>100454545.45454544</v>
      </c>
      <c r="O1250" s="19">
        <v>63286363.636363626</v>
      </c>
      <c r="P1250" t="str">
        <f t="shared" si="28"/>
        <v>Ninja Heated</v>
      </c>
      <c r="Q1250" t="str">
        <f t="shared" si="29"/>
        <v>Crispi</v>
      </c>
    </row>
    <row r="1251" spans="1:17" x14ac:dyDescent="0.35">
      <c r="A1251" t="str">
        <f>_xlfn.XLOOKUP(B1251,Mapping!C:C,Mapping!D:D)</f>
        <v>PP</v>
      </c>
      <c r="B1251" t="s">
        <v>154</v>
      </c>
      <c r="C1251" t="s">
        <v>154</v>
      </c>
      <c r="D1251" s="21">
        <v>46236</v>
      </c>
      <c r="E1251" s="21">
        <v>46240</v>
      </c>
      <c r="F1251">
        <v>5</v>
      </c>
      <c r="G1251" t="s">
        <v>32</v>
      </c>
      <c r="H1251" s="19">
        <v>349900</v>
      </c>
      <c r="I1251" s="19">
        <v>299900</v>
      </c>
      <c r="J1251">
        <v>269900</v>
      </c>
      <c r="K1251">
        <v>269900</v>
      </c>
      <c r="L1251">
        <v>50</v>
      </c>
      <c r="M1251">
        <v>13495000</v>
      </c>
      <c r="N1251" s="19">
        <v>12268181.818181818</v>
      </c>
      <c r="O1251" s="19">
        <v>7728954.5454545459</v>
      </c>
      <c r="P1251" t="str">
        <f t="shared" si="28"/>
        <v>Ninja Motorized</v>
      </c>
      <c r="Q1251" t="str">
        <f t="shared" si="29"/>
        <v>Icecream</v>
      </c>
    </row>
    <row r="1252" spans="1:17" x14ac:dyDescent="0.35">
      <c r="A1252" t="str">
        <f>_xlfn.XLOOKUP(B1252,Mapping!C:C,Mapping!D:D)</f>
        <v>PP</v>
      </c>
      <c r="B1252" t="s">
        <v>154</v>
      </c>
      <c r="C1252" t="s">
        <v>154</v>
      </c>
      <c r="D1252" s="21">
        <v>46258</v>
      </c>
      <c r="E1252" s="21">
        <v>46261</v>
      </c>
      <c r="F1252">
        <v>4</v>
      </c>
      <c r="G1252" t="s">
        <v>19</v>
      </c>
      <c r="H1252" s="19">
        <v>249900</v>
      </c>
      <c r="I1252" s="19">
        <v>219900</v>
      </c>
      <c r="J1252">
        <v>199900</v>
      </c>
      <c r="K1252">
        <v>221000</v>
      </c>
      <c r="L1252">
        <v>500</v>
      </c>
      <c r="M1252">
        <v>110500000</v>
      </c>
      <c r="N1252" s="19">
        <v>100454545.45454544</v>
      </c>
      <c r="O1252" s="19">
        <v>63286363.636363626</v>
      </c>
      <c r="P1252" t="str">
        <f t="shared" si="28"/>
        <v>Ninja Heated</v>
      </c>
      <c r="Q1252" t="str">
        <f t="shared" si="29"/>
        <v>Crispi</v>
      </c>
    </row>
    <row r="1253" spans="1:17" x14ac:dyDescent="0.35">
      <c r="A1253" t="str">
        <f>_xlfn.XLOOKUP(B1253,Mapping!C:C,Mapping!D:D)</f>
        <v>PP</v>
      </c>
      <c r="B1253" t="s">
        <v>154</v>
      </c>
      <c r="C1253" t="s">
        <v>154</v>
      </c>
      <c r="D1253" s="21">
        <v>46244</v>
      </c>
      <c r="E1253" s="21">
        <v>46247</v>
      </c>
      <c r="F1253">
        <v>4</v>
      </c>
      <c r="G1253" t="s">
        <v>19</v>
      </c>
      <c r="H1253" s="19">
        <v>249900</v>
      </c>
      <c r="I1253" s="19">
        <v>219900</v>
      </c>
      <c r="J1253">
        <v>199900</v>
      </c>
      <c r="K1253">
        <v>221000</v>
      </c>
      <c r="L1253">
        <v>500</v>
      </c>
      <c r="M1253">
        <v>110500000</v>
      </c>
      <c r="N1253" s="19">
        <v>100454545.45454544</v>
      </c>
      <c r="O1253" s="19">
        <v>63286363.636363626</v>
      </c>
      <c r="P1253" t="str">
        <f t="shared" si="28"/>
        <v>Ninja Heated</v>
      </c>
      <c r="Q1253" t="str">
        <f t="shared" si="29"/>
        <v>Crispi</v>
      </c>
    </row>
    <row r="1254" spans="1:17" x14ac:dyDescent="0.35">
      <c r="A1254" t="str">
        <f>_xlfn.XLOOKUP(B1254,Mapping!C:C,Mapping!D:D)</f>
        <v>PP</v>
      </c>
      <c r="B1254" t="s">
        <v>154</v>
      </c>
      <c r="C1254" t="s">
        <v>154</v>
      </c>
      <c r="D1254" s="21">
        <v>46241</v>
      </c>
      <c r="E1254" s="21">
        <v>46243</v>
      </c>
      <c r="F1254">
        <v>3</v>
      </c>
      <c r="G1254" t="s">
        <v>35</v>
      </c>
      <c r="H1254" s="19">
        <v>599000</v>
      </c>
      <c r="I1254" s="19">
        <v>549000</v>
      </c>
      <c r="J1254">
        <v>499000</v>
      </c>
      <c r="K1254">
        <v>479000</v>
      </c>
      <c r="L1254">
        <v>100</v>
      </c>
      <c r="M1254">
        <v>47900000</v>
      </c>
      <c r="N1254" s="19">
        <v>43545454.545454539</v>
      </c>
      <c r="O1254" s="19">
        <v>27433636.36363636</v>
      </c>
      <c r="P1254" t="str">
        <f t="shared" si="28"/>
        <v>Shark Floorcare</v>
      </c>
      <c r="Q1254" t="str">
        <f t="shared" si="29"/>
        <v>FW</v>
      </c>
    </row>
    <row r="1255" spans="1:17" x14ac:dyDescent="0.35">
      <c r="A1255" t="str">
        <f>_xlfn.XLOOKUP(B1255,Mapping!C:C,Mapping!D:D)</f>
        <v>PP</v>
      </c>
      <c r="B1255" t="s">
        <v>154</v>
      </c>
      <c r="C1255" t="s">
        <v>154</v>
      </c>
      <c r="D1255" s="21">
        <v>46251</v>
      </c>
      <c r="E1255" s="21">
        <v>46254</v>
      </c>
      <c r="F1255">
        <v>4</v>
      </c>
      <c r="G1255" t="s">
        <v>65</v>
      </c>
      <c r="H1255" s="19">
        <v>249900</v>
      </c>
      <c r="I1255" s="19">
        <v>229900</v>
      </c>
      <c r="J1255">
        <v>199900</v>
      </c>
      <c r="K1255">
        <v>199900</v>
      </c>
      <c r="L1255">
        <v>300</v>
      </c>
      <c r="M1255">
        <v>59970000</v>
      </c>
      <c r="N1255" s="19">
        <v>54518181.818181813</v>
      </c>
      <c r="O1255" s="19">
        <v>34346454.545454547</v>
      </c>
      <c r="P1255" t="str">
        <f t="shared" si="28"/>
        <v>Ninja Motorized</v>
      </c>
      <c r="Q1255" t="str">
        <f t="shared" si="29"/>
        <v>Portable</v>
      </c>
    </row>
    <row r="1256" spans="1:17" x14ac:dyDescent="0.35">
      <c r="A1256" t="str">
        <f>_xlfn.XLOOKUP(B1256,Mapping!C:C,Mapping!D:D)</f>
        <v>PP</v>
      </c>
      <c r="B1256" t="s">
        <v>154</v>
      </c>
      <c r="C1256" t="s">
        <v>154</v>
      </c>
      <c r="D1256" s="21">
        <v>46254</v>
      </c>
      <c r="E1256" s="21">
        <v>46256</v>
      </c>
      <c r="F1256">
        <v>3</v>
      </c>
      <c r="G1256" t="s">
        <v>65</v>
      </c>
      <c r="H1256" s="19">
        <v>249900</v>
      </c>
      <c r="I1256" s="19">
        <v>229900</v>
      </c>
      <c r="J1256">
        <v>199900</v>
      </c>
      <c r="K1256">
        <v>199900</v>
      </c>
      <c r="L1256">
        <v>300</v>
      </c>
      <c r="M1256">
        <v>59970000</v>
      </c>
      <c r="N1256" s="19">
        <v>54518181.818181813</v>
      </c>
      <c r="O1256" s="19">
        <v>34346454.545454547</v>
      </c>
      <c r="P1256" t="str">
        <f t="shared" si="28"/>
        <v>Ninja Motorized</v>
      </c>
      <c r="Q1256" t="str">
        <f t="shared" si="29"/>
        <v>Portable</v>
      </c>
    </row>
    <row r="1257" spans="1:17" x14ac:dyDescent="0.35">
      <c r="A1257" t="str">
        <f>_xlfn.XLOOKUP(B1257,Mapping!C:C,Mapping!D:D)</f>
        <v>PP</v>
      </c>
      <c r="B1257" t="s">
        <v>154</v>
      </c>
      <c r="C1257" t="s">
        <v>154</v>
      </c>
      <c r="D1257" s="21">
        <v>46260</v>
      </c>
      <c r="E1257" s="21">
        <v>46263</v>
      </c>
      <c r="F1257">
        <v>4</v>
      </c>
      <c r="G1257" t="s">
        <v>106</v>
      </c>
      <c r="H1257" s="19">
        <v>399900</v>
      </c>
      <c r="I1257" s="19">
        <v>349900</v>
      </c>
      <c r="J1257">
        <v>299900</v>
      </c>
      <c r="K1257">
        <v>299900</v>
      </c>
      <c r="L1257">
        <v>100</v>
      </c>
      <c r="M1257">
        <v>29990000</v>
      </c>
      <c r="N1257" s="19">
        <v>27263636.36363636</v>
      </c>
      <c r="O1257" s="19">
        <v>17176090.909090906</v>
      </c>
      <c r="P1257" t="str">
        <f t="shared" si="28"/>
        <v>Ninja Heated</v>
      </c>
      <c r="Q1257" t="str">
        <f t="shared" si="29"/>
        <v>Combi</v>
      </c>
    </row>
    <row r="1258" spans="1:17" x14ac:dyDescent="0.35">
      <c r="A1258" t="str">
        <f>_xlfn.XLOOKUP(B1258,Mapping!C:C,Mapping!D:D)</f>
        <v>PP</v>
      </c>
      <c r="B1258" t="s">
        <v>154</v>
      </c>
      <c r="C1258" t="s">
        <v>154</v>
      </c>
      <c r="D1258" s="21">
        <v>46260</v>
      </c>
      <c r="E1258" s="21">
        <v>46263</v>
      </c>
      <c r="F1258">
        <v>4</v>
      </c>
      <c r="G1258" t="s">
        <v>82</v>
      </c>
      <c r="H1258" s="19">
        <v>149900</v>
      </c>
      <c r="I1258" s="19">
        <v>139900</v>
      </c>
      <c r="J1258">
        <v>109900</v>
      </c>
      <c r="K1258">
        <v>119900</v>
      </c>
      <c r="L1258">
        <v>300</v>
      </c>
      <c r="M1258">
        <v>35970000</v>
      </c>
      <c r="N1258" s="19">
        <v>32699999.999999996</v>
      </c>
      <c r="O1258" s="19">
        <v>20601000</v>
      </c>
      <c r="P1258" t="str">
        <f t="shared" si="28"/>
        <v>Ninja Motorized</v>
      </c>
      <c r="Q1258" t="str">
        <f t="shared" si="29"/>
        <v>Portable</v>
      </c>
    </row>
    <row r="1259" spans="1:17" x14ac:dyDescent="0.35">
      <c r="A1259" t="str">
        <f>_xlfn.XLOOKUP(B1259,Mapping!C:C,Mapping!D:D)</f>
        <v>PP</v>
      </c>
      <c r="B1259" t="s">
        <v>154</v>
      </c>
      <c r="C1259" t="s">
        <v>154</v>
      </c>
      <c r="D1259" s="21">
        <v>46263</v>
      </c>
      <c r="E1259" s="21">
        <v>46266</v>
      </c>
      <c r="F1259">
        <v>4</v>
      </c>
      <c r="G1259" t="s">
        <v>65</v>
      </c>
      <c r="H1259" s="19">
        <v>249900</v>
      </c>
      <c r="I1259" s="19">
        <v>229900</v>
      </c>
      <c r="J1259">
        <v>199900</v>
      </c>
      <c r="K1259">
        <v>199900</v>
      </c>
      <c r="L1259">
        <v>300</v>
      </c>
      <c r="M1259">
        <v>59970000</v>
      </c>
      <c r="N1259" s="19">
        <v>54518181.818181813</v>
      </c>
      <c r="O1259" s="19">
        <v>34346454.545454547</v>
      </c>
      <c r="P1259" t="str">
        <f t="shared" si="28"/>
        <v>Ninja Motorized</v>
      </c>
      <c r="Q1259" t="str">
        <f t="shared" si="29"/>
        <v>Portable</v>
      </c>
    </row>
    <row r="1260" spans="1:17" x14ac:dyDescent="0.35">
      <c r="A1260" t="str">
        <f>_xlfn.XLOOKUP(B1260,Mapping!C:C,Mapping!D:D)</f>
        <v>PP</v>
      </c>
      <c r="B1260" t="s">
        <v>154</v>
      </c>
      <c r="C1260" t="s">
        <v>154</v>
      </c>
      <c r="D1260" s="21">
        <v>46265</v>
      </c>
      <c r="E1260" s="21">
        <v>46268</v>
      </c>
      <c r="F1260">
        <v>4</v>
      </c>
      <c r="G1260" t="s">
        <v>65</v>
      </c>
      <c r="H1260" s="19">
        <v>249900</v>
      </c>
      <c r="I1260" s="19">
        <v>229900</v>
      </c>
      <c r="J1260">
        <v>199900</v>
      </c>
      <c r="K1260">
        <v>199900</v>
      </c>
      <c r="L1260">
        <v>300</v>
      </c>
      <c r="M1260">
        <v>59970000</v>
      </c>
      <c r="N1260" s="19">
        <v>54518181.818181813</v>
      </c>
      <c r="O1260" s="19">
        <v>34346454.545454547</v>
      </c>
      <c r="P1260" t="str">
        <f t="shared" si="28"/>
        <v>Ninja Motorized</v>
      </c>
      <c r="Q1260" t="str">
        <f t="shared" si="29"/>
        <v>Portable</v>
      </c>
    </row>
    <row r="1261" spans="1:17" x14ac:dyDescent="0.35">
      <c r="A1261" t="str">
        <f>_xlfn.XLOOKUP(B1261,Mapping!C:C,Mapping!D:D)</f>
        <v>PP</v>
      </c>
      <c r="B1261" t="s">
        <v>154</v>
      </c>
      <c r="C1261" t="s">
        <v>154</v>
      </c>
      <c r="D1261" s="21">
        <v>46262</v>
      </c>
      <c r="E1261" s="21">
        <v>46265</v>
      </c>
      <c r="F1261">
        <v>4</v>
      </c>
      <c r="G1261" t="s">
        <v>19</v>
      </c>
      <c r="H1261" s="19">
        <v>249900</v>
      </c>
      <c r="I1261" s="19">
        <v>219900</v>
      </c>
      <c r="J1261">
        <v>199900</v>
      </c>
      <c r="K1261">
        <v>221000</v>
      </c>
      <c r="L1261">
        <v>500</v>
      </c>
      <c r="M1261">
        <v>110500000</v>
      </c>
      <c r="N1261" s="19">
        <v>100454545.45454544</v>
      </c>
      <c r="O1261" s="19">
        <v>63286363.636363626</v>
      </c>
      <c r="P1261" t="str">
        <f t="shared" si="28"/>
        <v>Ninja Heated</v>
      </c>
      <c r="Q1261" t="str">
        <f t="shared" si="29"/>
        <v>Crispi</v>
      </c>
    </row>
    <row r="1262" spans="1:17" x14ac:dyDescent="0.35">
      <c r="A1262" t="str">
        <f>_xlfn.XLOOKUP(B1262,Mapping!C:C,Mapping!D:D)</f>
        <v>Group Buying</v>
      </c>
      <c r="B1262" t="s">
        <v>114</v>
      </c>
      <c r="C1262" t="s">
        <v>273</v>
      </c>
      <c r="D1262" s="21">
        <v>46234</v>
      </c>
      <c r="E1262" s="21">
        <v>46237</v>
      </c>
      <c r="F1262">
        <v>4</v>
      </c>
      <c r="G1262" t="s">
        <v>31</v>
      </c>
      <c r="H1262">
        <v>849000</v>
      </c>
      <c r="I1262">
        <v>699000</v>
      </c>
      <c r="J1262">
        <v>649000</v>
      </c>
      <c r="K1262">
        <v>699000</v>
      </c>
      <c r="L1262">
        <v>50</v>
      </c>
      <c r="M1262">
        <v>34950000</v>
      </c>
      <c r="N1262" s="19">
        <v>20334545.454545453</v>
      </c>
      <c r="O1262" s="19">
        <v>19927854.545454543</v>
      </c>
      <c r="P1262" t="str">
        <f t="shared" si="28"/>
        <v>Shark Floorcare</v>
      </c>
      <c r="Q1262" t="str">
        <f t="shared" si="29"/>
        <v>FW</v>
      </c>
    </row>
    <row r="1263" spans="1:17" x14ac:dyDescent="0.35">
      <c r="A1263" t="str">
        <f>_xlfn.XLOOKUP(B1263,Mapping!C:C,Mapping!D:D)</f>
        <v>Group Buying</v>
      </c>
      <c r="B1263" t="s">
        <v>114</v>
      </c>
      <c r="C1263" t="s">
        <v>273</v>
      </c>
      <c r="D1263" s="21">
        <v>46234</v>
      </c>
      <c r="E1263" s="21">
        <v>46237</v>
      </c>
      <c r="F1263">
        <v>4</v>
      </c>
      <c r="G1263" t="s">
        <v>347</v>
      </c>
      <c r="H1263">
        <v>849000</v>
      </c>
      <c r="I1263">
        <v>699000</v>
      </c>
      <c r="J1263">
        <v>649000</v>
      </c>
      <c r="K1263">
        <v>699000</v>
      </c>
      <c r="L1263">
        <v>50</v>
      </c>
      <c r="M1263">
        <v>34950000</v>
      </c>
      <c r="N1263" s="19">
        <v>20334545.454545453</v>
      </c>
      <c r="O1263" s="19">
        <v>19927854.545454543</v>
      </c>
      <c r="P1263" t="str">
        <f t="shared" si="28"/>
        <v>Shark Floorcare</v>
      </c>
      <c r="Q1263" t="str">
        <f t="shared" si="29"/>
        <v>FW</v>
      </c>
    </row>
    <row r="1264" spans="1:17" x14ac:dyDescent="0.35">
      <c r="A1264" t="str">
        <f>_xlfn.XLOOKUP(B1264,Mapping!C:C,Mapping!D:D)</f>
        <v>Group Buying</v>
      </c>
      <c r="B1264" t="s">
        <v>114</v>
      </c>
      <c r="C1264" t="s">
        <v>348</v>
      </c>
      <c r="D1264" s="21">
        <v>46258</v>
      </c>
      <c r="E1264" s="21">
        <v>46264</v>
      </c>
      <c r="F1264">
        <v>7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30</v>
      </c>
      <c r="M1264">
        <v>20970000</v>
      </c>
      <c r="N1264" s="19">
        <v>12200727.272727272</v>
      </c>
      <c r="O1264" s="19">
        <v>11956712.727272727</v>
      </c>
      <c r="P1264" t="str">
        <f t="shared" si="28"/>
        <v>Shark Floorcare</v>
      </c>
      <c r="Q1264" t="str">
        <f t="shared" si="29"/>
        <v>FW</v>
      </c>
    </row>
    <row r="1265" spans="1:17" x14ac:dyDescent="0.35">
      <c r="A1265" t="str">
        <f>_xlfn.XLOOKUP(B1265,Mapping!C:C,Mapping!D:D)</f>
        <v>Group Buying</v>
      </c>
      <c r="B1265" t="s">
        <v>114</v>
      </c>
      <c r="C1265" t="s">
        <v>348</v>
      </c>
      <c r="D1265" s="21">
        <v>46258</v>
      </c>
      <c r="E1265" s="21">
        <v>46264</v>
      </c>
      <c r="F1265">
        <v>7</v>
      </c>
      <c r="G1265" t="s">
        <v>349</v>
      </c>
      <c r="H1265">
        <v>849000</v>
      </c>
      <c r="I1265">
        <v>699000</v>
      </c>
      <c r="J1265">
        <v>649000</v>
      </c>
      <c r="K1265">
        <v>699000</v>
      </c>
      <c r="L1265">
        <v>30</v>
      </c>
      <c r="M1265">
        <v>20970000</v>
      </c>
      <c r="N1265" s="19">
        <v>12200727.272727272</v>
      </c>
      <c r="O1265" s="19">
        <v>11956712.727272727</v>
      </c>
      <c r="P1265" t="str">
        <f t="shared" si="28"/>
        <v>Shark Floorcare</v>
      </c>
      <c r="Q1265" t="str">
        <f t="shared" si="29"/>
        <v>FW</v>
      </c>
    </row>
    <row r="1266" spans="1:17" x14ac:dyDescent="0.35">
      <c r="A1266" t="str">
        <f>_xlfn.XLOOKUP(B1266,Mapping!C:C,Mapping!D:D)</f>
        <v>Group Buying</v>
      </c>
      <c r="B1266" t="s">
        <v>114</v>
      </c>
      <c r="C1266" t="s">
        <v>119</v>
      </c>
      <c r="D1266" s="21">
        <v>46254</v>
      </c>
      <c r="E1266" s="21">
        <v>46264</v>
      </c>
      <c r="F1266">
        <v>11</v>
      </c>
      <c r="G1266" t="s">
        <v>31</v>
      </c>
      <c r="H1266">
        <v>849000</v>
      </c>
      <c r="I1266">
        <v>699000</v>
      </c>
      <c r="J1266">
        <v>649000</v>
      </c>
      <c r="K1266">
        <v>699000</v>
      </c>
      <c r="L1266">
        <v>50</v>
      </c>
      <c r="M1266">
        <v>34950000</v>
      </c>
      <c r="N1266" s="19">
        <v>20334545.454545453</v>
      </c>
      <c r="O1266" s="19">
        <v>19927854.545454543</v>
      </c>
      <c r="P1266" t="str">
        <f t="shared" si="28"/>
        <v>Shark Floorcare</v>
      </c>
      <c r="Q1266" t="str">
        <f t="shared" si="29"/>
        <v>FW</v>
      </c>
    </row>
    <row r="1267" spans="1:17" x14ac:dyDescent="0.35">
      <c r="A1267" t="str">
        <f>_xlfn.XLOOKUP(B1267,Mapping!C:C,Mapping!D:D)</f>
        <v>Group Buying</v>
      </c>
      <c r="B1267" t="s">
        <v>114</v>
      </c>
      <c r="C1267" t="s">
        <v>119</v>
      </c>
      <c r="D1267" s="21">
        <v>46254</v>
      </c>
      <c r="E1267" s="21">
        <v>46264</v>
      </c>
      <c r="F1267">
        <v>11</v>
      </c>
      <c r="G1267" t="s">
        <v>349</v>
      </c>
      <c r="H1267">
        <v>849000</v>
      </c>
      <c r="I1267">
        <v>699000</v>
      </c>
      <c r="J1267">
        <v>649000</v>
      </c>
      <c r="K1267">
        <v>699000</v>
      </c>
      <c r="L1267">
        <v>50</v>
      </c>
      <c r="M1267">
        <v>34950000</v>
      </c>
      <c r="N1267" s="19">
        <v>20334545.454545453</v>
      </c>
      <c r="O1267" s="19">
        <v>19927854.545454543</v>
      </c>
      <c r="P1267" t="str">
        <f t="shared" si="28"/>
        <v>Shark Floorcare</v>
      </c>
      <c r="Q1267" t="str">
        <f t="shared" si="29"/>
        <v>FW</v>
      </c>
    </row>
    <row r="1268" spans="1:17" x14ac:dyDescent="0.35">
      <c r="A1268" t="str">
        <f>_xlfn.XLOOKUP(B1268,Mapping!C:C,Mapping!D:D)</f>
        <v>Group Buying</v>
      </c>
      <c r="B1268" t="s">
        <v>114</v>
      </c>
      <c r="C1268" t="s">
        <v>136</v>
      </c>
      <c r="D1268" s="21">
        <v>46240</v>
      </c>
      <c r="E1268" s="21">
        <v>46244</v>
      </c>
      <c r="F1268">
        <v>5</v>
      </c>
      <c r="G1268" t="s">
        <v>33</v>
      </c>
      <c r="H1268">
        <v>399900</v>
      </c>
      <c r="I1268">
        <v>349900</v>
      </c>
      <c r="J1268">
        <v>299900</v>
      </c>
      <c r="K1268">
        <v>349900</v>
      </c>
      <c r="L1268">
        <v>100</v>
      </c>
      <c r="M1268">
        <v>34990000</v>
      </c>
      <c r="N1268" s="19">
        <v>20357818.18181818</v>
      </c>
      <c r="O1268" s="19">
        <v>19950661.818181816</v>
      </c>
      <c r="P1268" t="str">
        <f t="shared" si="28"/>
        <v>Shark Fan</v>
      </c>
      <c r="Q1268" t="str">
        <f t="shared" si="29"/>
        <v>Fan</v>
      </c>
    </row>
    <row r="1269" spans="1:17" x14ac:dyDescent="0.35">
      <c r="A1269" t="str">
        <f>_xlfn.XLOOKUP(B1269,Mapping!C:C,Mapping!D:D)</f>
        <v>Group Buying</v>
      </c>
      <c r="B1269" t="s">
        <v>114</v>
      </c>
      <c r="C1269" t="s">
        <v>136</v>
      </c>
      <c r="D1269" s="21">
        <v>46240</v>
      </c>
      <c r="E1269" s="21">
        <v>46244</v>
      </c>
      <c r="F1269">
        <v>5</v>
      </c>
      <c r="G1269" t="s">
        <v>42</v>
      </c>
      <c r="H1269">
        <v>399900</v>
      </c>
      <c r="I1269">
        <v>349900</v>
      </c>
      <c r="J1269">
        <v>299900</v>
      </c>
      <c r="K1269">
        <v>349900</v>
      </c>
      <c r="L1269">
        <v>100</v>
      </c>
      <c r="M1269">
        <v>34990000</v>
      </c>
      <c r="N1269" s="19">
        <v>20357818.18181818</v>
      </c>
      <c r="O1269" s="19">
        <v>19950661.818181816</v>
      </c>
      <c r="P1269" t="str">
        <f t="shared" si="28"/>
        <v>Shark Fan</v>
      </c>
      <c r="Q1269" t="str">
        <f t="shared" si="29"/>
        <v>Fan</v>
      </c>
    </row>
    <row r="1270" spans="1:17" x14ac:dyDescent="0.35">
      <c r="A1270" t="str">
        <f>_xlfn.XLOOKUP(B1270,Mapping!C:C,Mapping!D:D)</f>
        <v>Group Buying</v>
      </c>
      <c r="B1270" t="s">
        <v>114</v>
      </c>
      <c r="C1270" t="s">
        <v>350</v>
      </c>
      <c r="D1270" s="21">
        <v>46233</v>
      </c>
      <c r="E1270" s="21">
        <v>46236</v>
      </c>
      <c r="F1270">
        <v>4</v>
      </c>
      <c r="G1270" t="s">
        <v>65</v>
      </c>
      <c r="H1270">
        <v>249900</v>
      </c>
      <c r="I1270">
        <v>229900</v>
      </c>
      <c r="J1270">
        <v>199900</v>
      </c>
      <c r="K1270">
        <v>199900</v>
      </c>
      <c r="L1270">
        <v>110</v>
      </c>
      <c r="M1270">
        <v>21989000</v>
      </c>
      <c r="N1270" s="19">
        <v>12793599.999999998</v>
      </c>
      <c r="O1270" s="19">
        <v>12537727.999999998</v>
      </c>
      <c r="P1270" t="str">
        <f t="shared" si="28"/>
        <v>Ninja Motorized</v>
      </c>
      <c r="Q1270" t="str">
        <f t="shared" si="29"/>
        <v>Portable</v>
      </c>
    </row>
    <row r="1271" spans="1:17" x14ac:dyDescent="0.35">
      <c r="A1271" t="str">
        <f>_xlfn.XLOOKUP(B1271,Mapping!C:C,Mapping!D:D)</f>
        <v>Group Buying</v>
      </c>
      <c r="B1271" t="s">
        <v>114</v>
      </c>
      <c r="C1271" t="s">
        <v>350</v>
      </c>
      <c r="D1271" s="21">
        <v>46233</v>
      </c>
      <c r="E1271" s="21">
        <v>46236</v>
      </c>
      <c r="F1271">
        <v>4</v>
      </c>
      <c r="G1271" t="s">
        <v>66</v>
      </c>
      <c r="H1271">
        <v>249900</v>
      </c>
      <c r="I1271">
        <v>229900</v>
      </c>
      <c r="J1271">
        <v>199900</v>
      </c>
      <c r="K1271">
        <v>199900</v>
      </c>
      <c r="L1271">
        <v>342</v>
      </c>
      <c r="M1271">
        <v>68365800</v>
      </c>
      <c r="N1271" s="19">
        <v>39776465.454545446</v>
      </c>
      <c r="O1271" s="19">
        <v>38980936.145454533</v>
      </c>
      <c r="P1271" t="str">
        <f t="shared" si="28"/>
        <v>Ninja Motorized</v>
      </c>
      <c r="Q1271" t="str">
        <f t="shared" si="29"/>
        <v>Portable</v>
      </c>
    </row>
    <row r="1272" spans="1:17" x14ac:dyDescent="0.35">
      <c r="A1272" t="str">
        <f>_xlfn.XLOOKUP(B1272,Mapping!C:C,Mapping!D:D)</f>
        <v>Group Buying</v>
      </c>
      <c r="B1272" t="s">
        <v>114</v>
      </c>
      <c r="C1272" t="s">
        <v>350</v>
      </c>
      <c r="D1272" s="21">
        <v>46233</v>
      </c>
      <c r="E1272" s="21">
        <v>46236</v>
      </c>
      <c r="F1272">
        <v>4</v>
      </c>
      <c r="G1272" t="s">
        <v>67</v>
      </c>
      <c r="H1272">
        <v>249900</v>
      </c>
      <c r="I1272">
        <v>229900</v>
      </c>
      <c r="J1272">
        <v>199900</v>
      </c>
      <c r="K1272">
        <v>199900</v>
      </c>
      <c r="L1272">
        <v>84</v>
      </c>
      <c r="M1272">
        <v>16791600</v>
      </c>
      <c r="N1272" s="19">
        <v>9769658.1818181798</v>
      </c>
      <c r="O1272" s="19">
        <v>9574265.0181818157</v>
      </c>
      <c r="P1272" t="str">
        <f t="shared" si="28"/>
        <v>Ninja Motorized</v>
      </c>
      <c r="Q1272" t="str">
        <f t="shared" si="29"/>
        <v>Portable</v>
      </c>
    </row>
    <row r="1273" spans="1:17" x14ac:dyDescent="0.35">
      <c r="A1273" t="str">
        <f>_xlfn.XLOOKUP(B1273,Mapping!C:C,Mapping!D:D)</f>
        <v>Group Buying</v>
      </c>
      <c r="B1273" t="s">
        <v>114</v>
      </c>
      <c r="C1273" t="s">
        <v>350</v>
      </c>
      <c r="D1273" s="21">
        <v>46233</v>
      </c>
      <c r="E1273" s="21">
        <v>46236</v>
      </c>
      <c r="F1273">
        <v>4</v>
      </c>
      <c r="G1273" t="s">
        <v>51</v>
      </c>
      <c r="H1273">
        <v>249900</v>
      </c>
      <c r="I1273">
        <v>229900</v>
      </c>
      <c r="J1273">
        <v>199900</v>
      </c>
      <c r="K1273">
        <v>199900</v>
      </c>
      <c r="L1273">
        <v>101</v>
      </c>
      <c r="M1273">
        <v>20189900</v>
      </c>
      <c r="N1273" s="19">
        <v>11746850.909090908</v>
      </c>
      <c r="O1273" s="19">
        <v>11511913.890909091</v>
      </c>
      <c r="P1273" t="str">
        <f t="shared" si="28"/>
        <v>Ninja Motorized</v>
      </c>
      <c r="Q1273" t="str">
        <f t="shared" si="29"/>
        <v>Portable</v>
      </c>
    </row>
    <row r="1274" spans="1:17" x14ac:dyDescent="0.35">
      <c r="A1274" t="str">
        <f>_xlfn.XLOOKUP(B1274,Mapping!C:C,Mapping!D:D)</f>
        <v>Group Buying</v>
      </c>
      <c r="B1274" t="s">
        <v>114</v>
      </c>
      <c r="C1274" t="s">
        <v>351</v>
      </c>
      <c r="D1274" s="21">
        <v>46237</v>
      </c>
      <c r="E1274" s="21">
        <v>46240</v>
      </c>
      <c r="F1274">
        <v>4</v>
      </c>
      <c r="G1274" t="s">
        <v>65</v>
      </c>
      <c r="H1274">
        <v>249900</v>
      </c>
      <c r="I1274">
        <v>229900</v>
      </c>
      <c r="J1274">
        <v>199900</v>
      </c>
      <c r="K1274">
        <v>199900</v>
      </c>
      <c r="L1274">
        <v>250</v>
      </c>
      <c r="M1274">
        <v>49975000</v>
      </c>
      <c r="N1274" s="19">
        <v>29076363.636363633</v>
      </c>
      <c r="O1274" s="19">
        <v>28494836.36363636</v>
      </c>
      <c r="P1274" t="str">
        <f t="shared" si="28"/>
        <v>Ninja Motorized</v>
      </c>
      <c r="Q1274" t="str">
        <f t="shared" si="29"/>
        <v>Portable</v>
      </c>
    </row>
    <row r="1275" spans="1:17" x14ac:dyDescent="0.35">
      <c r="A1275" t="str">
        <f>_xlfn.XLOOKUP(B1275,Mapping!C:C,Mapping!D:D)</f>
        <v>Group Buying</v>
      </c>
      <c r="B1275" t="s">
        <v>114</v>
      </c>
      <c r="C1275" t="s">
        <v>351</v>
      </c>
      <c r="D1275" s="21">
        <v>46237</v>
      </c>
      <c r="E1275" s="21">
        <v>46240</v>
      </c>
      <c r="F1275">
        <v>4</v>
      </c>
      <c r="G1275" t="s">
        <v>66</v>
      </c>
      <c r="H1275">
        <v>249900</v>
      </c>
      <c r="I1275">
        <v>229900</v>
      </c>
      <c r="J1275">
        <v>199900</v>
      </c>
      <c r="K1275">
        <v>199900</v>
      </c>
      <c r="L1275">
        <v>50</v>
      </c>
      <c r="M1275">
        <v>9995000</v>
      </c>
      <c r="N1275" s="19">
        <v>5815272.7272727266</v>
      </c>
      <c r="O1275" s="19">
        <v>5698967.2727272725</v>
      </c>
      <c r="P1275" t="str">
        <f t="shared" si="28"/>
        <v>Ninja Motorized</v>
      </c>
      <c r="Q1275" t="str">
        <f t="shared" si="29"/>
        <v>Portable</v>
      </c>
    </row>
    <row r="1276" spans="1:17" x14ac:dyDescent="0.35">
      <c r="A1276" t="str">
        <f>_xlfn.XLOOKUP(B1276,Mapping!C:C,Mapping!D:D)</f>
        <v>Group Buying</v>
      </c>
      <c r="B1276" t="s">
        <v>114</v>
      </c>
      <c r="C1276" t="s">
        <v>351</v>
      </c>
      <c r="D1276" s="21">
        <v>46237</v>
      </c>
      <c r="E1276" s="21">
        <v>46240</v>
      </c>
      <c r="F1276">
        <v>4</v>
      </c>
      <c r="G1276" t="s">
        <v>67</v>
      </c>
      <c r="H1276">
        <v>249900</v>
      </c>
      <c r="I1276">
        <v>229900</v>
      </c>
      <c r="J1276">
        <v>199900</v>
      </c>
      <c r="K1276">
        <v>199900</v>
      </c>
      <c r="L1276">
        <v>250</v>
      </c>
      <c r="M1276">
        <v>49975000</v>
      </c>
      <c r="N1276" s="19">
        <v>29076363.636363633</v>
      </c>
      <c r="O1276" s="19">
        <v>28494836.36363636</v>
      </c>
      <c r="P1276" t="str">
        <f t="shared" si="28"/>
        <v>Ninja Motorized</v>
      </c>
      <c r="Q1276" t="str">
        <f t="shared" si="29"/>
        <v>Portable</v>
      </c>
    </row>
    <row r="1277" spans="1:17" x14ac:dyDescent="0.35">
      <c r="A1277" t="str">
        <f>_xlfn.XLOOKUP(B1277,Mapping!C:C,Mapping!D:D)</f>
        <v>Group Buying</v>
      </c>
      <c r="B1277" t="s">
        <v>114</v>
      </c>
      <c r="C1277" t="s">
        <v>351</v>
      </c>
      <c r="D1277" s="21">
        <v>46237</v>
      </c>
      <c r="E1277" s="21">
        <v>46240</v>
      </c>
      <c r="F1277">
        <v>4</v>
      </c>
      <c r="G1277" t="s">
        <v>51</v>
      </c>
      <c r="H1277">
        <v>249900</v>
      </c>
      <c r="I1277">
        <v>229900</v>
      </c>
      <c r="J1277">
        <v>199900</v>
      </c>
      <c r="K1277">
        <v>199900</v>
      </c>
      <c r="L1277">
        <v>50</v>
      </c>
      <c r="M1277">
        <v>9995000</v>
      </c>
      <c r="N1277" s="19">
        <v>5815272.7272727266</v>
      </c>
      <c r="O1277" s="19">
        <v>5698967.2727272725</v>
      </c>
      <c r="P1277" t="str">
        <f t="shared" ref="P1277:P1340" si="30">_xlfn.XLOOKUP(G1277,$G$2:$G$529,$P$2:$P$529,"Not Found")</f>
        <v>Ninja Motorized</v>
      </c>
      <c r="Q1277" t="str">
        <f t="shared" ref="Q1277:Q1340" si="31">_xlfn.XLOOKUP(G1277,$G$2:$G$529,$Q$2:$Q$529,"Not Found")</f>
        <v>Portable</v>
      </c>
    </row>
    <row r="1278" spans="1:17" x14ac:dyDescent="0.35">
      <c r="A1278" t="str">
        <f>_xlfn.XLOOKUP(B1278,Mapping!C:C,Mapping!D:D)</f>
        <v>Group Buying</v>
      </c>
      <c r="B1278" t="s">
        <v>114</v>
      </c>
      <c r="C1278" t="s">
        <v>352</v>
      </c>
      <c r="D1278" s="21">
        <v>46237</v>
      </c>
      <c r="E1278" s="21">
        <v>46240</v>
      </c>
      <c r="F1278">
        <v>4</v>
      </c>
      <c r="G1278" t="s">
        <v>65</v>
      </c>
      <c r="H1278">
        <v>249900</v>
      </c>
      <c r="I1278">
        <v>229900</v>
      </c>
      <c r="J1278">
        <v>199900</v>
      </c>
      <c r="K1278">
        <v>199900</v>
      </c>
      <c r="L1278">
        <v>250</v>
      </c>
      <c r="M1278">
        <v>49975000</v>
      </c>
      <c r="N1278" s="19">
        <v>29076363.636363633</v>
      </c>
      <c r="O1278" s="19">
        <v>28494836.36363636</v>
      </c>
      <c r="P1278" t="str">
        <f t="shared" si="30"/>
        <v>Ninja Motorized</v>
      </c>
      <c r="Q1278" t="str">
        <f t="shared" si="31"/>
        <v>Portable</v>
      </c>
    </row>
    <row r="1279" spans="1:17" x14ac:dyDescent="0.35">
      <c r="A1279" t="str">
        <f>_xlfn.XLOOKUP(B1279,Mapping!C:C,Mapping!D:D)</f>
        <v>Group Buying</v>
      </c>
      <c r="B1279" t="s">
        <v>114</v>
      </c>
      <c r="C1279" t="s">
        <v>352</v>
      </c>
      <c r="D1279" s="21">
        <v>46237</v>
      </c>
      <c r="E1279" s="21">
        <v>46240</v>
      </c>
      <c r="F1279">
        <v>4</v>
      </c>
      <c r="G1279" t="s">
        <v>66</v>
      </c>
      <c r="H1279">
        <v>249900</v>
      </c>
      <c r="I1279">
        <v>229900</v>
      </c>
      <c r="J1279">
        <v>199900</v>
      </c>
      <c r="K1279">
        <v>199900</v>
      </c>
      <c r="L1279">
        <v>50</v>
      </c>
      <c r="M1279">
        <v>9995000</v>
      </c>
      <c r="N1279" s="19">
        <v>5815272.7272727266</v>
      </c>
      <c r="O1279" s="19">
        <v>5698967.2727272725</v>
      </c>
      <c r="P1279" t="str">
        <f t="shared" si="30"/>
        <v>Ninja Motorized</v>
      </c>
      <c r="Q1279" t="str">
        <f t="shared" si="31"/>
        <v>Portable</v>
      </c>
    </row>
    <row r="1280" spans="1:17" x14ac:dyDescent="0.35">
      <c r="A1280" t="str">
        <f>_xlfn.XLOOKUP(B1280,Mapping!C:C,Mapping!D:D)</f>
        <v>Group Buying</v>
      </c>
      <c r="B1280" t="s">
        <v>114</v>
      </c>
      <c r="C1280" t="s">
        <v>352</v>
      </c>
      <c r="D1280" s="21">
        <v>46237</v>
      </c>
      <c r="E1280" s="21">
        <v>46240</v>
      </c>
      <c r="F1280">
        <v>4</v>
      </c>
      <c r="G1280" t="s">
        <v>67</v>
      </c>
      <c r="H1280">
        <v>249900</v>
      </c>
      <c r="I1280">
        <v>229900</v>
      </c>
      <c r="J1280">
        <v>199900</v>
      </c>
      <c r="K1280">
        <v>199900</v>
      </c>
      <c r="L1280">
        <v>250</v>
      </c>
      <c r="M1280">
        <v>49975000</v>
      </c>
      <c r="N1280" s="19">
        <v>29076363.636363633</v>
      </c>
      <c r="O1280" s="19">
        <v>28494836.36363636</v>
      </c>
      <c r="P1280" t="str">
        <f t="shared" si="30"/>
        <v>Ninja Motorized</v>
      </c>
      <c r="Q1280" t="str">
        <f t="shared" si="31"/>
        <v>Portable</v>
      </c>
    </row>
    <row r="1281" spans="1:17" x14ac:dyDescent="0.35">
      <c r="A1281" t="str">
        <f>_xlfn.XLOOKUP(B1281,Mapping!C:C,Mapping!D:D)</f>
        <v>Group Buying</v>
      </c>
      <c r="B1281" t="s">
        <v>114</v>
      </c>
      <c r="C1281" t="s">
        <v>352</v>
      </c>
      <c r="D1281" s="21">
        <v>46237</v>
      </c>
      <c r="E1281" s="21">
        <v>46240</v>
      </c>
      <c r="F1281">
        <v>4</v>
      </c>
      <c r="G1281" t="s">
        <v>51</v>
      </c>
      <c r="H1281">
        <v>249900</v>
      </c>
      <c r="I1281">
        <v>229900</v>
      </c>
      <c r="J1281">
        <v>199900</v>
      </c>
      <c r="K1281">
        <v>199900</v>
      </c>
      <c r="L1281">
        <v>50</v>
      </c>
      <c r="M1281">
        <v>9995000</v>
      </c>
      <c r="N1281" s="19">
        <v>5815272.7272727266</v>
      </c>
      <c r="O1281" s="19">
        <v>5698967.2727272725</v>
      </c>
      <c r="P1281" t="str">
        <f t="shared" si="30"/>
        <v>Ninja Motorized</v>
      </c>
      <c r="Q1281" t="str">
        <f t="shared" si="31"/>
        <v>Portable</v>
      </c>
    </row>
    <row r="1282" spans="1:17" x14ac:dyDescent="0.35">
      <c r="A1282" t="str">
        <f>_xlfn.XLOOKUP(B1282,Mapping!C:C,Mapping!D:D)</f>
        <v>Group Buying</v>
      </c>
      <c r="B1282" t="s">
        <v>114</v>
      </c>
      <c r="C1282" t="s">
        <v>353</v>
      </c>
      <c r="D1282" s="21">
        <v>46237</v>
      </c>
      <c r="E1282" s="21">
        <v>46241</v>
      </c>
      <c r="F1282">
        <v>5</v>
      </c>
      <c r="G1282" t="s">
        <v>33</v>
      </c>
      <c r="H1282">
        <v>399900</v>
      </c>
      <c r="I1282">
        <v>349900</v>
      </c>
      <c r="J1282">
        <v>299900</v>
      </c>
      <c r="K1282">
        <v>349900</v>
      </c>
      <c r="L1282">
        <v>50</v>
      </c>
      <c r="M1282">
        <v>17495000</v>
      </c>
      <c r="N1282" s="19">
        <v>10178909.09090909</v>
      </c>
      <c r="O1282" s="19">
        <v>9975330.9090909082</v>
      </c>
      <c r="P1282" t="str">
        <f t="shared" si="30"/>
        <v>Shark Fan</v>
      </c>
      <c r="Q1282" t="str">
        <f t="shared" si="31"/>
        <v>Fan</v>
      </c>
    </row>
    <row r="1283" spans="1:17" x14ac:dyDescent="0.35">
      <c r="A1283" t="str">
        <f>_xlfn.XLOOKUP(B1283,Mapping!C:C,Mapping!D:D)</f>
        <v>Group Buying</v>
      </c>
      <c r="B1283" t="s">
        <v>114</v>
      </c>
      <c r="C1283" t="s">
        <v>353</v>
      </c>
      <c r="D1283" s="21">
        <v>46237</v>
      </c>
      <c r="E1283" s="21">
        <v>46241</v>
      </c>
      <c r="F1283">
        <v>5</v>
      </c>
      <c r="G1283" t="s">
        <v>42</v>
      </c>
      <c r="H1283">
        <v>399900</v>
      </c>
      <c r="I1283">
        <v>349900</v>
      </c>
      <c r="J1283">
        <v>299900</v>
      </c>
      <c r="K1283">
        <v>349900</v>
      </c>
      <c r="L1283">
        <v>50</v>
      </c>
      <c r="M1283">
        <v>17495000</v>
      </c>
      <c r="N1283" s="19">
        <v>10178909.09090909</v>
      </c>
      <c r="O1283" s="19">
        <v>9975330.9090909082</v>
      </c>
      <c r="P1283" t="str">
        <f t="shared" si="30"/>
        <v>Shark Fan</v>
      </c>
      <c r="Q1283" t="str">
        <f t="shared" si="31"/>
        <v>Fan</v>
      </c>
    </row>
    <row r="1284" spans="1:17" x14ac:dyDescent="0.35">
      <c r="A1284" t="str">
        <f>_xlfn.XLOOKUP(B1284,Mapping!C:C,Mapping!D:D)</f>
        <v>Group Buying</v>
      </c>
      <c r="B1284" t="s">
        <v>114</v>
      </c>
      <c r="C1284" t="s">
        <v>354</v>
      </c>
      <c r="D1284" s="21">
        <v>46262</v>
      </c>
      <c r="E1284" s="21">
        <v>46264</v>
      </c>
      <c r="F1284">
        <v>3</v>
      </c>
      <c r="G1284" t="s">
        <v>33</v>
      </c>
      <c r="H1284">
        <v>399900</v>
      </c>
      <c r="I1284">
        <v>349900</v>
      </c>
      <c r="J1284">
        <v>299900</v>
      </c>
      <c r="K1284">
        <v>349900</v>
      </c>
      <c r="L1284">
        <v>300</v>
      </c>
      <c r="M1284">
        <v>104970000</v>
      </c>
      <c r="N1284" s="19">
        <v>61073454.545454539</v>
      </c>
      <c r="O1284" s="19">
        <v>59851985.454545446</v>
      </c>
      <c r="P1284" t="str">
        <f t="shared" si="30"/>
        <v>Shark Fan</v>
      </c>
      <c r="Q1284" t="str">
        <f t="shared" si="31"/>
        <v>Fan</v>
      </c>
    </row>
    <row r="1285" spans="1:17" x14ac:dyDescent="0.35">
      <c r="A1285" t="str">
        <f>_xlfn.XLOOKUP(B1285,Mapping!C:C,Mapping!D:D)</f>
        <v>Group Buying</v>
      </c>
      <c r="B1285" t="s">
        <v>114</v>
      </c>
      <c r="C1285" t="s">
        <v>354</v>
      </c>
      <c r="D1285" s="21">
        <v>46262</v>
      </c>
      <c r="E1285" s="21">
        <v>46264</v>
      </c>
      <c r="F1285">
        <v>3</v>
      </c>
      <c r="G1285" t="s">
        <v>42</v>
      </c>
      <c r="H1285">
        <v>399900</v>
      </c>
      <c r="I1285">
        <v>349900</v>
      </c>
      <c r="J1285">
        <v>299900</v>
      </c>
      <c r="K1285">
        <v>349900</v>
      </c>
      <c r="L1285">
        <v>300</v>
      </c>
      <c r="M1285">
        <v>104970000</v>
      </c>
      <c r="N1285" s="19">
        <v>61073454.545454539</v>
      </c>
      <c r="O1285" s="19">
        <v>59851985.454545446</v>
      </c>
      <c r="P1285" t="str">
        <f t="shared" si="30"/>
        <v>Shark Fan</v>
      </c>
      <c r="Q1285" t="str">
        <f t="shared" si="31"/>
        <v>Fan</v>
      </c>
    </row>
    <row r="1286" spans="1:17" x14ac:dyDescent="0.35">
      <c r="A1286" t="str">
        <f>_xlfn.XLOOKUP(B1286,Mapping!C:C,Mapping!D:D)</f>
        <v>Group Buying</v>
      </c>
      <c r="B1286" t="s">
        <v>114</v>
      </c>
      <c r="C1286" t="s">
        <v>354</v>
      </c>
      <c r="D1286" s="21">
        <v>46245</v>
      </c>
      <c r="E1286" s="21">
        <v>46248</v>
      </c>
      <c r="F1286">
        <v>4</v>
      </c>
      <c r="G1286" t="s">
        <v>18</v>
      </c>
      <c r="H1286">
        <v>249900</v>
      </c>
      <c r="I1286">
        <v>219900</v>
      </c>
      <c r="J1286">
        <v>199900</v>
      </c>
      <c r="K1286">
        <v>219900</v>
      </c>
      <c r="L1286">
        <v>500</v>
      </c>
      <c r="M1286">
        <v>109950000</v>
      </c>
      <c r="N1286" s="19">
        <v>63970909.090909086</v>
      </c>
      <c r="O1286" s="19">
        <v>62691490.909090906</v>
      </c>
      <c r="P1286" t="str">
        <f t="shared" si="30"/>
        <v>Ninja Heated</v>
      </c>
      <c r="Q1286" t="str">
        <f t="shared" si="31"/>
        <v>Crispi</v>
      </c>
    </row>
    <row r="1287" spans="1:17" x14ac:dyDescent="0.35">
      <c r="A1287" t="str">
        <f>_xlfn.XLOOKUP(B1287,Mapping!C:C,Mapping!D:D)</f>
        <v>Group Buying</v>
      </c>
      <c r="B1287" t="s">
        <v>114</v>
      </c>
      <c r="C1287" t="s">
        <v>354</v>
      </c>
      <c r="D1287" s="21">
        <v>46245</v>
      </c>
      <c r="E1287" s="21">
        <v>46248</v>
      </c>
      <c r="F1287">
        <v>4</v>
      </c>
      <c r="G1287" t="s">
        <v>19</v>
      </c>
      <c r="H1287">
        <v>249900</v>
      </c>
      <c r="I1287">
        <v>219900</v>
      </c>
      <c r="J1287">
        <v>199900</v>
      </c>
      <c r="K1287">
        <v>219900</v>
      </c>
      <c r="L1287">
        <v>50</v>
      </c>
      <c r="M1287">
        <v>10995000</v>
      </c>
      <c r="N1287" s="19">
        <v>6397090.9090909092</v>
      </c>
      <c r="O1287" s="19">
        <v>6269149.0909090908</v>
      </c>
      <c r="P1287" t="str">
        <f t="shared" si="30"/>
        <v>Ninja Heated</v>
      </c>
      <c r="Q1287" t="str">
        <f t="shared" si="31"/>
        <v>Crispi</v>
      </c>
    </row>
    <row r="1288" spans="1:17" x14ac:dyDescent="0.35">
      <c r="A1288" t="str">
        <f>_xlfn.XLOOKUP(B1288,Mapping!C:C,Mapping!D:D)</f>
        <v>Group Buying</v>
      </c>
      <c r="B1288" t="s">
        <v>114</v>
      </c>
      <c r="C1288" t="s">
        <v>354</v>
      </c>
      <c r="D1288" s="21">
        <v>46245</v>
      </c>
      <c r="E1288" s="21">
        <v>46248</v>
      </c>
      <c r="F1288">
        <v>4</v>
      </c>
      <c r="G1288" t="s">
        <v>20</v>
      </c>
      <c r="H1288">
        <v>249900</v>
      </c>
      <c r="I1288">
        <v>219900</v>
      </c>
      <c r="J1288">
        <v>199900</v>
      </c>
      <c r="K1288">
        <v>219900</v>
      </c>
      <c r="L1288">
        <v>100</v>
      </c>
      <c r="M1288">
        <v>21990000</v>
      </c>
      <c r="N1288" s="19">
        <v>12794181.818181818</v>
      </c>
      <c r="O1288" s="19">
        <v>12538298.181818182</v>
      </c>
      <c r="P1288" t="str">
        <f t="shared" si="30"/>
        <v>Ninja Heated</v>
      </c>
      <c r="Q1288" t="str">
        <f t="shared" si="31"/>
        <v>Crispi</v>
      </c>
    </row>
    <row r="1289" spans="1:17" x14ac:dyDescent="0.35">
      <c r="A1289" t="str">
        <f>_xlfn.XLOOKUP(B1289,Mapping!C:C,Mapping!D:D)</f>
        <v>Group Buying</v>
      </c>
      <c r="B1289" t="s">
        <v>114</v>
      </c>
      <c r="C1289" t="s">
        <v>355</v>
      </c>
      <c r="D1289" s="21">
        <v>46251</v>
      </c>
      <c r="E1289" s="21">
        <v>46253</v>
      </c>
      <c r="F1289">
        <v>3</v>
      </c>
      <c r="G1289" t="s">
        <v>18</v>
      </c>
      <c r="H1289">
        <v>249900</v>
      </c>
      <c r="I1289">
        <v>219900</v>
      </c>
      <c r="J1289">
        <v>199900</v>
      </c>
      <c r="K1289">
        <v>219900</v>
      </c>
      <c r="L1289">
        <v>500</v>
      </c>
      <c r="M1289">
        <v>109950000</v>
      </c>
      <c r="N1289" s="19">
        <v>63970909.090909086</v>
      </c>
      <c r="O1289" s="19">
        <v>62691490.909090906</v>
      </c>
      <c r="P1289" t="str">
        <f t="shared" si="30"/>
        <v>Ninja Heated</v>
      </c>
      <c r="Q1289" t="str">
        <f t="shared" si="31"/>
        <v>Crispi</v>
      </c>
    </row>
    <row r="1290" spans="1:17" x14ac:dyDescent="0.35">
      <c r="A1290" t="str">
        <f>_xlfn.XLOOKUP(B1290,Mapping!C:C,Mapping!D:D)</f>
        <v>Group Buying</v>
      </c>
      <c r="B1290" t="s">
        <v>114</v>
      </c>
      <c r="C1290" t="s">
        <v>355</v>
      </c>
      <c r="D1290" s="21">
        <v>46251</v>
      </c>
      <c r="E1290" s="21">
        <v>46253</v>
      </c>
      <c r="F1290">
        <v>3</v>
      </c>
      <c r="G1290" t="s">
        <v>19</v>
      </c>
      <c r="H1290">
        <v>249900</v>
      </c>
      <c r="I1290">
        <v>219900</v>
      </c>
      <c r="J1290">
        <v>199900</v>
      </c>
      <c r="K1290">
        <v>219900</v>
      </c>
      <c r="L1290">
        <v>50</v>
      </c>
      <c r="M1290">
        <v>10995000</v>
      </c>
      <c r="N1290" s="19">
        <v>6397090.9090909092</v>
      </c>
      <c r="O1290" s="19">
        <v>6269149.0909090908</v>
      </c>
      <c r="P1290" t="str">
        <f t="shared" si="30"/>
        <v>Ninja Heated</v>
      </c>
      <c r="Q1290" t="str">
        <f t="shared" si="31"/>
        <v>Crispi</v>
      </c>
    </row>
    <row r="1291" spans="1:17" x14ac:dyDescent="0.35">
      <c r="A1291" t="str">
        <f>_xlfn.XLOOKUP(B1291,Mapping!C:C,Mapping!D:D)</f>
        <v>Group Buying</v>
      </c>
      <c r="B1291" t="s">
        <v>114</v>
      </c>
      <c r="C1291" t="s">
        <v>355</v>
      </c>
      <c r="D1291" s="21">
        <v>46251</v>
      </c>
      <c r="E1291" s="21">
        <v>46253</v>
      </c>
      <c r="F1291">
        <v>3</v>
      </c>
      <c r="G1291" t="s">
        <v>20</v>
      </c>
      <c r="H1291">
        <v>249900</v>
      </c>
      <c r="I1291">
        <v>219900</v>
      </c>
      <c r="J1291">
        <v>199900</v>
      </c>
      <c r="K1291">
        <v>219900</v>
      </c>
      <c r="L1291">
        <v>150</v>
      </c>
      <c r="M1291">
        <v>32985000</v>
      </c>
      <c r="N1291" s="19">
        <v>19191272.727272727</v>
      </c>
      <c r="O1291" s="19">
        <v>18807447.272727273</v>
      </c>
      <c r="P1291" t="str">
        <f t="shared" si="30"/>
        <v>Ninja Heated</v>
      </c>
      <c r="Q1291" t="str">
        <f t="shared" si="31"/>
        <v>Crispi</v>
      </c>
    </row>
    <row r="1292" spans="1:17" x14ac:dyDescent="0.35">
      <c r="A1292" t="str">
        <f>_xlfn.XLOOKUP(B1292,Mapping!C:C,Mapping!D:D)</f>
        <v>Group Buying</v>
      </c>
      <c r="B1292" t="s">
        <v>114</v>
      </c>
      <c r="C1292" t="s">
        <v>356</v>
      </c>
      <c r="D1292" s="21">
        <v>46254</v>
      </c>
      <c r="E1292" s="21">
        <v>46256</v>
      </c>
      <c r="F1292">
        <v>3</v>
      </c>
      <c r="G1292" t="s">
        <v>18</v>
      </c>
      <c r="H1292">
        <v>249900</v>
      </c>
      <c r="I1292">
        <v>219900</v>
      </c>
      <c r="J1292">
        <v>199900</v>
      </c>
      <c r="K1292">
        <v>219900</v>
      </c>
      <c r="L1292">
        <v>150</v>
      </c>
      <c r="M1292">
        <v>32985000</v>
      </c>
      <c r="N1292" s="19">
        <v>19191272.727272727</v>
      </c>
      <c r="O1292" s="19">
        <v>18807447.272727273</v>
      </c>
      <c r="P1292" t="str">
        <f t="shared" si="30"/>
        <v>Ninja Heated</v>
      </c>
      <c r="Q1292" t="str">
        <f t="shared" si="31"/>
        <v>Crispi</v>
      </c>
    </row>
    <row r="1293" spans="1:17" x14ac:dyDescent="0.35">
      <c r="A1293" t="str">
        <f>_xlfn.XLOOKUP(B1293,Mapping!C:C,Mapping!D:D)</f>
        <v>Group Buying</v>
      </c>
      <c r="B1293" t="s">
        <v>114</v>
      </c>
      <c r="C1293" t="s">
        <v>356</v>
      </c>
      <c r="D1293" s="21">
        <v>46254</v>
      </c>
      <c r="E1293" s="21">
        <v>46256</v>
      </c>
      <c r="F1293">
        <v>3</v>
      </c>
      <c r="G1293" t="s">
        <v>19</v>
      </c>
      <c r="H1293">
        <v>249900</v>
      </c>
      <c r="I1293">
        <v>219900</v>
      </c>
      <c r="J1293">
        <v>199900</v>
      </c>
      <c r="K1293">
        <v>219900</v>
      </c>
      <c r="L1293">
        <v>40</v>
      </c>
      <c r="M1293">
        <v>8796000</v>
      </c>
      <c r="N1293" s="19">
        <v>5117672.7272727266</v>
      </c>
      <c r="O1293" s="19">
        <v>5015319.2727272725</v>
      </c>
      <c r="P1293" t="str">
        <f t="shared" si="30"/>
        <v>Ninja Heated</v>
      </c>
      <c r="Q1293" t="str">
        <f t="shared" si="31"/>
        <v>Crispi</v>
      </c>
    </row>
    <row r="1294" spans="1:17" x14ac:dyDescent="0.35">
      <c r="A1294" t="str">
        <f>_xlfn.XLOOKUP(B1294,Mapping!C:C,Mapping!D:D)</f>
        <v>Group Buying</v>
      </c>
      <c r="B1294" t="s">
        <v>114</v>
      </c>
      <c r="C1294" t="s">
        <v>356</v>
      </c>
      <c r="D1294" s="21">
        <v>46254</v>
      </c>
      <c r="E1294" s="21">
        <v>46256</v>
      </c>
      <c r="F1294">
        <v>3</v>
      </c>
      <c r="G1294" t="s">
        <v>20</v>
      </c>
      <c r="H1294">
        <v>249900</v>
      </c>
      <c r="I1294">
        <v>219900</v>
      </c>
      <c r="J1294">
        <v>199900</v>
      </c>
      <c r="K1294">
        <v>219900</v>
      </c>
      <c r="L1294">
        <v>70</v>
      </c>
      <c r="M1294">
        <v>15393000</v>
      </c>
      <c r="N1294" s="19">
        <v>8955927.2727272715</v>
      </c>
      <c r="O1294" s="19">
        <v>8776808.7272727266</v>
      </c>
      <c r="P1294" t="str">
        <f t="shared" si="30"/>
        <v>Ninja Heated</v>
      </c>
      <c r="Q1294" t="str">
        <f t="shared" si="31"/>
        <v>Crispi</v>
      </c>
    </row>
    <row r="1295" spans="1:17" x14ac:dyDescent="0.35">
      <c r="A1295" t="str">
        <f>_xlfn.XLOOKUP(B1295,Mapping!C:C,Mapping!D:D)</f>
        <v>Group Buying</v>
      </c>
      <c r="B1295" t="s">
        <v>114</v>
      </c>
      <c r="C1295" t="s">
        <v>258</v>
      </c>
      <c r="D1295" s="21">
        <v>46248</v>
      </c>
      <c r="E1295" s="21">
        <v>46250</v>
      </c>
      <c r="F1295">
        <v>3</v>
      </c>
      <c r="G1295" t="s">
        <v>18</v>
      </c>
      <c r="H1295">
        <v>249900</v>
      </c>
      <c r="I1295">
        <v>219900</v>
      </c>
      <c r="J1295">
        <v>199900</v>
      </c>
      <c r="K1295">
        <v>219900</v>
      </c>
      <c r="L1295">
        <v>800</v>
      </c>
      <c r="M1295">
        <v>175920000</v>
      </c>
      <c r="N1295" s="19">
        <v>102353454.54545455</v>
      </c>
      <c r="O1295" s="19">
        <v>100306385.45454545</v>
      </c>
      <c r="P1295" t="str">
        <f t="shared" si="30"/>
        <v>Ninja Heated</v>
      </c>
      <c r="Q1295" t="str">
        <f t="shared" si="31"/>
        <v>Crispi</v>
      </c>
    </row>
    <row r="1296" spans="1:17" x14ac:dyDescent="0.35">
      <c r="A1296" t="str">
        <f>_xlfn.XLOOKUP(B1296,Mapping!C:C,Mapping!D:D)</f>
        <v>Group Buying</v>
      </c>
      <c r="B1296" t="s">
        <v>114</v>
      </c>
      <c r="C1296" t="s">
        <v>258</v>
      </c>
      <c r="D1296" s="21">
        <v>46248</v>
      </c>
      <c r="E1296" s="21">
        <v>46250</v>
      </c>
      <c r="F1296">
        <v>3</v>
      </c>
      <c r="G1296" t="s">
        <v>19</v>
      </c>
      <c r="H1296">
        <v>249900</v>
      </c>
      <c r="I1296">
        <v>219900</v>
      </c>
      <c r="J1296">
        <v>199900</v>
      </c>
      <c r="K1296">
        <v>219900</v>
      </c>
      <c r="L1296">
        <v>70</v>
      </c>
      <c r="M1296">
        <v>15393000</v>
      </c>
      <c r="N1296" s="19">
        <v>8955927.2727272715</v>
      </c>
      <c r="O1296" s="19">
        <v>8776808.7272727266</v>
      </c>
      <c r="P1296" t="str">
        <f t="shared" si="30"/>
        <v>Ninja Heated</v>
      </c>
      <c r="Q1296" t="str">
        <f t="shared" si="31"/>
        <v>Crispi</v>
      </c>
    </row>
    <row r="1297" spans="1:17" x14ac:dyDescent="0.35">
      <c r="A1297" t="str">
        <f>_xlfn.XLOOKUP(B1297,Mapping!C:C,Mapping!D:D)</f>
        <v>Group Buying</v>
      </c>
      <c r="B1297" t="s">
        <v>114</v>
      </c>
      <c r="C1297" t="s">
        <v>258</v>
      </c>
      <c r="D1297" s="21">
        <v>46248</v>
      </c>
      <c r="E1297" s="21">
        <v>46250</v>
      </c>
      <c r="F1297">
        <v>3</v>
      </c>
      <c r="G1297" t="s">
        <v>20</v>
      </c>
      <c r="H1297">
        <v>249900</v>
      </c>
      <c r="I1297">
        <v>219900</v>
      </c>
      <c r="J1297">
        <v>199900</v>
      </c>
      <c r="K1297">
        <v>219900</v>
      </c>
      <c r="L1297">
        <v>130</v>
      </c>
      <c r="M1297">
        <v>28587000</v>
      </c>
      <c r="N1297" s="19">
        <v>16632436.363636363</v>
      </c>
      <c r="O1297" s="19">
        <v>16299787.636363637</v>
      </c>
      <c r="P1297" t="str">
        <f t="shared" si="30"/>
        <v>Ninja Heated</v>
      </c>
      <c r="Q1297" t="str">
        <f t="shared" si="31"/>
        <v>Crispi</v>
      </c>
    </row>
    <row r="1298" spans="1:17" x14ac:dyDescent="0.35">
      <c r="A1298" t="str">
        <f>_xlfn.XLOOKUP(B1298,Mapping!C:C,Mapping!D:D)</f>
        <v>Group Buying</v>
      </c>
      <c r="B1298" t="s">
        <v>114</v>
      </c>
      <c r="C1298" t="s">
        <v>352</v>
      </c>
      <c r="D1298" s="21">
        <v>46258</v>
      </c>
      <c r="E1298" s="21">
        <v>46260</v>
      </c>
      <c r="F1298">
        <v>3</v>
      </c>
      <c r="G1298" t="s">
        <v>18</v>
      </c>
      <c r="H1298">
        <v>249900</v>
      </c>
      <c r="I1298">
        <v>219900</v>
      </c>
      <c r="J1298">
        <v>199900</v>
      </c>
      <c r="K1298">
        <v>219900</v>
      </c>
      <c r="L1298">
        <v>150</v>
      </c>
      <c r="M1298">
        <v>32985000</v>
      </c>
      <c r="N1298" s="19">
        <v>19191272.727272727</v>
      </c>
      <c r="O1298" s="19">
        <v>18807447.272727273</v>
      </c>
      <c r="P1298" t="str">
        <f t="shared" si="30"/>
        <v>Ninja Heated</v>
      </c>
      <c r="Q1298" t="str">
        <f t="shared" si="31"/>
        <v>Crispi</v>
      </c>
    </row>
    <row r="1299" spans="1:17" x14ac:dyDescent="0.35">
      <c r="A1299" t="str">
        <f>_xlfn.XLOOKUP(B1299,Mapping!C:C,Mapping!D:D)</f>
        <v>Group Buying</v>
      </c>
      <c r="B1299" t="s">
        <v>114</v>
      </c>
      <c r="C1299" t="s">
        <v>352</v>
      </c>
      <c r="D1299" s="21">
        <v>46258</v>
      </c>
      <c r="E1299" s="21">
        <v>46260</v>
      </c>
      <c r="F1299">
        <v>3</v>
      </c>
      <c r="G1299" t="s">
        <v>19</v>
      </c>
      <c r="H1299">
        <v>249900</v>
      </c>
      <c r="I1299">
        <v>219900</v>
      </c>
      <c r="J1299">
        <v>199900</v>
      </c>
      <c r="K1299">
        <v>219900</v>
      </c>
      <c r="L1299">
        <v>40</v>
      </c>
      <c r="M1299">
        <v>8796000</v>
      </c>
      <c r="N1299" s="19">
        <v>5117672.7272727266</v>
      </c>
      <c r="O1299" s="19">
        <v>5015319.2727272725</v>
      </c>
      <c r="P1299" t="str">
        <f t="shared" si="30"/>
        <v>Ninja Heated</v>
      </c>
      <c r="Q1299" t="str">
        <f t="shared" si="31"/>
        <v>Crispi</v>
      </c>
    </row>
    <row r="1300" spans="1:17" x14ac:dyDescent="0.35">
      <c r="A1300" t="str">
        <f>_xlfn.XLOOKUP(B1300,Mapping!C:C,Mapping!D:D)</f>
        <v>Group Buying</v>
      </c>
      <c r="B1300" t="s">
        <v>114</v>
      </c>
      <c r="C1300" t="s">
        <v>352</v>
      </c>
      <c r="D1300" s="21">
        <v>46258</v>
      </c>
      <c r="E1300" s="21">
        <v>46260</v>
      </c>
      <c r="F1300">
        <v>3</v>
      </c>
      <c r="G1300" t="s">
        <v>20</v>
      </c>
      <c r="H1300">
        <v>249900</v>
      </c>
      <c r="I1300">
        <v>219900</v>
      </c>
      <c r="J1300">
        <v>199900</v>
      </c>
      <c r="K1300">
        <v>219900</v>
      </c>
      <c r="L1300">
        <v>70</v>
      </c>
      <c r="M1300">
        <v>15393000</v>
      </c>
      <c r="N1300" s="19">
        <v>8955927.2727272715</v>
      </c>
      <c r="O1300" s="19">
        <v>8776808.7272727266</v>
      </c>
      <c r="P1300" t="str">
        <f t="shared" si="30"/>
        <v>Ninja Heated</v>
      </c>
      <c r="Q1300" t="str">
        <f t="shared" si="31"/>
        <v>Crispi</v>
      </c>
    </row>
    <row r="1301" spans="1:17" x14ac:dyDescent="0.35">
      <c r="A1301" t="str">
        <f>_xlfn.XLOOKUP(B1301,Mapping!C:C,Mapping!D:D)</f>
        <v>Group Buying</v>
      </c>
      <c r="B1301" t="s">
        <v>114</v>
      </c>
      <c r="C1301" t="s">
        <v>357</v>
      </c>
      <c r="D1301" s="21">
        <v>46261</v>
      </c>
      <c r="E1301" s="21">
        <v>46263</v>
      </c>
      <c r="F1301">
        <v>3</v>
      </c>
      <c r="G1301" t="s">
        <v>33</v>
      </c>
      <c r="H1301">
        <v>399900</v>
      </c>
      <c r="I1301">
        <v>349900</v>
      </c>
      <c r="J1301">
        <v>299900</v>
      </c>
      <c r="K1301">
        <v>349900</v>
      </c>
      <c r="L1301">
        <v>50</v>
      </c>
      <c r="M1301">
        <v>17495000</v>
      </c>
      <c r="N1301" s="19">
        <v>10178909.09090909</v>
      </c>
      <c r="O1301" s="19">
        <v>9975330.9090909082</v>
      </c>
      <c r="P1301" t="str">
        <f t="shared" si="30"/>
        <v>Shark Fan</v>
      </c>
      <c r="Q1301" t="str">
        <f t="shared" si="31"/>
        <v>Fan</v>
      </c>
    </row>
    <row r="1302" spans="1:17" x14ac:dyDescent="0.35">
      <c r="A1302" t="str">
        <f>_xlfn.XLOOKUP(B1302,Mapping!C:C,Mapping!D:D)</f>
        <v>Group Buying</v>
      </c>
      <c r="B1302" t="s">
        <v>114</v>
      </c>
      <c r="C1302" t="s">
        <v>357</v>
      </c>
      <c r="D1302" s="21">
        <v>46261</v>
      </c>
      <c r="E1302" s="21">
        <v>46263</v>
      </c>
      <c r="F1302">
        <v>3</v>
      </c>
      <c r="G1302" t="s">
        <v>42</v>
      </c>
      <c r="H1302">
        <v>399900</v>
      </c>
      <c r="I1302">
        <v>349900</v>
      </c>
      <c r="J1302">
        <v>299900</v>
      </c>
      <c r="K1302">
        <v>349900</v>
      </c>
      <c r="L1302">
        <v>50</v>
      </c>
      <c r="M1302">
        <v>17495000</v>
      </c>
      <c r="N1302" s="19">
        <v>10178909.09090909</v>
      </c>
      <c r="O1302" s="19">
        <v>9975330.9090909082</v>
      </c>
      <c r="P1302" t="str">
        <f t="shared" si="30"/>
        <v>Shark Fan</v>
      </c>
      <c r="Q1302" t="str">
        <f t="shared" si="31"/>
        <v>Fan</v>
      </c>
    </row>
    <row r="1303" spans="1:17" x14ac:dyDescent="0.35">
      <c r="A1303" t="str">
        <f>_xlfn.XLOOKUP(B1303,Mapping!C:C,Mapping!D:D)</f>
        <v>Group Buying</v>
      </c>
      <c r="B1303" t="s">
        <v>114</v>
      </c>
      <c r="C1303" t="s">
        <v>358</v>
      </c>
      <c r="D1303" s="21">
        <v>46253</v>
      </c>
      <c r="E1303" s="21">
        <v>46256</v>
      </c>
      <c r="F1303">
        <v>4</v>
      </c>
      <c r="G1303" t="s">
        <v>18</v>
      </c>
      <c r="H1303">
        <v>249900</v>
      </c>
      <c r="I1303">
        <v>219900</v>
      </c>
      <c r="J1303">
        <v>199900</v>
      </c>
      <c r="K1303">
        <v>219900</v>
      </c>
      <c r="L1303">
        <v>150</v>
      </c>
      <c r="M1303">
        <v>32985000</v>
      </c>
      <c r="N1303" s="19">
        <v>19191272.727272727</v>
      </c>
      <c r="O1303" s="19">
        <v>18807447.272727273</v>
      </c>
      <c r="P1303" t="str">
        <f t="shared" si="30"/>
        <v>Ninja Heated</v>
      </c>
      <c r="Q1303" t="str">
        <f t="shared" si="31"/>
        <v>Crispi</v>
      </c>
    </row>
    <row r="1304" spans="1:17" x14ac:dyDescent="0.35">
      <c r="A1304" t="str">
        <f>_xlfn.XLOOKUP(B1304,Mapping!C:C,Mapping!D:D)</f>
        <v>Group Buying</v>
      </c>
      <c r="B1304" t="s">
        <v>114</v>
      </c>
      <c r="C1304" t="s">
        <v>358</v>
      </c>
      <c r="D1304" s="21">
        <v>46253</v>
      </c>
      <c r="E1304" s="21">
        <v>46256</v>
      </c>
      <c r="F1304">
        <v>4</v>
      </c>
      <c r="G1304" t="s">
        <v>19</v>
      </c>
      <c r="H1304">
        <v>249900</v>
      </c>
      <c r="I1304">
        <v>219900</v>
      </c>
      <c r="J1304">
        <v>199900</v>
      </c>
      <c r="K1304">
        <v>219900</v>
      </c>
      <c r="L1304">
        <v>40</v>
      </c>
      <c r="M1304">
        <v>8796000</v>
      </c>
      <c r="N1304" s="19">
        <v>5117672.7272727266</v>
      </c>
      <c r="O1304" s="19">
        <v>5015319.2727272725</v>
      </c>
      <c r="P1304" t="str">
        <f t="shared" si="30"/>
        <v>Ninja Heated</v>
      </c>
      <c r="Q1304" t="str">
        <f t="shared" si="31"/>
        <v>Crispi</v>
      </c>
    </row>
    <row r="1305" spans="1:17" x14ac:dyDescent="0.35">
      <c r="A1305" t="str">
        <f>_xlfn.XLOOKUP(B1305,Mapping!C:C,Mapping!D:D)</f>
        <v>Group Buying</v>
      </c>
      <c r="B1305" t="s">
        <v>114</v>
      </c>
      <c r="C1305" t="s">
        <v>358</v>
      </c>
      <c r="D1305" s="21">
        <v>46253</v>
      </c>
      <c r="E1305" s="21">
        <v>46256</v>
      </c>
      <c r="F1305">
        <v>4</v>
      </c>
      <c r="G1305" t="s">
        <v>20</v>
      </c>
      <c r="H1305">
        <v>249900</v>
      </c>
      <c r="I1305">
        <v>219900</v>
      </c>
      <c r="J1305">
        <v>199900</v>
      </c>
      <c r="K1305">
        <v>219900</v>
      </c>
      <c r="L1305">
        <v>80</v>
      </c>
      <c r="M1305">
        <v>17592000</v>
      </c>
      <c r="N1305" s="19">
        <v>10235345.454545453</v>
      </c>
      <c r="O1305" s="19">
        <v>10030638.545454545</v>
      </c>
      <c r="P1305" t="str">
        <f t="shared" si="30"/>
        <v>Ninja Heated</v>
      </c>
      <c r="Q1305" t="str">
        <f t="shared" si="31"/>
        <v>Crispi</v>
      </c>
    </row>
    <row r="1306" spans="1:17" x14ac:dyDescent="0.35">
      <c r="A1306" t="str">
        <f>_xlfn.XLOOKUP(B1306,Mapping!C:C,Mapping!D:D)</f>
        <v>Group Buying</v>
      </c>
      <c r="B1306" t="s">
        <v>114</v>
      </c>
      <c r="C1306" t="s">
        <v>359</v>
      </c>
      <c r="D1306" s="21">
        <v>46261</v>
      </c>
      <c r="E1306" s="21">
        <v>46265</v>
      </c>
      <c r="F1306">
        <v>5</v>
      </c>
      <c r="G1306" t="s">
        <v>18</v>
      </c>
      <c r="H1306">
        <v>249900</v>
      </c>
      <c r="I1306">
        <v>219900</v>
      </c>
      <c r="J1306">
        <v>199900</v>
      </c>
      <c r="K1306">
        <v>219900</v>
      </c>
      <c r="L1306">
        <v>100</v>
      </c>
      <c r="M1306">
        <v>21990000</v>
      </c>
      <c r="N1306" s="19">
        <v>12794181.818181818</v>
      </c>
      <c r="O1306" s="19">
        <v>12538298.181818182</v>
      </c>
      <c r="P1306" t="str">
        <f t="shared" si="30"/>
        <v>Ninja Heated</v>
      </c>
      <c r="Q1306" t="str">
        <f t="shared" si="31"/>
        <v>Crispi</v>
      </c>
    </row>
    <row r="1307" spans="1:17" x14ac:dyDescent="0.35">
      <c r="A1307" t="str">
        <f>_xlfn.XLOOKUP(B1307,Mapping!C:C,Mapping!D:D)</f>
        <v>Group Buying</v>
      </c>
      <c r="B1307" t="s">
        <v>114</v>
      </c>
      <c r="C1307" t="s">
        <v>359</v>
      </c>
      <c r="D1307" s="21">
        <v>46261</v>
      </c>
      <c r="E1307" s="21">
        <v>46265</v>
      </c>
      <c r="F1307">
        <v>5</v>
      </c>
      <c r="G1307" t="s">
        <v>19</v>
      </c>
      <c r="H1307">
        <v>249900</v>
      </c>
      <c r="I1307">
        <v>219900</v>
      </c>
      <c r="J1307">
        <v>199900</v>
      </c>
      <c r="K1307">
        <v>219900</v>
      </c>
      <c r="L1307">
        <v>30</v>
      </c>
      <c r="M1307">
        <v>6597000</v>
      </c>
      <c r="N1307" s="19">
        <v>3838254.5454545454</v>
      </c>
      <c r="O1307" s="19">
        <v>3761489.4545454546</v>
      </c>
      <c r="P1307" t="str">
        <f t="shared" si="30"/>
        <v>Ninja Heated</v>
      </c>
      <c r="Q1307" t="str">
        <f t="shared" si="31"/>
        <v>Crispi</v>
      </c>
    </row>
    <row r="1308" spans="1:17" x14ac:dyDescent="0.35">
      <c r="A1308" t="str">
        <f>_xlfn.XLOOKUP(B1308,Mapping!C:C,Mapping!D:D)</f>
        <v>Group Buying</v>
      </c>
      <c r="B1308" t="s">
        <v>114</v>
      </c>
      <c r="C1308" t="s">
        <v>359</v>
      </c>
      <c r="D1308" s="21">
        <v>46261</v>
      </c>
      <c r="E1308" s="21">
        <v>46265</v>
      </c>
      <c r="F1308">
        <v>5</v>
      </c>
      <c r="G1308" t="s">
        <v>20</v>
      </c>
      <c r="H1308">
        <v>249900</v>
      </c>
      <c r="I1308">
        <v>219900</v>
      </c>
      <c r="J1308">
        <v>199900</v>
      </c>
      <c r="K1308">
        <v>219900</v>
      </c>
      <c r="L1308">
        <v>50</v>
      </c>
      <c r="M1308">
        <v>10995000</v>
      </c>
      <c r="N1308" s="19">
        <v>6397090.9090909092</v>
      </c>
      <c r="O1308" s="19">
        <v>6269149.0909090908</v>
      </c>
      <c r="P1308" t="str">
        <f t="shared" si="30"/>
        <v>Ninja Heated</v>
      </c>
      <c r="Q1308" t="str">
        <f t="shared" si="31"/>
        <v>Crispi</v>
      </c>
    </row>
    <row r="1309" spans="1:17" x14ac:dyDescent="0.35">
      <c r="A1309" t="str">
        <f>_xlfn.XLOOKUP(B1309,Mapping!C:C,Mapping!D:D)</f>
        <v>Group Buying</v>
      </c>
      <c r="B1309" t="s">
        <v>114</v>
      </c>
      <c r="C1309" t="s">
        <v>237</v>
      </c>
      <c r="D1309" s="21">
        <v>46237</v>
      </c>
      <c r="E1309" s="21">
        <v>46239</v>
      </c>
      <c r="F1309">
        <v>3</v>
      </c>
      <c r="G1309" t="s">
        <v>18</v>
      </c>
      <c r="H1309">
        <v>249900</v>
      </c>
      <c r="I1309">
        <v>219900</v>
      </c>
      <c r="J1309">
        <v>199900</v>
      </c>
      <c r="K1309">
        <v>219900</v>
      </c>
      <c r="L1309">
        <v>500</v>
      </c>
      <c r="M1309">
        <v>109950000</v>
      </c>
      <c r="N1309" s="19">
        <v>63970909.090909086</v>
      </c>
      <c r="O1309" s="19">
        <v>62691490.909090906</v>
      </c>
      <c r="P1309" t="str">
        <f t="shared" si="30"/>
        <v>Ninja Heated</v>
      </c>
      <c r="Q1309" t="str">
        <f t="shared" si="31"/>
        <v>Crispi</v>
      </c>
    </row>
    <row r="1310" spans="1:17" x14ac:dyDescent="0.35">
      <c r="A1310" t="str">
        <f>_xlfn.XLOOKUP(B1310,Mapping!C:C,Mapping!D:D)</f>
        <v>Group Buying</v>
      </c>
      <c r="B1310" t="s">
        <v>114</v>
      </c>
      <c r="C1310" t="s">
        <v>237</v>
      </c>
      <c r="D1310" s="21">
        <v>46237</v>
      </c>
      <c r="E1310" s="21">
        <v>46239</v>
      </c>
      <c r="F1310">
        <v>3</v>
      </c>
      <c r="G1310" t="s">
        <v>19</v>
      </c>
      <c r="H1310">
        <v>249900</v>
      </c>
      <c r="I1310">
        <v>219900</v>
      </c>
      <c r="J1310">
        <v>199900</v>
      </c>
      <c r="K1310">
        <v>219900</v>
      </c>
      <c r="L1310">
        <v>30</v>
      </c>
      <c r="M1310">
        <v>6597000</v>
      </c>
      <c r="N1310" s="19">
        <v>3838254.5454545454</v>
      </c>
      <c r="O1310" s="19">
        <v>3761489.4545454546</v>
      </c>
      <c r="P1310" t="str">
        <f t="shared" si="30"/>
        <v>Ninja Heated</v>
      </c>
      <c r="Q1310" t="str">
        <f t="shared" si="31"/>
        <v>Crispi</v>
      </c>
    </row>
    <row r="1311" spans="1:17" x14ac:dyDescent="0.35">
      <c r="A1311" t="str">
        <f>_xlfn.XLOOKUP(B1311,Mapping!C:C,Mapping!D:D)</f>
        <v>Group Buying</v>
      </c>
      <c r="B1311" t="s">
        <v>114</v>
      </c>
      <c r="C1311" t="s">
        <v>237</v>
      </c>
      <c r="D1311" s="21">
        <v>46237</v>
      </c>
      <c r="E1311" s="21">
        <v>46239</v>
      </c>
      <c r="F1311">
        <v>3</v>
      </c>
      <c r="G1311" t="s">
        <v>20</v>
      </c>
      <c r="H1311">
        <v>249900</v>
      </c>
      <c r="I1311">
        <v>219900</v>
      </c>
      <c r="J1311">
        <v>199900</v>
      </c>
      <c r="K1311">
        <v>219900</v>
      </c>
      <c r="L1311">
        <v>70</v>
      </c>
      <c r="M1311">
        <v>15393000</v>
      </c>
      <c r="N1311" s="19">
        <v>8955927.2727272715</v>
      </c>
      <c r="O1311" s="19">
        <v>8776808.7272727266</v>
      </c>
      <c r="P1311" t="str">
        <f t="shared" si="30"/>
        <v>Ninja Heated</v>
      </c>
      <c r="Q1311" t="str">
        <f t="shared" si="31"/>
        <v>Crispi</v>
      </c>
    </row>
    <row r="1312" spans="1:17" x14ac:dyDescent="0.35">
      <c r="A1312" t="str">
        <f>_xlfn.XLOOKUP(B1312,Mapping!C:C,Mapping!D:D)</f>
        <v>Group Buying</v>
      </c>
      <c r="B1312" t="s">
        <v>114</v>
      </c>
      <c r="C1312" t="s">
        <v>360</v>
      </c>
      <c r="D1312" s="21">
        <v>46260</v>
      </c>
      <c r="E1312" s="21">
        <v>46264</v>
      </c>
      <c r="F1312">
        <v>5</v>
      </c>
      <c r="G1312" t="s">
        <v>18</v>
      </c>
      <c r="H1312">
        <v>249900</v>
      </c>
      <c r="I1312">
        <v>219900</v>
      </c>
      <c r="J1312">
        <v>199900</v>
      </c>
      <c r="K1312">
        <v>219900</v>
      </c>
      <c r="L1312">
        <v>110</v>
      </c>
      <c r="M1312">
        <v>24189000</v>
      </c>
      <c r="N1312" s="19">
        <v>14073600</v>
      </c>
      <c r="O1312" s="19">
        <v>13792128</v>
      </c>
      <c r="P1312" t="str">
        <f t="shared" si="30"/>
        <v>Ninja Heated</v>
      </c>
      <c r="Q1312" t="str">
        <f t="shared" si="31"/>
        <v>Crispi</v>
      </c>
    </row>
    <row r="1313" spans="1:17" x14ac:dyDescent="0.35">
      <c r="A1313" t="str">
        <f>_xlfn.XLOOKUP(B1313,Mapping!C:C,Mapping!D:D)</f>
        <v>Group Buying</v>
      </c>
      <c r="B1313" t="s">
        <v>114</v>
      </c>
      <c r="C1313" t="s">
        <v>360</v>
      </c>
      <c r="D1313" s="21">
        <v>46260</v>
      </c>
      <c r="E1313" s="21">
        <v>46264</v>
      </c>
      <c r="F1313">
        <v>5</v>
      </c>
      <c r="G1313" t="s">
        <v>19</v>
      </c>
      <c r="H1313">
        <v>249900</v>
      </c>
      <c r="I1313">
        <v>219900</v>
      </c>
      <c r="J1313">
        <v>199900</v>
      </c>
      <c r="K1313">
        <v>219900</v>
      </c>
      <c r="L1313">
        <v>10</v>
      </c>
      <c r="M1313">
        <v>2199000</v>
      </c>
      <c r="N1313" s="19">
        <v>1279418.1818181816</v>
      </c>
      <c r="O1313" s="19">
        <v>1253829.8181818181</v>
      </c>
      <c r="P1313" t="str">
        <f t="shared" si="30"/>
        <v>Ninja Heated</v>
      </c>
      <c r="Q1313" t="str">
        <f t="shared" si="31"/>
        <v>Crispi</v>
      </c>
    </row>
    <row r="1314" spans="1:17" x14ac:dyDescent="0.35">
      <c r="A1314" t="str">
        <f>_xlfn.XLOOKUP(B1314,Mapping!C:C,Mapping!D:D)</f>
        <v>Group Buying</v>
      </c>
      <c r="B1314" t="s">
        <v>114</v>
      </c>
      <c r="C1314" t="s">
        <v>360</v>
      </c>
      <c r="D1314" s="21">
        <v>46260</v>
      </c>
      <c r="E1314" s="21">
        <v>46264</v>
      </c>
      <c r="F1314">
        <v>5</v>
      </c>
      <c r="G1314" t="s">
        <v>20</v>
      </c>
      <c r="H1314">
        <v>249900</v>
      </c>
      <c r="I1314">
        <v>219900</v>
      </c>
      <c r="J1314">
        <v>199900</v>
      </c>
      <c r="K1314">
        <v>219900</v>
      </c>
      <c r="L1314">
        <v>20</v>
      </c>
      <c r="M1314">
        <v>4398000</v>
      </c>
      <c r="N1314" s="19">
        <v>2558836.3636363633</v>
      </c>
      <c r="O1314" s="19">
        <v>2507659.6363636362</v>
      </c>
      <c r="P1314" t="str">
        <f t="shared" si="30"/>
        <v>Ninja Heated</v>
      </c>
      <c r="Q1314" t="str">
        <f t="shared" si="31"/>
        <v>Crispi</v>
      </c>
    </row>
    <row r="1315" spans="1:17" x14ac:dyDescent="0.35">
      <c r="A1315" t="str">
        <f>_xlfn.XLOOKUP(B1315,Mapping!C:C,Mapping!D:D)</f>
        <v>Group Buying</v>
      </c>
      <c r="B1315" t="s">
        <v>114</v>
      </c>
      <c r="C1315" t="s">
        <v>133</v>
      </c>
      <c r="D1315" s="21">
        <v>46240</v>
      </c>
      <c r="E1315" s="21">
        <v>46243</v>
      </c>
      <c r="F1315">
        <v>4</v>
      </c>
      <c r="G1315" t="s">
        <v>18</v>
      </c>
      <c r="H1315">
        <v>249900</v>
      </c>
      <c r="I1315">
        <v>219900</v>
      </c>
      <c r="J1315">
        <v>199900</v>
      </c>
      <c r="K1315">
        <v>219900</v>
      </c>
      <c r="L1315">
        <v>800</v>
      </c>
      <c r="M1315">
        <v>175920000</v>
      </c>
      <c r="N1315" s="19">
        <v>102353454.54545455</v>
      </c>
      <c r="O1315" s="19">
        <v>100306385.45454545</v>
      </c>
      <c r="P1315" t="str">
        <f t="shared" si="30"/>
        <v>Ninja Heated</v>
      </c>
      <c r="Q1315" t="str">
        <f t="shared" si="31"/>
        <v>Crispi</v>
      </c>
    </row>
    <row r="1316" spans="1:17" x14ac:dyDescent="0.35">
      <c r="A1316" t="str">
        <f>_xlfn.XLOOKUP(B1316,Mapping!C:C,Mapping!D:D)</f>
        <v>Group Buying</v>
      </c>
      <c r="B1316" t="s">
        <v>114</v>
      </c>
      <c r="C1316" t="s">
        <v>133</v>
      </c>
      <c r="D1316" s="21">
        <v>46240</v>
      </c>
      <c r="E1316" s="21">
        <v>46243</v>
      </c>
      <c r="F1316">
        <v>4</v>
      </c>
      <c r="G1316" t="s">
        <v>19</v>
      </c>
      <c r="H1316">
        <v>249900</v>
      </c>
      <c r="I1316">
        <v>219900</v>
      </c>
      <c r="J1316">
        <v>199900</v>
      </c>
      <c r="K1316">
        <v>219900</v>
      </c>
      <c r="L1316">
        <v>50</v>
      </c>
      <c r="M1316">
        <v>10995000</v>
      </c>
      <c r="N1316" s="19">
        <v>6397090.9090909092</v>
      </c>
      <c r="O1316" s="19">
        <v>6269149.0909090908</v>
      </c>
      <c r="P1316" t="str">
        <f t="shared" si="30"/>
        <v>Ninja Heated</v>
      </c>
      <c r="Q1316" t="str">
        <f t="shared" si="31"/>
        <v>Crispi</v>
      </c>
    </row>
    <row r="1317" spans="1:17" x14ac:dyDescent="0.35">
      <c r="A1317" t="str">
        <f>_xlfn.XLOOKUP(B1317,Mapping!C:C,Mapping!D:D)</f>
        <v>Group Buying</v>
      </c>
      <c r="B1317" t="s">
        <v>114</v>
      </c>
      <c r="C1317" t="s">
        <v>133</v>
      </c>
      <c r="D1317" s="21">
        <v>46240</v>
      </c>
      <c r="E1317" s="21">
        <v>46243</v>
      </c>
      <c r="F1317">
        <v>4</v>
      </c>
      <c r="G1317" t="s">
        <v>20</v>
      </c>
      <c r="H1317">
        <v>249900</v>
      </c>
      <c r="I1317">
        <v>219900</v>
      </c>
      <c r="J1317">
        <v>199900</v>
      </c>
      <c r="K1317">
        <v>219900</v>
      </c>
      <c r="L1317">
        <v>120</v>
      </c>
      <c r="M1317">
        <v>26388000</v>
      </c>
      <c r="N1317" s="19">
        <v>15353018.181818182</v>
      </c>
      <c r="O1317" s="19">
        <v>15045957.818181818</v>
      </c>
      <c r="P1317" t="str">
        <f t="shared" si="30"/>
        <v>Ninja Heated</v>
      </c>
      <c r="Q1317" t="str">
        <f t="shared" si="31"/>
        <v>Crispi</v>
      </c>
    </row>
    <row r="1318" spans="1:17" x14ac:dyDescent="0.35">
      <c r="A1318" t="str">
        <f>_xlfn.XLOOKUP(B1318,Mapping!C:C,Mapping!D:D)</f>
        <v>Group Buying</v>
      </c>
      <c r="B1318" t="s">
        <v>114</v>
      </c>
      <c r="C1318" t="s">
        <v>252</v>
      </c>
      <c r="D1318" s="21">
        <v>46233</v>
      </c>
      <c r="E1318" s="21">
        <v>46236</v>
      </c>
      <c r="F1318">
        <v>4</v>
      </c>
      <c r="G1318" t="s">
        <v>18</v>
      </c>
      <c r="H1318">
        <v>249900</v>
      </c>
      <c r="I1318">
        <v>219900</v>
      </c>
      <c r="J1318">
        <v>199900</v>
      </c>
      <c r="K1318">
        <v>219900</v>
      </c>
      <c r="L1318">
        <v>41</v>
      </c>
      <c r="M1318">
        <v>9015900</v>
      </c>
      <c r="N1318" s="19">
        <v>5245614.5454545449</v>
      </c>
      <c r="O1318" s="19">
        <v>5140702.2545454539</v>
      </c>
      <c r="P1318" t="str">
        <f t="shared" si="30"/>
        <v>Ninja Heated</v>
      </c>
      <c r="Q1318" t="str">
        <f t="shared" si="31"/>
        <v>Crispi</v>
      </c>
    </row>
    <row r="1319" spans="1:17" x14ac:dyDescent="0.35">
      <c r="A1319" t="str">
        <f>_xlfn.XLOOKUP(B1319,Mapping!C:C,Mapping!D:D)</f>
        <v>Group Buying</v>
      </c>
      <c r="B1319" t="s">
        <v>114</v>
      </c>
      <c r="C1319" t="s">
        <v>252</v>
      </c>
      <c r="D1319" s="21">
        <v>46233</v>
      </c>
      <c r="E1319" s="21">
        <v>46236</v>
      </c>
      <c r="F1319">
        <v>4</v>
      </c>
      <c r="G1319" t="s">
        <v>19</v>
      </c>
      <c r="H1319">
        <v>249900</v>
      </c>
      <c r="I1319">
        <v>219900</v>
      </c>
      <c r="J1319">
        <v>199900</v>
      </c>
      <c r="K1319">
        <v>219900</v>
      </c>
      <c r="L1319">
        <v>49</v>
      </c>
      <c r="M1319">
        <v>10775100</v>
      </c>
      <c r="N1319" s="19">
        <v>6269149.0909090908</v>
      </c>
      <c r="O1319" s="19">
        <v>6143766.1090909094</v>
      </c>
      <c r="P1319" t="str">
        <f t="shared" si="30"/>
        <v>Ninja Heated</v>
      </c>
      <c r="Q1319" t="str">
        <f t="shared" si="31"/>
        <v>Crispi</v>
      </c>
    </row>
    <row r="1320" spans="1:17" x14ac:dyDescent="0.35">
      <c r="A1320" t="str">
        <f>_xlfn.XLOOKUP(B1320,Mapping!C:C,Mapping!D:D)</f>
        <v>Group Buying</v>
      </c>
      <c r="B1320" t="s">
        <v>114</v>
      </c>
      <c r="C1320" t="s">
        <v>252</v>
      </c>
      <c r="D1320" s="21">
        <v>46233</v>
      </c>
      <c r="E1320" s="21">
        <v>46236</v>
      </c>
      <c r="F1320">
        <v>4</v>
      </c>
      <c r="G1320" t="s">
        <v>20</v>
      </c>
      <c r="H1320">
        <v>249900</v>
      </c>
      <c r="I1320">
        <v>219900</v>
      </c>
      <c r="J1320">
        <v>199900</v>
      </c>
      <c r="K1320">
        <v>219900</v>
      </c>
      <c r="L1320">
        <v>97</v>
      </c>
      <c r="M1320">
        <v>21330300</v>
      </c>
      <c r="N1320" s="19">
        <v>12410356.363636363</v>
      </c>
      <c r="O1320" s="19">
        <v>12162149.236363636</v>
      </c>
      <c r="P1320" t="str">
        <f t="shared" si="30"/>
        <v>Ninja Heated</v>
      </c>
      <c r="Q1320" t="str">
        <f t="shared" si="31"/>
        <v>Crispi</v>
      </c>
    </row>
    <row r="1321" spans="1:17" x14ac:dyDescent="0.35">
      <c r="A1321" t="str">
        <f>_xlfn.XLOOKUP(B1321,Mapping!C:C,Mapping!D:D)</f>
        <v>Group Buying</v>
      </c>
      <c r="B1321" t="s">
        <v>114</v>
      </c>
      <c r="C1321" t="s">
        <v>361</v>
      </c>
      <c r="D1321" s="21">
        <v>46261</v>
      </c>
      <c r="E1321" s="21">
        <v>46265</v>
      </c>
      <c r="F1321">
        <v>5</v>
      </c>
      <c r="G1321" t="s">
        <v>18</v>
      </c>
      <c r="H1321">
        <v>249900</v>
      </c>
      <c r="I1321">
        <v>219900</v>
      </c>
      <c r="J1321">
        <v>199900</v>
      </c>
      <c r="K1321">
        <v>219900</v>
      </c>
      <c r="L1321">
        <v>100</v>
      </c>
      <c r="M1321">
        <v>21990000</v>
      </c>
      <c r="N1321" s="19">
        <v>12794181.818181818</v>
      </c>
      <c r="O1321" s="19">
        <v>12538298.181818182</v>
      </c>
      <c r="P1321" t="str">
        <f t="shared" si="30"/>
        <v>Ninja Heated</v>
      </c>
      <c r="Q1321" t="str">
        <f t="shared" si="31"/>
        <v>Crispi</v>
      </c>
    </row>
    <row r="1322" spans="1:17" x14ac:dyDescent="0.35">
      <c r="A1322" t="str">
        <f>_xlfn.XLOOKUP(B1322,Mapping!C:C,Mapping!D:D)</f>
        <v>Group Buying</v>
      </c>
      <c r="B1322" t="s">
        <v>114</v>
      </c>
      <c r="C1322" t="s">
        <v>361</v>
      </c>
      <c r="D1322" s="21">
        <v>46261</v>
      </c>
      <c r="E1322" s="21">
        <v>46265</v>
      </c>
      <c r="F1322">
        <v>5</v>
      </c>
      <c r="G1322" t="s">
        <v>19</v>
      </c>
      <c r="H1322">
        <v>249900</v>
      </c>
      <c r="I1322">
        <v>219900</v>
      </c>
      <c r="J1322">
        <v>199900</v>
      </c>
      <c r="K1322">
        <v>219900</v>
      </c>
      <c r="L1322">
        <v>10</v>
      </c>
      <c r="M1322">
        <v>2199000</v>
      </c>
      <c r="N1322" s="19">
        <v>1279418.1818181816</v>
      </c>
      <c r="O1322" s="19">
        <v>1253829.8181818181</v>
      </c>
      <c r="P1322" t="str">
        <f t="shared" si="30"/>
        <v>Ninja Heated</v>
      </c>
      <c r="Q1322" t="str">
        <f t="shared" si="31"/>
        <v>Crispi</v>
      </c>
    </row>
    <row r="1323" spans="1:17" x14ac:dyDescent="0.35">
      <c r="A1323" t="str">
        <f>_xlfn.XLOOKUP(B1323,Mapping!C:C,Mapping!D:D)</f>
        <v>Group Buying</v>
      </c>
      <c r="B1323" t="s">
        <v>114</v>
      </c>
      <c r="C1323" t="s">
        <v>361</v>
      </c>
      <c r="D1323" s="21">
        <v>46261</v>
      </c>
      <c r="E1323" s="21">
        <v>46265</v>
      </c>
      <c r="F1323">
        <v>5</v>
      </c>
      <c r="G1323" t="s">
        <v>20</v>
      </c>
      <c r="H1323">
        <v>249900</v>
      </c>
      <c r="I1323">
        <v>219900</v>
      </c>
      <c r="J1323">
        <v>199900</v>
      </c>
      <c r="K1323">
        <v>219900</v>
      </c>
      <c r="L1323">
        <v>10</v>
      </c>
      <c r="M1323">
        <v>2199000</v>
      </c>
      <c r="N1323" s="19">
        <v>1279418.1818181816</v>
      </c>
      <c r="O1323" s="19">
        <v>1253829.8181818181</v>
      </c>
      <c r="P1323" t="str">
        <f t="shared" si="30"/>
        <v>Ninja Heated</v>
      </c>
      <c r="Q1323" t="str">
        <f t="shared" si="31"/>
        <v>Crispi</v>
      </c>
    </row>
    <row r="1324" spans="1:17" x14ac:dyDescent="0.35">
      <c r="A1324" t="str">
        <f>_xlfn.XLOOKUP(B1324,Mapping!C:C,Mapping!D:D)</f>
        <v>Group Buying</v>
      </c>
      <c r="B1324" t="s">
        <v>114</v>
      </c>
      <c r="C1324" t="s">
        <v>354</v>
      </c>
      <c r="D1324" s="21">
        <v>46262</v>
      </c>
      <c r="E1324" s="21">
        <v>46264</v>
      </c>
      <c r="F1324">
        <v>3</v>
      </c>
      <c r="G1324" t="s">
        <v>65</v>
      </c>
      <c r="H1324">
        <v>249900</v>
      </c>
      <c r="I1324">
        <v>229900</v>
      </c>
      <c r="J1324">
        <v>199900</v>
      </c>
      <c r="K1324">
        <v>199900</v>
      </c>
      <c r="L1324">
        <v>300</v>
      </c>
      <c r="M1324">
        <v>59970000</v>
      </c>
      <c r="N1324" s="19">
        <v>34891636.36363636</v>
      </c>
      <c r="O1324" s="19">
        <v>34193803.636363633</v>
      </c>
      <c r="P1324" t="str">
        <f t="shared" si="30"/>
        <v>Ninja Motorized</v>
      </c>
      <c r="Q1324" t="str">
        <f t="shared" si="31"/>
        <v>Portable</v>
      </c>
    </row>
    <row r="1325" spans="1:17" x14ac:dyDescent="0.35">
      <c r="A1325" t="str">
        <f>_xlfn.XLOOKUP(B1325,Mapping!C:C,Mapping!D:D)</f>
        <v>Group Buying</v>
      </c>
      <c r="B1325" t="s">
        <v>114</v>
      </c>
      <c r="C1325" t="s">
        <v>354</v>
      </c>
      <c r="D1325" s="21">
        <v>46262</v>
      </c>
      <c r="E1325" s="21">
        <v>46264</v>
      </c>
      <c r="F1325">
        <v>3</v>
      </c>
      <c r="G1325" t="s">
        <v>66</v>
      </c>
      <c r="H1325">
        <v>249900</v>
      </c>
      <c r="I1325">
        <v>229900</v>
      </c>
      <c r="J1325">
        <v>199900</v>
      </c>
      <c r="K1325">
        <v>199900</v>
      </c>
      <c r="L1325">
        <v>300</v>
      </c>
      <c r="M1325">
        <v>59970000</v>
      </c>
      <c r="N1325" s="19">
        <v>34891636.36363636</v>
      </c>
      <c r="O1325" s="19">
        <v>34193803.636363633</v>
      </c>
      <c r="P1325" t="str">
        <f t="shared" si="30"/>
        <v>Ninja Motorized</v>
      </c>
      <c r="Q1325" t="str">
        <f t="shared" si="31"/>
        <v>Portable</v>
      </c>
    </row>
    <row r="1326" spans="1:17" x14ac:dyDescent="0.35">
      <c r="A1326" t="str">
        <f>_xlfn.XLOOKUP(B1326,Mapping!C:C,Mapping!D:D)</f>
        <v>Group Buying</v>
      </c>
      <c r="B1326" t="s">
        <v>114</v>
      </c>
      <c r="C1326" t="s">
        <v>354</v>
      </c>
      <c r="D1326" s="21">
        <v>46262</v>
      </c>
      <c r="E1326" s="21">
        <v>46264</v>
      </c>
      <c r="F1326">
        <v>3</v>
      </c>
      <c r="G1326" t="s">
        <v>67</v>
      </c>
      <c r="H1326">
        <v>249900</v>
      </c>
      <c r="I1326">
        <v>229900</v>
      </c>
      <c r="J1326">
        <v>199900</v>
      </c>
      <c r="K1326">
        <v>199900</v>
      </c>
      <c r="L1326">
        <v>400</v>
      </c>
      <c r="M1326">
        <v>79960000</v>
      </c>
      <c r="N1326" s="19">
        <v>46522181.818181813</v>
      </c>
      <c r="O1326" s="19">
        <v>45591738.18181818</v>
      </c>
      <c r="P1326" t="str">
        <f t="shared" si="30"/>
        <v>Ninja Motorized</v>
      </c>
      <c r="Q1326" t="str">
        <f t="shared" si="31"/>
        <v>Portable</v>
      </c>
    </row>
    <row r="1327" spans="1:17" x14ac:dyDescent="0.35">
      <c r="A1327" t="str">
        <f>_xlfn.XLOOKUP(B1327,Mapping!C:C,Mapping!D:D)</f>
        <v>Group Buying</v>
      </c>
      <c r="B1327" t="s">
        <v>114</v>
      </c>
      <c r="C1327" t="s">
        <v>354</v>
      </c>
      <c r="D1327" s="21">
        <v>46262</v>
      </c>
      <c r="E1327" s="21">
        <v>46264</v>
      </c>
      <c r="F1327">
        <v>3</v>
      </c>
      <c r="G1327" t="s">
        <v>51</v>
      </c>
      <c r="H1327">
        <v>249900</v>
      </c>
      <c r="I1327">
        <v>229900</v>
      </c>
      <c r="J1327">
        <v>199900</v>
      </c>
      <c r="K1327">
        <v>199900</v>
      </c>
      <c r="M1327">
        <v>0</v>
      </c>
      <c r="N1327" s="19">
        <v>0</v>
      </c>
      <c r="O1327" s="19">
        <v>0</v>
      </c>
      <c r="P1327" t="str">
        <f t="shared" si="30"/>
        <v>Ninja Motorized</v>
      </c>
      <c r="Q1327" t="str">
        <f t="shared" si="31"/>
        <v>Portable</v>
      </c>
    </row>
    <row r="1328" spans="1:17" x14ac:dyDescent="0.35">
      <c r="A1328" t="str">
        <f>_xlfn.XLOOKUP(B1328,Mapping!C:C,Mapping!D:D)</f>
        <v>Group Buying</v>
      </c>
      <c r="B1328" t="s">
        <v>114</v>
      </c>
      <c r="C1328" t="s">
        <v>362</v>
      </c>
      <c r="D1328" s="21">
        <v>46244</v>
      </c>
      <c r="E1328" s="21">
        <v>46247</v>
      </c>
      <c r="F1328">
        <v>4</v>
      </c>
      <c r="G1328" t="s">
        <v>65</v>
      </c>
      <c r="H1328">
        <v>249900</v>
      </c>
      <c r="I1328">
        <v>229900</v>
      </c>
      <c r="J1328">
        <v>199900</v>
      </c>
      <c r="K1328">
        <v>199900</v>
      </c>
      <c r="L1328">
        <v>200</v>
      </c>
      <c r="M1328">
        <v>39980000</v>
      </c>
      <c r="N1328" s="19">
        <v>23261090.909090906</v>
      </c>
      <c r="O1328" s="19">
        <v>22795869.09090909</v>
      </c>
      <c r="P1328" t="str">
        <f t="shared" si="30"/>
        <v>Ninja Motorized</v>
      </c>
      <c r="Q1328" t="str">
        <f t="shared" si="31"/>
        <v>Portable</v>
      </c>
    </row>
    <row r="1329" spans="1:17" x14ac:dyDescent="0.35">
      <c r="A1329" t="str">
        <f>_xlfn.XLOOKUP(B1329,Mapping!C:C,Mapping!D:D)</f>
        <v>Group Buying</v>
      </c>
      <c r="B1329" t="s">
        <v>114</v>
      </c>
      <c r="C1329" t="s">
        <v>362</v>
      </c>
      <c r="D1329" s="21">
        <v>46244</v>
      </c>
      <c r="E1329" s="21">
        <v>46247</v>
      </c>
      <c r="F1329">
        <v>4</v>
      </c>
      <c r="G1329" t="s">
        <v>66</v>
      </c>
      <c r="H1329">
        <v>249900</v>
      </c>
      <c r="I1329">
        <v>229900</v>
      </c>
      <c r="J1329">
        <v>199900</v>
      </c>
      <c r="K1329">
        <v>199900</v>
      </c>
      <c r="L1329">
        <v>200</v>
      </c>
      <c r="M1329">
        <v>39980000</v>
      </c>
      <c r="N1329" s="19">
        <v>23261090.909090906</v>
      </c>
      <c r="O1329" s="19">
        <v>22795869.09090909</v>
      </c>
      <c r="P1329" t="str">
        <f t="shared" si="30"/>
        <v>Ninja Motorized</v>
      </c>
      <c r="Q1329" t="str">
        <f t="shared" si="31"/>
        <v>Portable</v>
      </c>
    </row>
    <row r="1330" spans="1:17" x14ac:dyDescent="0.35">
      <c r="A1330" t="str">
        <f>_xlfn.XLOOKUP(B1330,Mapping!C:C,Mapping!D:D)</f>
        <v>Group Buying</v>
      </c>
      <c r="B1330" t="s">
        <v>114</v>
      </c>
      <c r="C1330" t="s">
        <v>362</v>
      </c>
      <c r="D1330" s="21">
        <v>46244</v>
      </c>
      <c r="E1330" s="21">
        <v>46247</v>
      </c>
      <c r="F1330">
        <v>4</v>
      </c>
      <c r="G1330" t="s">
        <v>67</v>
      </c>
      <c r="H1330">
        <v>249900</v>
      </c>
      <c r="I1330">
        <v>229900</v>
      </c>
      <c r="J1330">
        <v>199900</v>
      </c>
      <c r="K1330">
        <v>199900</v>
      </c>
      <c r="L1330">
        <v>200</v>
      </c>
      <c r="M1330">
        <v>39980000</v>
      </c>
      <c r="N1330" s="19">
        <v>23261090.909090906</v>
      </c>
      <c r="O1330" s="19">
        <v>22795869.09090909</v>
      </c>
      <c r="P1330" t="str">
        <f t="shared" si="30"/>
        <v>Ninja Motorized</v>
      </c>
      <c r="Q1330" t="str">
        <f t="shared" si="31"/>
        <v>Portable</v>
      </c>
    </row>
    <row r="1331" spans="1:17" x14ac:dyDescent="0.35">
      <c r="A1331" t="str">
        <f>_xlfn.XLOOKUP(B1331,Mapping!C:C,Mapping!D:D)</f>
        <v>Group Buying</v>
      </c>
      <c r="B1331" t="s">
        <v>114</v>
      </c>
      <c r="C1331" t="s">
        <v>362</v>
      </c>
      <c r="D1331" s="21">
        <v>46244</v>
      </c>
      <c r="E1331" s="21">
        <v>46247</v>
      </c>
      <c r="F1331">
        <v>4</v>
      </c>
      <c r="G1331" t="s">
        <v>51</v>
      </c>
      <c r="H1331">
        <v>249900</v>
      </c>
      <c r="I1331">
        <v>229900</v>
      </c>
      <c r="J1331">
        <v>199900</v>
      </c>
      <c r="K1331">
        <v>199900</v>
      </c>
      <c r="M1331">
        <v>0</v>
      </c>
      <c r="N1331" s="19">
        <v>0</v>
      </c>
      <c r="O1331" s="19">
        <v>0</v>
      </c>
      <c r="P1331" t="str">
        <f t="shared" si="30"/>
        <v>Ninja Motorized</v>
      </c>
      <c r="Q1331" t="str">
        <f t="shared" si="31"/>
        <v>Portable</v>
      </c>
    </row>
    <row r="1332" spans="1:17" x14ac:dyDescent="0.35">
      <c r="A1332" t="str">
        <f>_xlfn.XLOOKUP(B1332,Mapping!C:C,Mapping!D:D)</f>
        <v>Group Buying</v>
      </c>
      <c r="B1332" t="s">
        <v>114</v>
      </c>
      <c r="C1332" t="s">
        <v>363</v>
      </c>
      <c r="D1332" s="21">
        <v>46252</v>
      </c>
      <c r="E1332" s="21">
        <v>46254</v>
      </c>
      <c r="F1332">
        <v>3</v>
      </c>
      <c r="G1332" t="s">
        <v>65</v>
      </c>
      <c r="H1332">
        <v>249900</v>
      </c>
      <c r="I1332">
        <v>229900</v>
      </c>
      <c r="J1332">
        <v>199900</v>
      </c>
      <c r="K1332">
        <v>199900</v>
      </c>
      <c r="L1332">
        <v>200</v>
      </c>
      <c r="M1332">
        <v>39980000</v>
      </c>
      <c r="N1332" s="19">
        <v>23261090.909090906</v>
      </c>
      <c r="O1332" s="19">
        <v>22795869.09090909</v>
      </c>
      <c r="P1332" t="str">
        <f t="shared" si="30"/>
        <v>Ninja Motorized</v>
      </c>
      <c r="Q1332" t="str">
        <f t="shared" si="31"/>
        <v>Portable</v>
      </c>
    </row>
    <row r="1333" spans="1:17" x14ac:dyDescent="0.35">
      <c r="A1333" t="str">
        <f>_xlfn.XLOOKUP(B1333,Mapping!C:C,Mapping!D:D)</f>
        <v>Group Buying</v>
      </c>
      <c r="B1333" t="s">
        <v>114</v>
      </c>
      <c r="C1333" t="s">
        <v>363</v>
      </c>
      <c r="D1333" s="21">
        <v>46252</v>
      </c>
      <c r="E1333" s="21">
        <v>46254</v>
      </c>
      <c r="F1333">
        <v>3</v>
      </c>
      <c r="G1333" t="s">
        <v>66</v>
      </c>
      <c r="H1333">
        <v>249900</v>
      </c>
      <c r="I1333">
        <v>229900</v>
      </c>
      <c r="J1333">
        <v>199900</v>
      </c>
      <c r="K1333">
        <v>199900</v>
      </c>
      <c r="L1333">
        <v>200</v>
      </c>
      <c r="M1333">
        <v>39980000</v>
      </c>
      <c r="N1333" s="19">
        <v>23261090.909090906</v>
      </c>
      <c r="O1333" s="19">
        <v>22795869.09090909</v>
      </c>
      <c r="P1333" t="str">
        <f t="shared" si="30"/>
        <v>Ninja Motorized</v>
      </c>
      <c r="Q1333" t="str">
        <f t="shared" si="31"/>
        <v>Portable</v>
      </c>
    </row>
    <row r="1334" spans="1:17" x14ac:dyDescent="0.35">
      <c r="A1334" t="str">
        <f>_xlfn.XLOOKUP(B1334,Mapping!C:C,Mapping!D:D)</f>
        <v>Group Buying</v>
      </c>
      <c r="B1334" t="s">
        <v>114</v>
      </c>
      <c r="C1334" t="s">
        <v>363</v>
      </c>
      <c r="D1334" s="21">
        <v>46252</v>
      </c>
      <c r="E1334" s="21">
        <v>46254</v>
      </c>
      <c r="F1334">
        <v>3</v>
      </c>
      <c r="G1334" t="s">
        <v>67</v>
      </c>
      <c r="H1334">
        <v>249900</v>
      </c>
      <c r="I1334">
        <v>229900</v>
      </c>
      <c r="J1334">
        <v>199900</v>
      </c>
      <c r="K1334">
        <v>199900</v>
      </c>
      <c r="L1334">
        <v>200</v>
      </c>
      <c r="M1334">
        <v>39980000</v>
      </c>
      <c r="N1334" s="19">
        <v>23261090.909090906</v>
      </c>
      <c r="O1334" s="19">
        <v>22795869.09090909</v>
      </c>
      <c r="P1334" t="str">
        <f t="shared" si="30"/>
        <v>Ninja Motorized</v>
      </c>
      <c r="Q1334" t="str">
        <f t="shared" si="31"/>
        <v>Portable</v>
      </c>
    </row>
    <row r="1335" spans="1:17" x14ac:dyDescent="0.35">
      <c r="A1335" t="str">
        <f>_xlfn.XLOOKUP(B1335,Mapping!C:C,Mapping!D:D)</f>
        <v>Group Buying</v>
      </c>
      <c r="B1335" t="s">
        <v>114</v>
      </c>
      <c r="C1335" t="s">
        <v>363</v>
      </c>
      <c r="D1335" s="21">
        <v>46252</v>
      </c>
      <c r="E1335" s="21">
        <v>46254</v>
      </c>
      <c r="F1335">
        <v>3</v>
      </c>
      <c r="G1335" t="s">
        <v>51</v>
      </c>
      <c r="H1335">
        <v>249900</v>
      </c>
      <c r="I1335">
        <v>229900</v>
      </c>
      <c r="J1335">
        <v>199900</v>
      </c>
      <c r="K1335">
        <v>199900</v>
      </c>
      <c r="M1335">
        <v>0</v>
      </c>
      <c r="N1335" s="19">
        <v>0</v>
      </c>
      <c r="O1335" s="19">
        <v>0</v>
      </c>
      <c r="P1335" t="str">
        <f t="shared" si="30"/>
        <v>Ninja Motorized</v>
      </c>
      <c r="Q1335" t="str">
        <f t="shared" si="31"/>
        <v>Portable</v>
      </c>
    </row>
    <row r="1336" spans="1:17" x14ac:dyDescent="0.35">
      <c r="A1336" t="str">
        <f>_xlfn.XLOOKUP(B1336,Mapping!C:C,Mapping!D:D)</f>
        <v>Group Buying</v>
      </c>
      <c r="B1336" t="s">
        <v>114</v>
      </c>
      <c r="C1336" t="s">
        <v>364</v>
      </c>
      <c r="D1336" s="21">
        <v>46246</v>
      </c>
      <c r="E1336" s="21">
        <v>46248</v>
      </c>
      <c r="F1336">
        <v>3</v>
      </c>
      <c r="G1336" t="s">
        <v>65</v>
      </c>
      <c r="H1336">
        <v>249900</v>
      </c>
      <c r="I1336">
        <v>229900</v>
      </c>
      <c r="J1336">
        <v>199900</v>
      </c>
      <c r="K1336">
        <v>199900</v>
      </c>
      <c r="L1336">
        <v>200</v>
      </c>
      <c r="M1336">
        <v>39980000</v>
      </c>
      <c r="N1336" s="19">
        <v>23261090.909090906</v>
      </c>
      <c r="O1336" s="19">
        <v>22795869.09090909</v>
      </c>
      <c r="P1336" t="str">
        <f t="shared" si="30"/>
        <v>Ninja Motorized</v>
      </c>
      <c r="Q1336" t="str">
        <f t="shared" si="31"/>
        <v>Portable</v>
      </c>
    </row>
    <row r="1337" spans="1:17" x14ac:dyDescent="0.35">
      <c r="A1337" t="str">
        <f>_xlfn.XLOOKUP(B1337,Mapping!C:C,Mapping!D:D)</f>
        <v>Group Buying</v>
      </c>
      <c r="B1337" t="s">
        <v>114</v>
      </c>
      <c r="C1337" t="s">
        <v>364</v>
      </c>
      <c r="D1337" s="21">
        <v>46246</v>
      </c>
      <c r="E1337" s="21">
        <v>46248</v>
      </c>
      <c r="F1337">
        <v>3</v>
      </c>
      <c r="G1337" t="s">
        <v>66</v>
      </c>
      <c r="H1337">
        <v>249900</v>
      </c>
      <c r="I1337">
        <v>229900</v>
      </c>
      <c r="J1337">
        <v>199900</v>
      </c>
      <c r="K1337">
        <v>199900</v>
      </c>
      <c r="L1337">
        <v>200</v>
      </c>
      <c r="M1337">
        <v>39980000</v>
      </c>
      <c r="N1337" s="19">
        <v>23261090.909090906</v>
      </c>
      <c r="O1337" s="19">
        <v>22795869.09090909</v>
      </c>
      <c r="P1337" t="str">
        <f t="shared" si="30"/>
        <v>Ninja Motorized</v>
      </c>
      <c r="Q1337" t="str">
        <f t="shared" si="31"/>
        <v>Portable</v>
      </c>
    </row>
    <row r="1338" spans="1:17" x14ac:dyDescent="0.35">
      <c r="A1338" t="str">
        <f>_xlfn.XLOOKUP(B1338,Mapping!C:C,Mapping!D:D)</f>
        <v>Group Buying</v>
      </c>
      <c r="B1338" t="s">
        <v>114</v>
      </c>
      <c r="C1338" t="s">
        <v>364</v>
      </c>
      <c r="D1338" s="21">
        <v>46246</v>
      </c>
      <c r="E1338" s="21">
        <v>46248</v>
      </c>
      <c r="F1338">
        <v>3</v>
      </c>
      <c r="G1338" t="s">
        <v>67</v>
      </c>
      <c r="H1338">
        <v>249900</v>
      </c>
      <c r="I1338">
        <v>229900</v>
      </c>
      <c r="J1338">
        <v>199900</v>
      </c>
      <c r="K1338">
        <v>199900</v>
      </c>
      <c r="L1338">
        <v>200</v>
      </c>
      <c r="M1338">
        <v>39980000</v>
      </c>
      <c r="N1338" s="19">
        <v>23261090.909090906</v>
      </c>
      <c r="O1338" s="19">
        <v>22795869.09090909</v>
      </c>
      <c r="P1338" t="str">
        <f t="shared" si="30"/>
        <v>Ninja Motorized</v>
      </c>
      <c r="Q1338" t="str">
        <f t="shared" si="31"/>
        <v>Portable</v>
      </c>
    </row>
    <row r="1339" spans="1:17" x14ac:dyDescent="0.35">
      <c r="A1339" t="str">
        <f>_xlfn.XLOOKUP(B1339,Mapping!C:C,Mapping!D:D)</f>
        <v>Group Buying</v>
      </c>
      <c r="B1339" t="s">
        <v>114</v>
      </c>
      <c r="C1339" t="s">
        <v>364</v>
      </c>
      <c r="D1339" s="21">
        <v>46246</v>
      </c>
      <c r="E1339" s="21">
        <v>46248</v>
      </c>
      <c r="F1339">
        <v>3</v>
      </c>
      <c r="G1339" t="s">
        <v>51</v>
      </c>
      <c r="H1339">
        <v>249900</v>
      </c>
      <c r="I1339">
        <v>229900</v>
      </c>
      <c r="J1339">
        <v>199900</v>
      </c>
      <c r="K1339">
        <v>199900</v>
      </c>
      <c r="M1339">
        <v>0</v>
      </c>
      <c r="N1339" s="19">
        <v>0</v>
      </c>
      <c r="O1339" s="19">
        <v>0</v>
      </c>
      <c r="P1339" t="str">
        <f t="shared" si="30"/>
        <v>Ninja Motorized</v>
      </c>
      <c r="Q1339" t="str">
        <f t="shared" si="31"/>
        <v>Portable</v>
      </c>
    </row>
    <row r="1340" spans="1:17" x14ac:dyDescent="0.35">
      <c r="A1340" t="str">
        <f>_xlfn.XLOOKUP(B1340,Mapping!C:C,Mapping!D:D)</f>
        <v>Group Buying</v>
      </c>
      <c r="B1340" t="s">
        <v>114</v>
      </c>
      <c r="C1340" t="s">
        <v>315</v>
      </c>
      <c r="D1340" s="21">
        <v>46249</v>
      </c>
      <c r="E1340" s="21">
        <v>46251</v>
      </c>
      <c r="F1340">
        <v>3</v>
      </c>
      <c r="G1340" t="s">
        <v>65</v>
      </c>
      <c r="H1340">
        <v>249900</v>
      </c>
      <c r="I1340">
        <v>229900</v>
      </c>
      <c r="J1340">
        <v>199900</v>
      </c>
      <c r="K1340">
        <v>199900</v>
      </c>
      <c r="L1340">
        <v>200</v>
      </c>
      <c r="M1340">
        <v>39980000</v>
      </c>
      <c r="N1340" s="19">
        <v>23261090.909090906</v>
      </c>
      <c r="O1340" s="19">
        <v>22795869.09090909</v>
      </c>
      <c r="P1340" t="str">
        <f t="shared" si="30"/>
        <v>Ninja Motorized</v>
      </c>
      <c r="Q1340" t="str">
        <f t="shared" si="31"/>
        <v>Portable</v>
      </c>
    </row>
    <row r="1341" spans="1:17" x14ac:dyDescent="0.35">
      <c r="A1341" t="str">
        <f>_xlfn.XLOOKUP(B1341,Mapping!C:C,Mapping!D:D)</f>
        <v>Group Buying</v>
      </c>
      <c r="B1341" t="s">
        <v>114</v>
      </c>
      <c r="C1341" t="s">
        <v>315</v>
      </c>
      <c r="D1341" s="21">
        <v>46249</v>
      </c>
      <c r="E1341" s="21">
        <v>46251</v>
      </c>
      <c r="F1341">
        <v>3</v>
      </c>
      <c r="G1341" t="s">
        <v>66</v>
      </c>
      <c r="H1341">
        <v>249900</v>
      </c>
      <c r="I1341">
        <v>229900</v>
      </c>
      <c r="J1341">
        <v>199900</v>
      </c>
      <c r="K1341">
        <v>199900</v>
      </c>
      <c r="L1341">
        <v>200</v>
      </c>
      <c r="M1341">
        <v>39980000</v>
      </c>
      <c r="N1341" s="19">
        <v>23261090.909090906</v>
      </c>
      <c r="O1341" s="19">
        <v>22795869.09090909</v>
      </c>
      <c r="P1341" t="str">
        <f t="shared" ref="P1341:P1404" si="32">_xlfn.XLOOKUP(G1341,$G$2:$G$529,$P$2:$P$529,"Not Found")</f>
        <v>Ninja Motorized</v>
      </c>
      <c r="Q1341" t="str">
        <f t="shared" ref="Q1341:Q1404" si="33">_xlfn.XLOOKUP(G1341,$G$2:$G$529,$Q$2:$Q$529,"Not Found")</f>
        <v>Portable</v>
      </c>
    </row>
    <row r="1342" spans="1:17" x14ac:dyDescent="0.35">
      <c r="A1342" t="str">
        <f>_xlfn.XLOOKUP(B1342,Mapping!C:C,Mapping!D:D)</f>
        <v>Group Buying</v>
      </c>
      <c r="B1342" t="s">
        <v>114</v>
      </c>
      <c r="C1342" t="s">
        <v>315</v>
      </c>
      <c r="D1342" s="21">
        <v>46249</v>
      </c>
      <c r="E1342" s="21">
        <v>46251</v>
      </c>
      <c r="F1342">
        <v>3</v>
      </c>
      <c r="G1342" t="s">
        <v>67</v>
      </c>
      <c r="H1342">
        <v>249900</v>
      </c>
      <c r="I1342">
        <v>229900</v>
      </c>
      <c r="J1342">
        <v>199900</v>
      </c>
      <c r="K1342">
        <v>199900</v>
      </c>
      <c r="L1342">
        <v>200</v>
      </c>
      <c r="M1342">
        <v>39980000</v>
      </c>
      <c r="N1342" s="19">
        <v>23261090.909090906</v>
      </c>
      <c r="O1342" s="19">
        <v>22795869.09090909</v>
      </c>
      <c r="P1342" t="str">
        <f t="shared" si="32"/>
        <v>Ninja Motorized</v>
      </c>
      <c r="Q1342" t="str">
        <f t="shared" si="33"/>
        <v>Portable</v>
      </c>
    </row>
    <row r="1343" spans="1:17" x14ac:dyDescent="0.35">
      <c r="A1343" t="str">
        <f>_xlfn.XLOOKUP(B1343,Mapping!C:C,Mapping!D:D)</f>
        <v>Group Buying</v>
      </c>
      <c r="B1343" t="s">
        <v>114</v>
      </c>
      <c r="C1343" t="s">
        <v>315</v>
      </c>
      <c r="D1343" s="21">
        <v>46249</v>
      </c>
      <c r="E1343" s="21">
        <v>46251</v>
      </c>
      <c r="F1343">
        <v>3</v>
      </c>
      <c r="G1343" t="s">
        <v>51</v>
      </c>
      <c r="H1343">
        <v>249900</v>
      </c>
      <c r="I1343">
        <v>229900</v>
      </c>
      <c r="J1343">
        <v>199900</v>
      </c>
      <c r="K1343">
        <v>199900</v>
      </c>
      <c r="M1343">
        <v>0</v>
      </c>
      <c r="N1343" s="19">
        <v>0</v>
      </c>
      <c r="O1343" s="19">
        <v>0</v>
      </c>
      <c r="P1343" t="str">
        <f t="shared" si="32"/>
        <v>Ninja Motorized</v>
      </c>
      <c r="Q1343" t="str">
        <f t="shared" si="33"/>
        <v>Portable</v>
      </c>
    </row>
    <row r="1344" spans="1:17" x14ac:dyDescent="0.35">
      <c r="A1344" t="str">
        <f>_xlfn.XLOOKUP(B1344,Mapping!C:C,Mapping!D:D)</f>
        <v>Group Buying</v>
      </c>
      <c r="B1344" t="s">
        <v>114</v>
      </c>
      <c r="C1344" t="s">
        <v>238</v>
      </c>
      <c r="D1344" s="21">
        <v>46255</v>
      </c>
      <c r="E1344" s="21">
        <v>46257</v>
      </c>
      <c r="F1344">
        <v>3</v>
      </c>
      <c r="G1344" t="s">
        <v>65</v>
      </c>
      <c r="H1344">
        <v>249900</v>
      </c>
      <c r="I1344">
        <v>229900</v>
      </c>
      <c r="J1344">
        <v>199900</v>
      </c>
      <c r="K1344">
        <v>199900</v>
      </c>
      <c r="L1344">
        <v>300</v>
      </c>
      <c r="M1344">
        <v>59970000</v>
      </c>
      <c r="N1344" s="19">
        <v>34891636.36363636</v>
      </c>
      <c r="O1344" s="19">
        <v>34193803.636363633</v>
      </c>
      <c r="P1344" t="str">
        <f t="shared" si="32"/>
        <v>Ninja Motorized</v>
      </c>
      <c r="Q1344" t="str">
        <f t="shared" si="33"/>
        <v>Portable</v>
      </c>
    </row>
    <row r="1345" spans="1:17" x14ac:dyDescent="0.35">
      <c r="A1345" t="str">
        <f>_xlfn.XLOOKUP(B1345,Mapping!C:C,Mapping!D:D)</f>
        <v>Group Buying</v>
      </c>
      <c r="B1345" t="s">
        <v>114</v>
      </c>
      <c r="C1345" t="s">
        <v>238</v>
      </c>
      <c r="D1345" s="21">
        <v>46255</v>
      </c>
      <c r="E1345" s="21">
        <v>46257</v>
      </c>
      <c r="F1345">
        <v>3</v>
      </c>
      <c r="G1345" t="s">
        <v>66</v>
      </c>
      <c r="H1345">
        <v>249900</v>
      </c>
      <c r="I1345">
        <v>229900</v>
      </c>
      <c r="J1345">
        <v>199900</v>
      </c>
      <c r="K1345">
        <v>199900</v>
      </c>
      <c r="L1345">
        <v>300</v>
      </c>
      <c r="M1345">
        <v>59970000</v>
      </c>
      <c r="N1345" s="19">
        <v>34891636.36363636</v>
      </c>
      <c r="O1345" s="19">
        <v>34193803.636363633</v>
      </c>
      <c r="P1345" t="str">
        <f t="shared" si="32"/>
        <v>Ninja Motorized</v>
      </c>
      <c r="Q1345" t="str">
        <f t="shared" si="33"/>
        <v>Portable</v>
      </c>
    </row>
    <row r="1346" spans="1:17" x14ac:dyDescent="0.35">
      <c r="A1346" t="str">
        <f>_xlfn.XLOOKUP(B1346,Mapping!C:C,Mapping!D:D)</f>
        <v>Group Buying</v>
      </c>
      <c r="B1346" t="s">
        <v>114</v>
      </c>
      <c r="C1346" t="s">
        <v>238</v>
      </c>
      <c r="D1346" s="21">
        <v>46255</v>
      </c>
      <c r="E1346" s="21">
        <v>46257</v>
      </c>
      <c r="F1346">
        <v>3</v>
      </c>
      <c r="G1346" t="s">
        <v>67</v>
      </c>
      <c r="H1346">
        <v>249900</v>
      </c>
      <c r="I1346">
        <v>229900</v>
      </c>
      <c r="J1346">
        <v>199900</v>
      </c>
      <c r="K1346">
        <v>199900</v>
      </c>
      <c r="L1346">
        <v>400</v>
      </c>
      <c r="M1346">
        <v>79960000</v>
      </c>
      <c r="N1346" s="19">
        <v>46522181.818181813</v>
      </c>
      <c r="O1346" s="19">
        <v>45591738.18181818</v>
      </c>
      <c r="P1346" t="str">
        <f t="shared" si="32"/>
        <v>Ninja Motorized</v>
      </c>
      <c r="Q1346" t="str">
        <f t="shared" si="33"/>
        <v>Portable</v>
      </c>
    </row>
    <row r="1347" spans="1:17" x14ac:dyDescent="0.35">
      <c r="A1347" t="str">
        <f>_xlfn.XLOOKUP(B1347,Mapping!C:C,Mapping!D:D)</f>
        <v>Group Buying</v>
      </c>
      <c r="B1347" t="s">
        <v>114</v>
      </c>
      <c r="C1347" t="s">
        <v>238</v>
      </c>
      <c r="D1347" s="21">
        <v>46255</v>
      </c>
      <c r="E1347" s="21">
        <v>46257</v>
      </c>
      <c r="F1347">
        <v>3</v>
      </c>
      <c r="G1347" t="s">
        <v>51</v>
      </c>
      <c r="H1347">
        <v>249900</v>
      </c>
      <c r="I1347">
        <v>229900</v>
      </c>
      <c r="J1347">
        <v>199900</v>
      </c>
      <c r="K1347">
        <v>199900</v>
      </c>
      <c r="M1347">
        <v>0</v>
      </c>
      <c r="N1347" s="19">
        <v>0</v>
      </c>
      <c r="O1347" s="19">
        <v>0</v>
      </c>
      <c r="P1347" t="str">
        <f t="shared" si="32"/>
        <v>Ninja Motorized</v>
      </c>
      <c r="Q1347" t="str">
        <f t="shared" si="33"/>
        <v>Portable</v>
      </c>
    </row>
    <row r="1348" spans="1:17" x14ac:dyDescent="0.35">
      <c r="A1348" t="str">
        <f>_xlfn.XLOOKUP(B1348,Mapping!C:C,Mapping!D:D)</f>
        <v>Group Buying</v>
      </c>
      <c r="B1348" t="s">
        <v>114</v>
      </c>
      <c r="C1348" t="s">
        <v>237</v>
      </c>
      <c r="D1348" s="21">
        <v>46240</v>
      </c>
      <c r="E1348" s="21">
        <v>46243</v>
      </c>
      <c r="F1348">
        <v>4</v>
      </c>
      <c r="G1348" t="s">
        <v>38</v>
      </c>
      <c r="H1348">
        <v>429900</v>
      </c>
      <c r="I1348">
        <v>399900</v>
      </c>
      <c r="J1348">
        <v>349900</v>
      </c>
      <c r="K1348">
        <v>349900</v>
      </c>
      <c r="L1348">
        <v>300</v>
      </c>
      <c r="M1348">
        <v>104970000</v>
      </c>
      <c r="N1348" s="19">
        <v>61073454.545454539</v>
      </c>
      <c r="O1348" s="19">
        <v>59851985.454545446</v>
      </c>
      <c r="P1348" t="str">
        <f t="shared" si="32"/>
        <v>Ninja Heated</v>
      </c>
      <c r="Q1348" t="str">
        <f t="shared" si="33"/>
        <v>Grill</v>
      </c>
    </row>
    <row r="1349" spans="1:17" x14ac:dyDescent="0.35">
      <c r="A1349" t="str">
        <f>_xlfn.XLOOKUP(B1349,Mapping!C:C,Mapping!D:D)</f>
        <v>Group Buying</v>
      </c>
      <c r="B1349" t="s">
        <v>114</v>
      </c>
      <c r="C1349" t="s">
        <v>140</v>
      </c>
      <c r="D1349" s="21">
        <v>46248</v>
      </c>
      <c r="E1349" s="21">
        <v>46251</v>
      </c>
      <c r="F1349">
        <v>4</v>
      </c>
      <c r="G1349" t="s">
        <v>33</v>
      </c>
      <c r="H1349">
        <v>399900</v>
      </c>
      <c r="I1349">
        <v>349900</v>
      </c>
      <c r="J1349">
        <v>299900</v>
      </c>
      <c r="K1349">
        <v>349900</v>
      </c>
      <c r="L1349">
        <v>50</v>
      </c>
      <c r="M1349">
        <v>17495000</v>
      </c>
      <c r="N1349" s="19">
        <v>10178909.09090909</v>
      </c>
      <c r="O1349" s="19">
        <v>9975330.9090909082</v>
      </c>
      <c r="P1349" t="str">
        <f t="shared" si="32"/>
        <v>Shark Fan</v>
      </c>
      <c r="Q1349" t="str">
        <f t="shared" si="33"/>
        <v>Fan</v>
      </c>
    </row>
    <row r="1350" spans="1:17" x14ac:dyDescent="0.35">
      <c r="A1350" t="str">
        <f>_xlfn.XLOOKUP(B1350,Mapping!C:C,Mapping!D:D)</f>
        <v>Group Buying</v>
      </c>
      <c r="B1350" t="s">
        <v>114</v>
      </c>
      <c r="C1350" t="s">
        <v>140</v>
      </c>
      <c r="D1350" s="21">
        <v>46248</v>
      </c>
      <c r="E1350" s="21">
        <v>46251</v>
      </c>
      <c r="F1350">
        <v>4</v>
      </c>
      <c r="G1350" t="s">
        <v>42</v>
      </c>
      <c r="H1350">
        <v>399900</v>
      </c>
      <c r="I1350">
        <v>349900</v>
      </c>
      <c r="J1350">
        <v>299900</v>
      </c>
      <c r="K1350">
        <v>349900</v>
      </c>
      <c r="L1350">
        <v>50</v>
      </c>
      <c r="M1350">
        <v>17495000</v>
      </c>
      <c r="N1350" s="19">
        <v>10178909.09090909</v>
      </c>
      <c r="O1350" s="19">
        <v>9975330.9090909082</v>
      </c>
      <c r="P1350" t="str">
        <f t="shared" si="32"/>
        <v>Shark Fan</v>
      </c>
      <c r="Q1350" t="str">
        <f t="shared" si="33"/>
        <v>Fan</v>
      </c>
    </row>
    <row r="1351" spans="1:17" x14ac:dyDescent="0.35">
      <c r="A1351" t="str">
        <f>_xlfn.XLOOKUP(B1351,Mapping!C:C,Mapping!D:D)</f>
        <v>Group Buying</v>
      </c>
      <c r="B1351" t="s">
        <v>114</v>
      </c>
      <c r="C1351" t="s">
        <v>365</v>
      </c>
      <c r="D1351" s="21">
        <v>46258</v>
      </c>
      <c r="E1351" s="21">
        <v>46261</v>
      </c>
      <c r="F1351">
        <v>4</v>
      </c>
      <c r="G1351" t="s">
        <v>65</v>
      </c>
      <c r="H1351">
        <v>249900</v>
      </c>
      <c r="I1351">
        <v>229900</v>
      </c>
      <c r="J1351">
        <v>199900</v>
      </c>
      <c r="K1351">
        <v>199900</v>
      </c>
      <c r="L1351">
        <v>200</v>
      </c>
      <c r="M1351">
        <v>39980000</v>
      </c>
      <c r="N1351" s="19">
        <v>23261090.909090906</v>
      </c>
      <c r="O1351" s="19">
        <v>22795869.09090909</v>
      </c>
      <c r="P1351" t="str">
        <f t="shared" si="32"/>
        <v>Ninja Motorized</v>
      </c>
      <c r="Q1351" t="str">
        <f t="shared" si="33"/>
        <v>Portable</v>
      </c>
    </row>
    <row r="1352" spans="1:17" x14ac:dyDescent="0.35">
      <c r="A1352" t="str">
        <f>_xlfn.XLOOKUP(B1352,Mapping!C:C,Mapping!D:D)</f>
        <v>Group Buying</v>
      </c>
      <c r="B1352" t="s">
        <v>114</v>
      </c>
      <c r="C1352" t="s">
        <v>365</v>
      </c>
      <c r="D1352" s="21">
        <v>46258</v>
      </c>
      <c r="E1352" s="21">
        <v>46261</v>
      </c>
      <c r="F1352">
        <v>4</v>
      </c>
      <c r="G1352" t="s">
        <v>66</v>
      </c>
      <c r="H1352">
        <v>249900</v>
      </c>
      <c r="I1352">
        <v>229900</v>
      </c>
      <c r="J1352">
        <v>199900</v>
      </c>
      <c r="K1352">
        <v>199900</v>
      </c>
      <c r="L1352">
        <v>200</v>
      </c>
      <c r="M1352">
        <v>39980000</v>
      </c>
      <c r="N1352" s="19">
        <v>23261090.909090906</v>
      </c>
      <c r="O1352" s="19">
        <v>22795869.09090909</v>
      </c>
      <c r="P1352" t="str">
        <f t="shared" si="32"/>
        <v>Ninja Motorized</v>
      </c>
      <c r="Q1352" t="str">
        <f t="shared" si="33"/>
        <v>Portable</v>
      </c>
    </row>
    <row r="1353" spans="1:17" x14ac:dyDescent="0.35">
      <c r="A1353" t="str">
        <f>_xlfn.XLOOKUP(B1353,Mapping!C:C,Mapping!D:D)</f>
        <v>Group Buying</v>
      </c>
      <c r="B1353" t="s">
        <v>114</v>
      </c>
      <c r="C1353" t="s">
        <v>365</v>
      </c>
      <c r="D1353" s="21">
        <v>46258</v>
      </c>
      <c r="E1353" s="21">
        <v>46261</v>
      </c>
      <c r="F1353">
        <v>4</v>
      </c>
      <c r="G1353" t="s">
        <v>67</v>
      </c>
      <c r="H1353">
        <v>249900</v>
      </c>
      <c r="I1353">
        <v>229900</v>
      </c>
      <c r="J1353">
        <v>199900</v>
      </c>
      <c r="K1353">
        <v>199900</v>
      </c>
      <c r="L1353">
        <v>200</v>
      </c>
      <c r="M1353">
        <v>39980000</v>
      </c>
      <c r="N1353" s="19">
        <v>23261090.909090906</v>
      </c>
      <c r="O1353" s="19">
        <v>22795869.09090909</v>
      </c>
      <c r="P1353" t="str">
        <f t="shared" si="32"/>
        <v>Ninja Motorized</v>
      </c>
      <c r="Q1353" t="str">
        <f t="shared" si="33"/>
        <v>Portable</v>
      </c>
    </row>
    <row r="1354" spans="1:17" x14ac:dyDescent="0.35">
      <c r="A1354" t="str">
        <f>_xlfn.XLOOKUP(B1354,Mapping!C:C,Mapping!D:D)</f>
        <v>Naver</v>
      </c>
      <c r="B1354" t="s">
        <v>146</v>
      </c>
      <c r="C1354" t="s">
        <v>366</v>
      </c>
      <c r="D1354" s="21">
        <v>46239</v>
      </c>
      <c r="E1354" s="21">
        <v>46239</v>
      </c>
      <c r="F1354">
        <v>1</v>
      </c>
      <c r="G1354" t="s">
        <v>34</v>
      </c>
      <c r="H1354">
        <v>249900</v>
      </c>
      <c r="I1354">
        <v>229900</v>
      </c>
      <c r="J1354">
        <v>199900</v>
      </c>
      <c r="K1354">
        <v>209900</v>
      </c>
      <c r="L1354">
        <v>100</v>
      </c>
      <c r="M1354">
        <v>20990000</v>
      </c>
      <c r="N1354" s="19">
        <v>18172727.27272727</v>
      </c>
      <c r="O1354" s="19">
        <v>16355454.545454543</v>
      </c>
      <c r="P1354" t="str">
        <f t="shared" si="32"/>
        <v>Ninja Motorized</v>
      </c>
      <c r="Q1354" t="str">
        <f t="shared" si="33"/>
        <v>Portable</v>
      </c>
    </row>
    <row r="1355" spans="1:17" x14ac:dyDescent="0.35">
      <c r="A1355" t="str">
        <f>_xlfn.XLOOKUP(B1355,Mapping!C:C,Mapping!D:D)</f>
        <v>Naver</v>
      </c>
      <c r="B1355" t="s">
        <v>146</v>
      </c>
      <c r="C1355" t="s">
        <v>366</v>
      </c>
      <c r="D1355" s="21">
        <v>46239</v>
      </c>
      <c r="E1355" s="21">
        <v>46239</v>
      </c>
      <c r="F1355">
        <v>1</v>
      </c>
      <c r="G1355" t="s">
        <v>54</v>
      </c>
      <c r="H1355">
        <v>699000</v>
      </c>
      <c r="I1355">
        <v>599000</v>
      </c>
      <c r="J1355">
        <v>499000</v>
      </c>
      <c r="K1355">
        <v>499900</v>
      </c>
      <c r="L1355">
        <v>10</v>
      </c>
      <c r="M1355">
        <v>4999000</v>
      </c>
      <c r="N1355" s="19">
        <v>6354545.4545454541</v>
      </c>
      <c r="O1355" s="19">
        <v>5719090.9090909082</v>
      </c>
      <c r="P1355" t="str">
        <f t="shared" si="32"/>
        <v>Shark Floorcare</v>
      </c>
      <c r="Q1355" t="str">
        <f t="shared" si="33"/>
        <v>FW</v>
      </c>
    </row>
    <row r="1356" spans="1:17" x14ac:dyDescent="0.35">
      <c r="A1356" t="str">
        <f>_xlfn.XLOOKUP(B1356,Mapping!C:C,Mapping!D:D)</f>
        <v>Naver</v>
      </c>
      <c r="B1356" t="s">
        <v>146</v>
      </c>
      <c r="C1356" t="s">
        <v>366</v>
      </c>
      <c r="D1356" s="21">
        <v>46239</v>
      </c>
      <c r="E1356" s="21">
        <v>46239</v>
      </c>
      <c r="F1356">
        <v>1</v>
      </c>
      <c r="G1356" t="s">
        <v>62</v>
      </c>
      <c r="H1356">
        <v>349900</v>
      </c>
      <c r="I1356">
        <v>319900</v>
      </c>
      <c r="J1356">
        <v>299900</v>
      </c>
      <c r="K1356">
        <v>299900</v>
      </c>
      <c r="L1356">
        <v>20</v>
      </c>
      <c r="M1356">
        <v>5998000</v>
      </c>
      <c r="N1356" s="19">
        <v>6361818.1818181816</v>
      </c>
      <c r="O1356" s="19">
        <v>5725636.3636363633</v>
      </c>
      <c r="P1356" t="str">
        <f t="shared" si="32"/>
        <v>Shark Floorcare</v>
      </c>
      <c r="Q1356" t="str">
        <f t="shared" si="33"/>
        <v>WV</v>
      </c>
    </row>
    <row r="1357" spans="1:17" x14ac:dyDescent="0.35">
      <c r="A1357" t="str">
        <f>_xlfn.XLOOKUP(B1357,Mapping!C:C,Mapping!D:D)</f>
        <v>Naver</v>
      </c>
      <c r="B1357" t="s">
        <v>146</v>
      </c>
      <c r="C1357" t="s">
        <v>366</v>
      </c>
      <c r="D1357" s="21">
        <v>46239</v>
      </c>
      <c r="E1357" s="21">
        <v>46239</v>
      </c>
      <c r="F1357">
        <v>1</v>
      </c>
      <c r="G1357" t="s">
        <v>87</v>
      </c>
      <c r="H1357">
        <v>219900</v>
      </c>
      <c r="I1357">
        <v>199900</v>
      </c>
      <c r="J1357">
        <v>179900</v>
      </c>
      <c r="K1357">
        <v>119900</v>
      </c>
      <c r="L1357">
        <v>100</v>
      </c>
      <c r="M1357">
        <v>11990000</v>
      </c>
      <c r="N1357" s="19">
        <v>19990909.09090909</v>
      </c>
      <c r="O1357" s="19">
        <v>17991818.18181818</v>
      </c>
      <c r="P1357" t="str">
        <f t="shared" si="32"/>
        <v>Shark Fan</v>
      </c>
      <c r="Q1357" t="str">
        <f t="shared" si="33"/>
        <v>Fan</v>
      </c>
    </row>
    <row r="1358" spans="1:17" x14ac:dyDescent="0.35">
      <c r="A1358" t="str">
        <f>_xlfn.XLOOKUP(B1358,Mapping!C:C,Mapping!D:D)</f>
        <v>Naver</v>
      </c>
      <c r="B1358" t="s">
        <v>146</v>
      </c>
      <c r="C1358" t="s">
        <v>366</v>
      </c>
      <c r="D1358" s="21">
        <v>46239</v>
      </c>
      <c r="E1358" s="21">
        <v>46239</v>
      </c>
      <c r="F1358">
        <v>1</v>
      </c>
      <c r="G1358" t="s">
        <v>109</v>
      </c>
      <c r="H1358">
        <v>249900</v>
      </c>
      <c r="I1358">
        <v>219900</v>
      </c>
      <c r="J1358">
        <v>199900</v>
      </c>
      <c r="K1358">
        <v>179900</v>
      </c>
      <c r="L1358">
        <v>80</v>
      </c>
      <c r="M1358">
        <v>14392000</v>
      </c>
      <c r="N1358" s="19">
        <v>18174545.454545453</v>
      </c>
      <c r="O1358" s="19">
        <v>16357090.909090908</v>
      </c>
      <c r="P1358" t="str">
        <f t="shared" si="32"/>
        <v>Shark Fan</v>
      </c>
      <c r="Q1358" t="str">
        <f t="shared" si="33"/>
        <v>Fan</v>
      </c>
    </row>
    <row r="1359" spans="1:17" x14ac:dyDescent="0.35">
      <c r="A1359" t="str">
        <f>_xlfn.XLOOKUP(B1359,Mapping!C:C,Mapping!D:D)</f>
        <v>Naver</v>
      </c>
      <c r="B1359" t="s">
        <v>146</v>
      </c>
      <c r="C1359" t="s">
        <v>366</v>
      </c>
      <c r="D1359" s="21">
        <v>46239</v>
      </c>
      <c r="E1359" s="21">
        <v>46239</v>
      </c>
      <c r="F1359">
        <v>1</v>
      </c>
      <c r="G1359" t="s">
        <v>86</v>
      </c>
      <c r="H1359">
        <v>149900</v>
      </c>
      <c r="I1359">
        <v>139900</v>
      </c>
      <c r="J1359">
        <v>109900</v>
      </c>
      <c r="K1359">
        <v>119900</v>
      </c>
      <c r="L1359">
        <v>150</v>
      </c>
      <c r="M1359">
        <v>17985000</v>
      </c>
      <c r="N1359" s="19">
        <v>20440909.09090909</v>
      </c>
      <c r="O1359" s="19">
        <v>18396818.18181818</v>
      </c>
      <c r="P1359" t="str">
        <f t="shared" si="32"/>
        <v>Ninja Motorized</v>
      </c>
      <c r="Q1359" t="str">
        <f t="shared" si="33"/>
        <v>Portable</v>
      </c>
    </row>
    <row r="1360" spans="1:17" x14ac:dyDescent="0.35">
      <c r="A1360" t="str">
        <f>_xlfn.XLOOKUP(B1360,Mapping!C:C,Mapping!D:D)</f>
        <v>Naver</v>
      </c>
      <c r="B1360" t="s">
        <v>146</v>
      </c>
      <c r="C1360" t="s">
        <v>366</v>
      </c>
      <c r="D1360" s="21">
        <v>46239</v>
      </c>
      <c r="E1360" s="21">
        <v>46239</v>
      </c>
      <c r="F1360">
        <v>1</v>
      </c>
      <c r="G1360" t="s">
        <v>75</v>
      </c>
      <c r="H1360">
        <v>249900</v>
      </c>
      <c r="I1360">
        <v>219900</v>
      </c>
      <c r="J1360">
        <v>199900</v>
      </c>
      <c r="K1360">
        <v>229900</v>
      </c>
      <c r="L1360">
        <v>150</v>
      </c>
      <c r="M1360">
        <v>34485000</v>
      </c>
      <c r="N1360" s="19">
        <v>34077272.727272727</v>
      </c>
      <c r="O1360" s="19">
        <v>30669545.454545453</v>
      </c>
      <c r="P1360" t="str">
        <f t="shared" si="32"/>
        <v>Ninja Heated</v>
      </c>
      <c r="Q1360" t="str">
        <f t="shared" si="33"/>
        <v>Crispi</v>
      </c>
    </row>
    <row r="1361" spans="1:17" x14ac:dyDescent="0.35">
      <c r="A1361" t="str">
        <f>_xlfn.XLOOKUP(B1361,Mapping!C:C,Mapping!D:D)</f>
        <v>Naver</v>
      </c>
      <c r="B1361" t="s">
        <v>146</v>
      </c>
      <c r="C1361" t="s">
        <v>366</v>
      </c>
      <c r="D1361" s="21">
        <v>46239</v>
      </c>
      <c r="E1361" s="21">
        <v>46239</v>
      </c>
      <c r="F1361">
        <v>1</v>
      </c>
      <c r="G1361" t="s">
        <v>38</v>
      </c>
      <c r="H1361">
        <v>429900</v>
      </c>
      <c r="I1361">
        <v>399900</v>
      </c>
      <c r="J1361">
        <v>349900</v>
      </c>
      <c r="K1361">
        <v>399000</v>
      </c>
      <c r="L1361">
        <v>20</v>
      </c>
      <c r="M1361">
        <v>7980000</v>
      </c>
      <c r="N1361" s="19">
        <v>7816363.6363636348</v>
      </c>
      <c r="O1361" s="19">
        <v>7034727.2727272715</v>
      </c>
      <c r="P1361" t="str">
        <f t="shared" si="32"/>
        <v>Ninja Heated</v>
      </c>
      <c r="Q1361" t="str">
        <f t="shared" si="33"/>
        <v>Grill</v>
      </c>
    </row>
    <row r="1362" spans="1:17" x14ac:dyDescent="0.35">
      <c r="A1362" t="str">
        <f>_xlfn.XLOOKUP(B1362,Mapping!C:C,Mapping!D:D)</f>
        <v>Naver</v>
      </c>
      <c r="B1362" t="s">
        <v>146</v>
      </c>
      <c r="C1362" t="s">
        <v>366</v>
      </c>
      <c r="D1362" s="21">
        <v>46239</v>
      </c>
      <c r="E1362" s="21">
        <v>46239</v>
      </c>
      <c r="F1362">
        <v>1</v>
      </c>
      <c r="G1362" t="s">
        <v>26</v>
      </c>
      <c r="H1362">
        <v>899000</v>
      </c>
      <c r="I1362">
        <v>749000</v>
      </c>
      <c r="J1362">
        <v>699000</v>
      </c>
      <c r="K1362">
        <v>799900</v>
      </c>
      <c r="L1362">
        <v>50</v>
      </c>
      <c r="M1362">
        <v>39995000</v>
      </c>
      <c r="N1362" s="19">
        <v>40863636.36363636</v>
      </c>
      <c r="O1362" s="19">
        <v>36777272.727272727</v>
      </c>
      <c r="P1362" t="str">
        <f t="shared" si="32"/>
        <v>Shark Floorcare</v>
      </c>
      <c r="Q1362" t="str">
        <f t="shared" si="33"/>
        <v>FW</v>
      </c>
    </row>
    <row r="1363" spans="1:17" x14ac:dyDescent="0.35">
      <c r="A1363" t="str">
        <f>_xlfn.XLOOKUP(B1363,Mapping!C:C,Mapping!D:D)</f>
        <v>Naver</v>
      </c>
      <c r="B1363" t="s">
        <v>146</v>
      </c>
      <c r="C1363" t="s">
        <v>366</v>
      </c>
      <c r="D1363" s="21">
        <v>46239</v>
      </c>
      <c r="E1363" s="21">
        <v>46239</v>
      </c>
      <c r="F1363">
        <v>1</v>
      </c>
      <c r="G1363" t="s">
        <v>42</v>
      </c>
      <c r="H1363">
        <v>399900</v>
      </c>
      <c r="I1363">
        <v>349900</v>
      </c>
      <c r="J1363">
        <v>299900</v>
      </c>
      <c r="K1363">
        <v>349900</v>
      </c>
      <c r="L1363">
        <v>80</v>
      </c>
      <c r="M1363">
        <v>27992000</v>
      </c>
      <c r="N1363" s="19">
        <v>29083636.363636363</v>
      </c>
      <c r="O1363" s="19">
        <v>26175272.727272727</v>
      </c>
      <c r="P1363" t="str">
        <f t="shared" si="32"/>
        <v>Shark Fan</v>
      </c>
      <c r="Q1363" t="str">
        <f t="shared" si="33"/>
        <v>Fan</v>
      </c>
    </row>
    <row r="1364" spans="1:17" x14ac:dyDescent="0.35">
      <c r="A1364" t="str">
        <f>_xlfn.XLOOKUP(B1364,Mapping!C:C,Mapping!D:D)</f>
        <v>Naver</v>
      </c>
      <c r="B1364" t="s">
        <v>146</v>
      </c>
      <c r="C1364" t="s">
        <v>366</v>
      </c>
      <c r="D1364" s="21">
        <v>46239</v>
      </c>
      <c r="E1364" s="21">
        <v>46239</v>
      </c>
      <c r="F1364">
        <v>1</v>
      </c>
      <c r="G1364" t="s">
        <v>85</v>
      </c>
      <c r="H1364">
        <v>349900</v>
      </c>
      <c r="I1364">
        <v>319900</v>
      </c>
      <c r="J1364">
        <v>299900</v>
      </c>
      <c r="K1364">
        <v>319900</v>
      </c>
      <c r="L1364">
        <v>40</v>
      </c>
      <c r="M1364">
        <v>12796000</v>
      </c>
      <c r="N1364" s="19">
        <v>12723636.363636363</v>
      </c>
      <c r="O1364" s="19">
        <v>11451272.727272727</v>
      </c>
      <c r="P1364" t="str">
        <f t="shared" si="32"/>
        <v>Ninja Motorized</v>
      </c>
      <c r="Q1364" t="str">
        <f t="shared" si="33"/>
        <v>Kitchen</v>
      </c>
    </row>
    <row r="1365" spans="1:17" x14ac:dyDescent="0.35">
      <c r="A1365" t="str">
        <f>_xlfn.XLOOKUP(B1365,Mapping!C:C,Mapping!D:D)</f>
        <v>Naver</v>
      </c>
      <c r="B1365" t="s">
        <v>146</v>
      </c>
      <c r="C1365" t="s">
        <v>366</v>
      </c>
      <c r="D1365" s="21">
        <v>46239</v>
      </c>
      <c r="E1365" s="21">
        <v>46239</v>
      </c>
      <c r="F1365">
        <v>1</v>
      </c>
      <c r="G1365" t="s">
        <v>104</v>
      </c>
      <c r="H1365">
        <v>799000</v>
      </c>
      <c r="I1365">
        <v>699000</v>
      </c>
      <c r="J1365">
        <v>599000</v>
      </c>
      <c r="K1365">
        <v>654000</v>
      </c>
      <c r="L1365">
        <v>15</v>
      </c>
      <c r="M1365">
        <v>9810000</v>
      </c>
      <c r="N1365" s="19">
        <v>10895454.545454545</v>
      </c>
      <c r="O1365" s="19">
        <v>9805909.0909090899</v>
      </c>
      <c r="P1365" t="str">
        <f t="shared" si="32"/>
        <v>Shark Floorcare</v>
      </c>
      <c r="Q1365" t="str">
        <f t="shared" si="33"/>
        <v>FW</v>
      </c>
    </row>
    <row r="1366" spans="1:17" x14ac:dyDescent="0.35">
      <c r="A1366" t="str">
        <f>_xlfn.XLOOKUP(B1366,Mapping!C:C,Mapping!D:D)</f>
        <v>Naver</v>
      </c>
      <c r="B1366" t="s">
        <v>146</v>
      </c>
      <c r="C1366" t="s">
        <v>366</v>
      </c>
      <c r="D1366" s="21">
        <v>46239</v>
      </c>
      <c r="E1366" s="21">
        <v>46239</v>
      </c>
      <c r="F1366">
        <v>1</v>
      </c>
      <c r="G1366" t="s">
        <v>106</v>
      </c>
      <c r="H1366">
        <v>399900</v>
      </c>
      <c r="I1366">
        <v>349900</v>
      </c>
      <c r="J1366">
        <v>299900</v>
      </c>
      <c r="K1366">
        <v>349900</v>
      </c>
      <c r="L1366">
        <v>20</v>
      </c>
      <c r="M1366">
        <v>6998000</v>
      </c>
      <c r="N1366" s="19">
        <v>7270909.0909090908</v>
      </c>
      <c r="O1366" s="19">
        <v>6543818.1818181816</v>
      </c>
      <c r="P1366" t="str">
        <f t="shared" si="32"/>
        <v>Ninja Heated</v>
      </c>
      <c r="Q1366" t="str">
        <f t="shared" si="33"/>
        <v>Combi</v>
      </c>
    </row>
    <row r="1367" spans="1:17" x14ac:dyDescent="0.35">
      <c r="A1367" t="str">
        <f>_xlfn.XLOOKUP(B1367,Mapping!C:C,Mapping!D:D)</f>
        <v>Naver</v>
      </c>
      <c r="B1367" t="s">
        <v>146</v>
      </c>
      <c r="C1367" t="s">
        <v>366</v>
      </c>
      <c r="D1367" s="21">
        <v>46239</v>
      </c>
      <c r="E1367" s="21">
        <v>46239</v>
      </c>
      <c r="F1367">
        <v>1</v>
      </c>
      <c r="G1367" t="s">
        <v>97</v>
      </c>
      <c r="H1367">
        <v>349900</v>
      </c>
      <c r="I1367">
        <v>299900</v>
      </c>
      <c r="J1367">
        <v>249900</v>
      </c>
      <c r="K1367">
        <v>299900</v>
      </c>
      <c r="L1367">
        <v>5</v>
      </c>
      <c r="M1367">
        <v>1499500</v>
      </c>
      <c r="N1367" s="19">
        <v>1590454.5454545454</v>
      </c>
      <c r="O1367" s="19">
        <v>1431409.0909090908</v>
      </c>
      <c r="P1367" t="str">
        <f t="shared" si="32"/>
        <v>Ninja Heated</v>
      </c>
      <c r="Q1367" t="str">
        <f t="shared" si="33"/>
        <v>Grill</v>
      </c>
    </row>
    <row r="1368" spans="1:17" x14ac:dyDescent="0.35">
      <c r="A1368" t="str">
        <f>_xlfn.XLOOKUP(B1368,Mapping!C:C,Mapping!D:D)</f>
        <v>Naver</v>
      </c>
      <c r="B1368" t="s">
        <v>146</v>
      </c>
      <c r="C1368" t="s">
        <v>366</v>
      </c>
      <c r="D1368" s="21">
        <v>46239</v>
      </c>
      <c r="E1368" s="21">
        <v>46239</v>
      </c>
      <c r="F1368">
        <v>1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90</v>
      </c>
      <c r="M1368">
        <v>4941000</v>
      </c>
      <c r="N1368" s="19">
        <v>6537272.7272727266</v>
      </c>
      <c r="O1368" s="19">
        <v>5883545.4545454541</v>
      </c>
      <c r="P1368" t="str">
        <f t="shared" si="32"/>
        <v>Ninja Motorized</v>
      </c>
      <c r="Q1368" t="str">
        <f t="shared" si="33"/>
        <v>Food process</v>
      </c>
    </row>
    <row r="1369" spans="1:17" x14ac:dyDescent="0.35">
      <c r="A1369" t="str">
        <f>_xlfn.XLOOKUP(B1369,Mapping!C:C,Mapping!D:D)</f>
        <v>Naver</v>
      </c>
      <c r="B1369" t="s">
        <v>146</v>
      </c>
      <c r="C1369" t="s">
        <v>366</v>
      </c>
      <c r="D1369" s="21">
        <v>46239</v>
      </c>
      <c r="E1369" s="21">
        <v>46239</v>
      </c>
      <c r="F1369">
        <v>1</v>
      </c>
      <c r="G1369" t="s">
        <v>39</v>
      </c>
      <c r="H1369">
        <v>249900</v>
      </c>
      <c r="I1369">
        <v>199900</v>
      </c>
      <c r="J1369">
        <v>189900</v>
      </c>
      <c r="K1369">
        <v>199900</v>
      </c>
      <c r="L1369">
        <v>30</v>
      </c>
      <c r="M1369">
        <v>5997000</v>
      </c>
      <c r="N1369" s="19">
        <v>6815454.5454545449</v>
      </c>
      <c r="O1369" s="19">
        <v>6133909.0909090899</v>
      </c>
      <c r="P1369" t="str">
        <f t="shared" si="32"/>
        <v>Ninja Motorized</v>
      </c>
      <c r="Q1369" t="str">
        <f t="shared" si="33"/>
        <v>Trad</v>
      </c>
    </row>
    <row r="1370" spans="1:17" x14ac:dyDescent="0.35">
      <c r="A1370" t="str">
        <f>_xlfn.XLOOKUP(B1370,Mapping!C:C,Mapping!D:D)</f>
        <v>Naver</v>
      </c>
      <c r="B1370" t="s">
        <v>146</v>
      </c>
      <c r="C1370" t="s">
        <v>366</v>
      </c>
      <c r="D1370" s="21">
        <v>46239</v>
      </c>
      <c r="E1370" s="21">
        <v>46239</v>
      </c>
      <c r="F1370">
        <v>1</v>
      </c>
      <c r="G1370" t="s">
        <v>32</v>
      </c>
      <c r="H1370">
        <v>349900</v>
      </c>
      <c r="I1370">
        <v>299900</v>
      </c>
      <c r="J1370">
        <v>269900</v>
      </c>
      <c r="K1370">
        <v>269900</v>
      </c>
      <c r="L1370">
        <v>80</v>
      </c>
      <c r="M1370">
        <v>21592000</v>
      </c>
      <c r="N1370" s="19">
        <v>25447272.727272727</v>
      </c>
      <c r="O1370" s="19">
        <v>22902545.454545453</v>
      </c>
      <c r="P1370" t="str">
        <f t="shared" si="32"/>
        <v>Ninja Motorized</v>
      </c>
      <c r="Q1370" t="str">
        <f t="shared" si="33"/>
        <v>Icecream</v>
      </c>
    </row>
    <row r="1371" spans="1:17" x14ac:dyDescent="0.35">
      <c r="A1371" t="str">
        <f>_xlfn.XLOOKUP(B1371,Mapping!C:C,Mapping!D:D)</f>
        <v>Naver</v>
      </c>
      <c r="B1371" t="s">
        <v>146</v>
      </c>
      <c r="C1371" t="s">
        <v>367</v>
      </c>
      <c r="D1371" s="21">
        <v>46244</v>
      </c>
      <c r="E1371" s="21">
        <v>46244</v>
      </c>
      <c r="F1371">
        <v>1</v>
      </c>
      <c r="G1371" t="s">
        <v>27</v>
      </c>
      <c r="H1371">
        <v>329900</v>
      </c>
      <c r="I1371">
        <v>299900</v>
      </c>
      <c r="J1371">
        <v>279900</v>
      </c>
      <c r="K1371">
        <v>279900</v>
      </c>
      <c r="L1371">
        <v>40</v>
      </c>
      <c r="M1371">
        <v>11196000</v>
      </c>
      <c r="N1371" s="19">
        <v>11996363.636363635</v>
      </c>
      <c r="O1371" s="19">
        <v>10796727.272727272</v>
      </c>
      <c r="P1371" t="str">
        <f t="shared" si="32"/>
        <v>Ninja Motorized</v>
      </c>
      <c r="Q1371" t="str">
        <f t="shared" si="33"/>
        <v>Trad</v>
      </c>
    </row>
    <row r="1372" spans="1:17" x14ac:dyDescent="0.35">
      <c r="A1372" t="str">
        <f>_xlfn.XLOOKUP(B1372,Mapping!C:C,Mapping!D:D)</f>
        <v>Naver</v>
      </c>
      <c r="B1372" t="s">
        <v>146</v>
      </c>
      <c r="C1372" t="s">
        <v>367</v>
      </c>
      <c r="D1372" s="21">
        <v>46244</v>
      </c>
      <c r="E1372" s="21">
        <v>46244</v>
      </c>
      <c r="F1372">
        <v>1</v>
      </c>
      <c r="G1372" t="s">
        <v>34</v>
      </c>
      <c r="H1372">
        <v>249900</v>
      </c>
      <c r="I1372">
        <v>229900</v>
      </c>
      <c r="J1372">
        <v>199900</v>
      </c>
      <c r="K1372">
        <v>209900</v>
      </c>
      <c r="L1372">
        <v>100</v>
      </c>
      <c r="M1372">
        <v>20990000</v>
      </c>
      <c r="N1372" s="19">
        <v>18172727.27272727</v>
      </c>
      <c r="O1372" s="19">
        <v>16355454.545454543</v>
      </c>
      <c r="P1372" t="str">
        <f t="shared" si="32"/>
        <v>Ninja Motorized</v>
      </c>
      <c r="Q1372" t="str">
        <f t="shared" si="33"/>
        <v>Portable</v>
      </c>
    </row>
    <row r="1373" spans="1:17" x14ac:dyDescent="0.35">
      <c r="A1373" t="str">
        <f>_xlfn.XLOOKUP(B1373,Mapping!C:C,Mapping!D:D)</f>
        <v>Naver</v>
      </c>
      <c r="B1373" t="s">
        <v>146</v>
      </c>
      <c r="C1373" t="s">
        <v>367</v>
      </c>
      <c r="D1373" s="21">
        <v>46244</v>
      </c>
      <c r="E1373" s="21">
        <v>46244</v>
      </c>
      <c r="F1373">
        <v>1</v>
      </c>
      <c r="G1373" t="s">
        <v>32</v>
      </c>
      <c r="H1373">
        <v>349900</v>
      </c>
      <c r="I1373">
        <v>299900</v>
      </c>
      <c r="J1373">
        <v>269900</v>
      </c>
      <c r="K1373">
        <v>269900</v>
      </c>
      <c r="L1373">
        <v>80</v>
      </c>
      <c r="M1373">
        <v>21592000</v>
      </c>
      <c r="N1373" s="19">
        <v>25447272.727272727</v>
      </c>
      <c r="O1373" s="19">
        <v>22902545.454545453</v>
      </c>
      <c r="P1373" t="str">
        <f t="shared" si="32"/>
        <v>Ninja Motorized</v>
      </c>
      <c r="Q1373" t="str">
        <f t="shared" si="33"/>
        <v>Icecream</v>
      </c>
    </row>
    <row r="1374" spans="1:17" x14ac:dyDescent="0.35">
      <c r="A1374" t="str">
        <f>_xlfn.XLOOKUP(B1374,Mapping!C:C,Mapping!D:D)</f>
        <v>Naver</v>
      </c>
      <c r="B1374" t="s">
        <v>146</v>
      </c>
      <c r="C1374" t="s">
        <v>367</v>
      </c>
      <c r="D1374" s="21">
        <v>46244</v>
      </c>
      <c r="E1374" s="21">
        <v>46244</v>
      </c>
      <c r="F1374">
        <v>1</v>
      </c>
      <c r="G1374" t="s">
        <v>86</v>
      </c>
      <c r="H1374">
        <v>149900</v>
      </c>
      <c r="I1374">
        <v>139900</v>
      </c>
      <c r="J1374">
        <v>109900</v>
      </c>
      <c r="K1374">
        <v>119900</v>
      </c>
      <c r="L1374">
        <v>120</v>
      </c>
      <c r="M1374">
        <v>14388000</v>
      </c>
      <c r="N1374" s="19">
        <v>16352727.272727272</v>
      </c>
      <c r="O1374" s="19">
        <v>14717454.545454545</v>
      </c>
      <c r="P1374" t="str">
        <f t="shared" si="32"/>
        <v>Ninja Motorized</v>
      </c>
      <c r="Q1374" t="str">
        <f t="shared" si="33"/>
        <v>Portable</v>
      </c>
    </row>
    <row r="1375" spans="1:17" x14ac:dyDescent="0.35">
      <c r="A1375" t="str">
        <f>_xlfn.XLOOKUP(B1375,Mapping!C:C,Mapping!D:D)</f>
        <v>Naver</v>
      </c>
      <c r="B1375" t="s">
        <v>146</v>
      </c>
      <c r="C1375" t="s">
        <v>367</v>
      </c>
      <c r="D1375" s="21">
        <v>46244</v>
      </c>
      <c r="E1375" s="21">
        <v>46244</v>
      </c>
      <c r="F1375">
        <v>1</v>
      </c>
      <c r="G1375" t="s">
        <v>38</v>
      </c>
      <c r="H1375">
        <v>429900</v>
      </c>
      <c r="I1375">
        <v>399900</v>
      </c>
      <c r="J1375">
        <v>349900</v>
      </c>
      <c r="K1375">
        <v>399900</v>
      </c>
      <c r="L1375">
        <v>10</v>
      </c>
      <c r="M1375">
        <v>3999000</v>
      </c>
      <c r="N1375" s="19">
        <v>3908181.8181818174</v>
      </c>
      <c r="O1375" s="19">
        <v>3517363.6363636358</v>
      </c>
      <c r="P1375" t="str">
        <f t="shared" si="32"/>
        <v>Ninja Heated</v>
      </c>
      <c r="Q1375" t="str">
        <f t="shared" si="33"/>
        <v>Grill</v>
      </c>
    </row>
    <row r="1376" spans="1:17" x14ac:dyDescent="0.35">
      <c r="A1376" t="str">
        <f>_xlfn.XLOOKUP(B1376,Mapping!C:C,Mapping!D:D)</f>
        <v>Naver</v>
      </c>
      <c r="B1376" t="s">
        <v>146</v>
      </c>
      <c r="C1376" t="s">
        <v>367</v>
      </c>
      <c r="D1376" s="21">
        <v>46244</v>
      </c>
      <c r="E1376" s="21">
        <v>46244</v>
      </c>
      <c r="F1376">
        <v>1</v>
      </c>
      <c r="G1376" t="s">
        <v>93</v>
      </c>
      <c r="H1376">
        <v>119900</v>
      </c>
      <c r="I1376">
        <v>99900</v>
      </c>
      <c r="J1376">
        <v>84900</v>
      </c>
      <c r="K1376">
        <v>84900</v>
      </c>
      <c r="L1376">
        <v>20</v>
      </c>
      <c r="M1376">
        <v>1698000</v>
      </c>
      <c r="N1376" s="19">
        <v>2179999.9999999995</v>
      </c>
      <c r="O1376" s="19">
        <v>1961999.9999999995</v>
      </c>
      <c r="P1376" t="str">
        <f t="shared" si="32"/>
        <v>Ninja Motorized</v>
      </c>
      <c r="Q1376" t="str">
        <f t="shared" si="33"/>
        <v>Portable</v>
      </c>
    </row>
    <row r="1377" spans="1:17" x14ac:dyDescent="0.35">
      <c r="A1377" t="str">
        <f>_xlfn.XLOOKUP(B1377,Mapping!C:C,Mapping!D:D)</f>
        <v>Naver</v>
      </c>
      <c r="B1377" t="s">
        <v>146</v>
      </c>
      <c r="C1377" t="s">
        <v>367</v>
      </c>
      <c r="D1377" s="21">
        <v>46244</v>
      </c>
      <c r="E1377" s="21">
        <v>46244</v>
      </c>
      <c r="F1377">
        <v>1</v>
      </c>
      <c r="G1377" t="s">
        <v>49</v>
      </c>
      <c r="H1377">
        <v>119900</v>
      </c>
      <c r="I1377">
        <v>109900</v>
      </c>
      <c r="J1377">
        <v>99900</v>
      </c>
      <c r="K1377">
        <v>99900</v>
      </c>
      <c r="L1377">
        <v>10</v>
      </c>
      <c r="M1377">
        <v>999000</v>
      </c>
      <c r="N1377" s="19">
        <v>1089999.9999999998</v>
      </c>
      <c r="O1377" s="19">
        <v>980999.99999999977</v>
      </c>
      <c r="P1377" t="str">
        <f t="shared" si="32"/>
        <v>Ninja Motorized</v>
      </c>
      <c r="Q1377" t="str">
        <f t="shared" si="33"/>
        <v>Hand</v>
      </c>
    </row>
    <row r="1378" spans="1:17" x14ac:dyDescent="0.35">
      <c r="A1378" t="str">
        <f>_xlfn.XLOOKUP(B1378,Mapping!C:C,Mapping!D:D)</f>
        <v>Naver</v>
      </c>
      <c r="B1378" t="s">
        <v>146</v>
      </c>
      <c r="C1378" t="s">
        <v>367</v>
      </c>
      <c r="D1378" s="21">
        <v>46244</v>
      </c>
      <c r="E1378" s="21">
        <v>46244</v>
      </c>
      <c r="F1378">
        <v>1</v>
      </c>
      <c r="G1378" t="s">
        <v>54</v>
      </c>
      <c r="H1378">
        <v>699000</v>
      </c>
      <c r="I1378">
        <v>599000</v>
      </c>
      <c r="J1378">
        <v>499000</v>
      </c>
      <c r="K1378">
        <v>499900</v>
      </c>
      <c r="L1378">
        <v>10</v>
      </c>
      <c r="M1378">
        <v>4999000</v>
      </c>
      <c r="N1378" s="19">
        <v>6354545.4545454541</v>
      </c>
      <c r="O1378" s="19">
        <v>5719090.9090909082</v>
      </c>
      <c r="P1378" t="str">
        <f t="shared" si="32"/>
        <v>Shark Floorcare</v>
      </c>
      <c r="Q1378" t="str">
        <f t="shared" si="33"/>
        <v>FW</v>
      </c>
    </row>
    <row r="1379" spans="1:17" x14ac:dyDescent="0.35">
      <c r="A1379" t="str">
        <f>_xlfn.XLOOKUP(B1379,Mapping!C:C,Mapping!D:D)</f>
        <v>Naver</v>
      </c>
      <c r="B1379" t="s">
        <v>146</v>
      </c>
      <c r="C1379" t="s">
        <v>367</v>
      </c>
      <c r="D1379" s="21">
        <v>46244</v>
      </c>
      <c r="E1379" s="21">
        <v>46244</v>
      </c>
      <c r="F1379">
        <v>1</v>
      </c>
      <c r="G1379" t="s">
        <v>26</v>
      </c>
      <c r="H1379">
        <v>899000</v>
      </c>
      <c r="I1379">
        <v>749000</v>
      </c>
      <c r="J1379">
        <v>699000</v>
      </c>
      <c r="K1379">
        <v>749000</v>
      </c>
      <c r="L1379">
        <v>50</v>
      </c>
      <c r="M1379">
        <v>37450000</v>
      </c>
      <c r="N1379" s="19">
        <v>40863636.36363636</v>
      </c>
      <c r="O1379" s="19">
        <v>36777272.727272727</v>
      </c>
      <c r="P1379" t="str">
        <f t="shared" si="32"/>
        <v>Shark Floorcare</v>
      </c>
      <c r="Q1379" t="str">
        <f t="shared" si="33"/>
        <v>FW</v>
      </c>
    </row>
    <row r="1380" spans="1:17" x14ac:dyDescent="0.35">
      <c r="A1380" t="str">
        <f>_xlfn.XLOOKUP(B1380,Mapping!C:C,Mapping!D:D)</f>
        <v>Naver</v>
      </c>
      <c r="B1380" t="s">
        <v>146</v>
      </c>
      <c r="C1380" t="s">
        <v>367</v>
      </c>
      <c r="D1380" s="21">
        <v>46244</v>
      </c>
      <c r="E1380" s="21">
        <v>46244</v>
      </c>
      <c r="F1380">
        <v>1</v>
      </c>
      <c r="G1380" t="s">
        <v>87</v>
      </c>
      <c r="H1380">
        <v>219900</v>
      </c>
      <c r="I1380">
        <v>199900</v>
      </c>
      <c r="J1380">
        <v>179900</v>
      </c>
      <c r="K1380">
        <v>119900</v>
      </c>
      <c r="L1380">
        <v>80</v>
      </c>
      <c r="M1380">
        <v>9592000</v>
      </c>
      <c r="N1380" s="19">
        <v>15992727.27272727</v>
      </c>
      <c r="O1380" s="19">
        <v>14393454.545454543</v>
      </c>
      <c r="P1380" t="str">
        <f t="shared" si="32"/>
        <v>Shark Fan</v>
      </c>
      <c r="Q1380" t="str">
        <f t="shared" si="33"/>
        <v>Fan</v>
      </c>
    </row>
    <row r="1381" spans="1:17" x14ac:dyDescent="0.35">
      <c r="A1381" t="str">
        <f>_xlfn.XLOOKUP(B1381,Mapping!C:C,Mapping!D:D)</f>
        <v>Naver</v>
      </c>
      <c r="B1381" t="s">
        <v>146</v>
      </c>
      <c r="C1381" t="s">
        <v>367</v>
      </c>
      <c r="D1381" s="21">
        <v>46244</v>
      </c>
      <c r="E1381" s="21">
        <v>46244</v>
      </c>
      <c r="F1381">
        <v>1</v>
      </c>
      <c r="G1381" t="s">
        <v>109</v>
      </c>
      <c r="H1381">
        <v>249900</v>
      </c>
      <c r="I1381">
        <v>219900</v>
      </c>
      <c r="J1381">
        <v>199900</v>
      </c>
      <c r="K1381">
        <v>179900</v>
      </c>
      <c r="L1381">
        <v>80</v>
      </c>
      <c r="M1381">
        <v>14392000</v>
      </c>
      <c r="N1381" s="19">
        <v>18174545.454545453</v>
      </c>
      <c r="O1381" s="19">
        <v>16357090.909090908</v>
      </c>
      <c r="P1381" t="str">
        <f t="shared" si="32"/>
        <v>Shark Fan</v>
      </c>
      <c r="Q1381" t="str">
        <f t="shared" si="33"/>
        <v>Fan</v>
      </c>
    </row>
    <row r="1382" spans="1:17" x14ac:dyDescent="0.35">
      <c r="A1382" t="str">
        <f>_xlfn.XLOOKUP(B1382,Mapping!C:C,Mapping!D:D)</f>
        <v>Naver</v>
      </c>
      <c r="B1382" t="s">
        <v>146</v>
      </c>
      <c r="C1382" t="s">
        <v>367</v>
      </c>
      <c r="D1382" s="21">
        <v>46244</v>
      </c>
      <c r="E1382" s="21">
        <v>46244</v>
      </c>
      <c r="F1382">
        <v>1</v>
      </c>
      <c r="G1382" t="s">
        <v>75</v>
      </c>
      <c r="H1382">
        <v>249900</v>
      </c>
      <c r="I1382">
        <v>219900</v>
      </c>
      <c r="J1382">
        <v>199900</v>
      </c>
      <c r="K1382">
        <v>229900</v>
      </c>
      <c r="L1382">
        <v>200</v>
      </c>
      <c r="M1382">
        <v>45980000</v>
      </c>
      <c r="N1382" s="19">
        <v>45436363.636363633</v>
      </c>
      <c r="O1382" s="19">
        <v>40892727.272727266</v>
      </c>
      <c r="P1382" t="str">
        <f t="shared" si="32"/>
        <v>Ninja Heated</v>
      </c>
      <c r="Q1382" t="str">
        <f t="shared" si="33"/>
        <v>Crispi</v>
      </c>
    </row>
    <row r="1383" spans="1:17" x14ac:dyDescent="0.35">
      <c r="A1383" t="str">
        <f>_xlfn.XLOOKUP(B1383,Mapping!C:C,Mapping!D:D)</f>
        <v>Naver</v>
      </c>
      <c r="B1383" t="s">
        <v>146</v>
      </c>
      <c r="C1383" t="s">
        <v>368</v>
      </c>
      <c r="D1383" s="21">
        <v>46253</v>
      </c>
      <c r="E1383" s="21">
        <v>46253</v>
      </c>
      <c r="F1383">
        <v>1</v>
      </c>
      <c r="G1383" t="s">
        <v>31</v>
      </c>
      <c r="H1383">
        <v>849000</v>
      </c>
      <c r="I1383">
        <v>699000</v>
      </c>
      <c r="J1383">
        <v>649000</v>
      </c>
      <c r="K1383">
        <v>849000</v>
      </c>
      <c r="L1383">
        <v>20</v>
      </c>
      <c r="M1383">
        <v>16980000</v>
      </c>
      <c r="N1383" s="19">
        <v>15436363.636363635</v>
      </c>
      <c r="O1383" s="19">
        <v>13892727.272727272</v>
      </c>
      <c r="P1383" t="str">
        <f t="shared" si="32"/>
        <v>Shark Floorcare</v>
      </c>
      <c r="Q1383" t="str">
        <f t="shared" si="33"/>
        <v>FW</v>
      </c>
    </row>
    <row r="1384" spans="1:17" x14ac:dyDescent="0.35">
      <c r="A1384" t="str">
        <f>_xlfn.XLOOKUP(B1384,Mapping!C:C,Mapping!D:D)</f>
        <v>Naver</v>
      </c>
      <c r="B1384" t="s">
        <v>146</v>
      </c>
      <c r="C1384" t="s">
        <v>368</v>
      </c>
      <c r="D1384" s="21">
        <v>46253</v>
      </c>
      <c r="E1384" s="21">
        <v>46253</v>
      </c>
      <c r="F1384">
        <v>1</v>
      </c>
      <c r="G1384" t="s">
        <v>104</v>
      </c>
      <c r="H1384">
        <v>799000</v>
      </c>
      <c r="I1384">
        <v>699000</v>
      </c>
      <c r="J1384">
        <v>599000</v>
      </c>
      <c r="K1384">
        <v>649000</v>
      </c>
      <c r="L1384">
        <v>10</v>
      </c>
      <c r="M1384">
        <v>6490000</v>
      </c>
      <c r="N1384" s="19">
        <v>7263636.3636363633</v>
      </c>
      <c r="O1384" s="19">
        <v>6537272.7272727266</v>
      </c>
      <c r="P1384" t="str">
        <f t="shared" si="32"/>
        <v>Shark Floorcare</v>
      </c>
      <c r="Q1384" t="str">
        <f t="shared" si="33"/>
        <v>FW</v>
      </c>
    </row>
    <row r="1385" spans="1:17" x14ac:dyDescent="0.35">
      <c r="A1385" t="str">
        <f>_xlfn.XLOOKUP(B1385,Mapping!C:C,Mapping!D:D)</f>
        <v>Naver</v>
      </c>
      <c r="B1385" t="s">
        <v>146</v>
      </c>
      <c r="C1385" t="s">
        <v>368</v>
      </c>
      <c r="D1385" s="21">
        <v>46253</v>
      </c>
      <c r="E1385" s="21">
        <v>46253</v>
      </c>
      <c r="F1385">
        <v>1</v>
      </c>
      <c r="G1385" t="s">
        <v>87</v>
      </c>
      <c r="H1385">
        <v>219900</v>
      </c>
      <c r="I1385">
        <v>199900</v>
      </c>
      <c r="J1385">
        <v>179900</v>
      </c>
      <c r="K1385">
        <v>119900</v>
      </c>
      <c r="L1385">
        <v>80</v>
      </c>
      <c r="M1385">
        <v>9592000</v>
      </c>
      <c r="N1385" s="19">
        <v>15992727.27272727</v>
      </c>
      <c r="O1385" s="19">
        <v>14393454.545454543</v>
      </c>
      <c r="P1385" t="str">
        <f t="shared" si="32"/>
        <v>Shark Fan</v>
      </c>
      <c r="Q1385" t="str">
        <f t="shared" si="33"/>
        <v>Fan</v>
      </c>
    </row>
    <row r="1386" spans="1:17" x14ac:dyDescent="0.35">
      <c r="A1386" t="str">
        <f>_xlfn.XLOOKUP(B1386,Mapping!C:C,Mapping!D:D)</f>
        <v>Naver</v>
      </c>
      <c r="B1386" t="s">
        <v>146</v>
      </c>
      <c r="C1386" t="s">
        <v>368</v>
      </c>
      <c r="D1386" s="21">
        <v>46253</v>
      </c>
      <c r="E1386" s="21">
        <v>46253</v>
      </c>
      <c r="F1386">
        <v>1</v>
      </c>
      <c r="G1386" t="s">
        <v>36</v>
      </c>
      <c r="H1386">
        <v>469900</v>
      </c>
      <c r="I1386">
        <v>399900</v>
      </c>
      <c r="J1386">
        <v>389900</v>
      </c>
      <c r="K1386">
        <v>399000</v>
      </c>
      <c r="L1386">
        <v>10</v>
      </c>
      <c r="M1386">
        <v>3990000</v>
      </c>
      <c r="N1386" s="19">
        <v>4271818.1818181816</v>
      </c>
      <c r="O1386" s="19">
        <v>3844636.3636363633</v>
      </c>
      <c r="P1386" t="str">
        <f t="shared" si="32"/>
        <v>Shark Floorcare</v>
      </c>
      <c r="Q1386" t="str">
        <f t="shared" si="33"/>
        <v>WD</v>
      </c>
    </row>
    <row r="1387" spans="1:17" x14ac:dyDescent="0.35">
      <c r="A1387" t="str">
        <f>_xlfn.XLOOKUP(B1387,Mapping!C:C,Mapping!D:D)</f>
        <v>Naver</v>
      </c>
      <c r="B1387" t="s">
        <v>146</v>
      </c>
      <c r="C1387" t="s">
        <v>368</v>
      </c>
      <c r="D1387" s="21">
        <v>46253</v>
      </c>
      <c r="E1387" s="21">
        <v>46253</v>
      </c>
      <c r="F1387">
        <v>1</v>
      </c>
      <c r="G1387" t="s">
        <v>42</v>
      </c>
      <c r="H1387">
        <v>399900</v>
      </c>
      <c r="I1387">
        <v>349900</v>
      </c>
      <c r="J1387">
        <v>299900</v>
      </c>
      <c r="K1387">
        <v>339900</v>
      </c>
      <c r="L1387">
        <v>80</v>
      </c>
      <c r="M1387">
        <v>27192000</v>
      </c>
      <c r="N1387" s="19">
        <v>29083636.363636363</v>
      </c>
      <c r="O1387" s="19">
        <v>26175272.727272727</v>
      </c>
      <c r="P1387" t="str">
        <f t="shared" si="32"/>
        <v>Shark Fan</v>
      </c>
      <c r="Q1387" t="str">
        <f t="shared" si="33"/>
        <v>Fan</v>
      </c>
    </row>
    <row r="1388" spans="1:17" x14ac:dyDescent="0.35">
      <c r="A1388" t="str">
        <f>_xlfn.XLOOKUP(B1388,Mapping!C:C,Mapping!D:D)</f>
        <v>Naver</v>
      </c>
      <c r="B1388" t="s">
        <v>146</v>
      </c>
      <c r="C1388" t="s">
        <v>368</v>
      </c>
      <c r="D1388" s="21">
        <v>46253</v>
      </c>
      <c r="E1388" s="21">
        <v>46253</v>
      </c>
      <c r="F1388">
        <v>1</v>
      </c>
      <c r="G1388" t="s">
        <v>109</v>
      </c>
      <c r="H1388">
        <v>249900</v>
      </c>
      <c r="I1388">
        <v>219900</v>
      </c>
      <c r="J1388">
        <v>199900</v>
      </c>
      <c r="K1388">
        <v>179900</v>
      </c>
      <c r="L1388">
        <v>80</v>
      </c>
      <c r="M1388">
        <v>14392000</v>
      </c>
      <c r="N1388" s="19">
        <v>18174545.454545453</v>
      </c>
      <c r="O1388" s="19">
        <v>16357090.909090908</v>
      </c>
      <c r="P1388" t="str">
        <f t="shared" si="32"/>
        <v>Shark Fan</v>
      </c>
      <c r="Q1388" t="str">
        <f t="shared" si="33"/>
        <v>Fan</v>
      </c>
    </row>
    <row r="1389" spans="1:17" x14ac:dyDescent="0.35">
      <c r="A1389" t="str">
        <f>_xlfn.XLOOKUP(B1389,Mapping!C:C,Mapping!D:D)</f>
        <v>Naver</v>
      </c>
      <c r="B1389" t="s">
        <v>146</v>
      </c>
      <c r="C1389" t="s">
        <v>368</v>
      </c>
      <c r="D1389" s="21">
        <v>46253</v>
      </c>
      <c r="E1389" s="21">
        <v>46253</v>
      </c>
      <c r="F1389">
        <v>1</v>
      </c>
      <c r="G1389" t="s">
        <v>54</v>
      </c>
      <c r="H1389">
        <v>699000</v>
      </c>
      <c r="I1389">
        <v>599000</v>
      </c>
      <c r="J1389">
        <v>499000</v>
      </c>
      <c r="K1389">
        <v>499000</v>
      </c>
      <c r="L1389">
        <v>10</v>
      </c>
      <c r="M1389">
        <v>4990000</v>
      </c>
      <c r="N1389" s="19">
        <v>6354545.4545454541</v>
      </c>
      <c r="O1389" s="19">
        <v>5719090.9090909082</v>
      </c>
      <c r="P1389" t="str">
        <f t="shared" si="32"/>
        <v>Shark Floorcare</v>
      </c>
      <c r="Q1389" t="str">
        <f t="shared" si="33"/>
        <v>FW</v>
      </c>
    </row>
    <row r="1390" spans="1:17" x14ac:dyDescent="0.35">
      <c r="A1390" t="str">
        <f>_xlfn.XLOOKUP(B1390,Mapping!C:C,Mapping!D:D)</f>
        <v>Naver</v>
      </c>
      <c r="B1390" t="s">
        <v>146</v>
      </c>
      <c r="C1390" t="s">
        <v>368</v>
      </c>
      <c r="D1390" s="21">
        <v>46253</v>
      </c>
      <c r="E1390" s="21">
        <v>46253</v>
      </c>
      <c r="F1390">
        <v>1</v>
      </c>
      <c r="G1390" t="s">
        <v>64</v>
      </c>
      <c r="H1390">
        <v>549000</v>
      </c>
      <c r="I1390">
        <v>499000</v>
      </c>
      <c r="J1390">
        <v>0</v>
      </c>
      <c r="K1390">
        <v>499000</v>
      </c>
      <c r="L1390">
        <v>10</v>
      </c>
      <c r="M1390">
        <v>4990000</v>
      </c>
      <c r="N1390" s="19">
        <v>5445454.5454545449</v>
      </c>
      <c r="O1390" s="19">
        <v>4900909.0909090908</v>
      </c>
      <c r="P1390" t="str">
        <f t="shared" si="32"/>
        <v>Shark Floorcare</v>
      </c>
      <c r="Q1390" t="str">
        <f t="shared" si="33"/>
        <v>FW</v>
      </c>
    </row>
    <row r="1391" spans="1:17" x14ac:dyDescent="0.35">
      <c r="A1391" t="str">
        <f>_xlfn.XLOOKUP(B1391,Mapping!C:C,Mapping!D:D)</f>
        <v>Naver</v>
      </c>
      <c r="B1391" t="s">
        <v>146</v>
      </c>
      <c r="C1391" t="s">
        <v>368</v>
      </c>
      <c r="D1391" s="21">
        <v>46253</v>
      </c>
      <c r="E1391" s="21">
        <v>46253</v>
      </c>
      <c r="F1391">
        <v>1</v>
      </c>
      <c r="G1391" t="s">
        <v>25</v>
      </c>
      <c r="H1391">
        <v>859000</v>
      </c>
      <c r="I1391">
        <v>749000</v>
      </c>
      <c r="J1391">
        <v>649000</v>
      </c>
      <c r="K1391">
        <v>749000</v>
      </c>
      <c r="L1391">
        <v>3</v>
      </c>
      <c r="M1391">
        <v>2247000</v>
      </c>
      <c r="N1391" s="19">
        <v>2451818.1818181816</v>
      </c>
      <c r="O1391" s="19">
        <v>2206636.3636363633</v>
      </c>
      <c r="P1391" t="str">
        <f t="shared" si="32"/>
        <v>Shark Floorcare</v>
      </c>
      <c r="Q1391" t="str">
        <f t="shared" si="33"/>
        <v>FW</v>
      </c>
    </row>
    <row r="1392" spans="1:17" x14ac:dyDescent="0.35">
      <c r="A1392" t="str">
        <f>_xlfn.XLOOKUP(B1392,Mapping!C:C,Mapping!D:D)</f>
        <v>Naver</v>
      </c>
      <c r="B1392" t="s">
        <v>146</v>
      </c>
      <c r="C1392" t="s">
        <v>368</v>
      </c>
      <c r="D1392" s="21">
        <v>46253</v>
      </c>
      <c r="E1392" s="21">
        <v>46253</v>
      </c>
      <c r="F1392">
        <v>1</v>
      </c>
      <c r="G1392" t="s">
        <v>28</v>
      </c>
      <c r="H1392">
        <v>299900</v>
      </c>
      <c r="I1392">
        <v>219900</v>
      </c>
      <c r="J1392">
        <v>219900</v>
      </c>
      <c r="K1392">
        <v>219900</v>
      </c>
      <c r="L1392">
        <v>25</v>
      </c>
      <c r="M1392">
        <v>5497500</v>
      </c>
      <c r="N1392" s="19">
        <v>6815909.0909090899</v>
      </c>
      <c r="O1392" s="19">
        <v>6134318.1818181807</v>
      </c>
      <c r="P1392" t="str">
        <f t="shared" si="32"/>
        <v>Shark Floorcare</v>
      </c>
      <c r="Q1392" t="str">
        <f t="shared" si="33"/>
        <v>WD</v>
      </c>
    </row>
    <row r="1393" spans="1:17" x14ac:dyDescent="0.35">
      <c r="A1393" t="str">
        <f>_xlfn.XLOOKUP(B1393,Mapping!C:C,Mapping!D:D)</f>
        <v>Naver</v>
      </c>
      <c r="B1393" t="s">
        <v>146</v>
      </c>
      <c r="C1393" t="s">
        <v>368</v>
      </c>
      <c r="D1393" s="21">
        <v>46253</v>
      </c>
      <c r="E1393" s="21">
        <v>46253</v>
      </c>
      <c r="F1393">
        <v>1</v>
      </c>
      <c r="G1393" t="s">
        <v>108</v>
      </c>
      <c r="H1393">
        <v>199900</v>
      </c>
      <c r="I1393">
        <v>179900</v>
      </c>
      <c r="J1393">
        <v>169900</v>
      </c>
      <c r="K1393">
        <v>179900</v>
      </c>
      <c r="L1393">
        <v>30</v>
      </c>
      <c r="M1393">
        <v>5397000</v>
      </c>
      <c r="N1393" s="19">
        <v>5451818.1818181816</v>
      </c>
      <c r="O1393" s="19">
        <v>4906636.3636363633</v>
      </c>
      <c r="P1393" t="str">
        <f t="shared" si="32"/>
        <v>Shark Floorcare</v>
      </c>
      <c r="Q1393" t="str">
        <f t="shared" si="33"/>
        <v>WV</v>
      </c>
    </row>
    <row r="1394" spans="1:17" x14ac:dyDescent="0.35">
      <c r="A1394" t="str">
        <f>_xlfn.XLOOKUP(B1394,Mapping!C:C,Mapping!D:D)</f>
        <v>Naver</v>
      </c>
      <c r="B1394" t="s">
        <v>146</v>
      </c>
      <c r="C1394" t="s">
        <v>368</v>
      </c>
      <c r="D1394" s="21">
        <v>46253</v>
      </c>
      <c r="E1394" s="21">
        <v>46253</v>
      </c>
      <c r="F1394">
        <v>1</v>
      </c>
      <c r="G1394" t="s">
        <v>96</v>
      </c>
      <c r="H1394">
        <v>139900</v>
      </c>
      <c r="I1394">
        <v>119900</v>
      </c>
      <c r="J1394">
        <v>99900</v>
      </c>
      <c r="K1394">
        <v>119900</v>
      </c>
      <c r="L1394">
        <v>20</v>
      </c>
      <c r="M1394">
        <v>2398000</v>
      </c>
      <c r="N1394" s="19">
        <v>2543636.3636363633</v>
      </c>
      <c r="O1394" s="19">
        <v>2289272.7272727271</v>
      </c>
      <c r="P1394" t="str">
        <f t="shared" si="32"/>
        <v>Shark Floorcare</v>
      </c>
      <c r="Q1394" t="str">
        <f t="shared" si="33"/>
        <v>WV</v>
      </c>
    </row>
    <row r="1395" spans="1:17" x14ac:dyDescent="0.35">
      <c r="A1395" t="str">
        <f>_xlfn.XLOOKUP(B1395,Mapping!C:C,Mapping!D:D)</f>
        <v>Naver</v>
      </c>
      <c r="B1395" t="s">
        <v>146</v>
      </c>
      <c r="C1395" t="s">
        <v>368</v>
      </c>
      <c r="D1395" s="21">
        <v>46253</v>
      </c>
      <c r="E1395" s="21">
        <v>46253</v>
      </c>
      <c r="F1395">
        <v>1</v>
      </c>
      <c r="G1395" t="s">
        <v>86</v>
      </c>
      <c r="H1395">
        <v>149900</v>
      </c>
      <c r="I1395">
        <v>139900</v>
      </c>
      <c r="J1395">
        <v>109900</v>
      </c>
      <c r="K1395">
        <v>119900</v>
      </c>
      <c r="L1395">
        <v>120</v>
      </c>
      <c r="M1395">
        <v>14388000</v>
      </c>
      <c r="N1395" s="19">
        <v>16352727.272727272</v>
      </c>
      <c r="O1395" s="19">
        <v>14717454.545454545</v>
      </c>
      <c r="P1395" t="str">
        <f t="shared" si="32"/>
        <v>Ninja Motorized</v>
      </c>
      <c r="Q1395" t="str">
        <f t="shared" si="33"/>
        <v>Portable</v>
      </c>
    </row>
    <row r="1396" spans="1:17" x14ac:dyDescent="0.35">
      <c r="A1396" t="str">
        <f>_xlfn.XLOOKUP(B1396,Mapping!C:C,Mapping!D:D)</f>
        <v>Naver</v>
      </c>
      <c r="B1396" t="s">
        <v>146</v>
      </c>
      <c r="C1396" t="s">
        <v>368</v>
      </c>
      <c r="D1396" s="21">
        <v>46253</v>
      </c>
      <c r="E1396" s="21">
        <v>46253</v>
      </c>
      <c r="F1396">
        <v>1</v>
      </c>
      <c r="G1396" t="s">
        <v>32</v>
      </c>
      <c r="H1396">
        <v>349900</v>
      </c>
      <c r="I1396">
        <v>299900</v>
      </c>
      <c r="J1396">
        <v>269900</v>
      </c>
      <c r="K1396">
        <v>269900</v>
      </c>
      <c r="L1396">
        <v>80</v>
      </c>
      <c r="M1396">
        <v>21592000</v>
      </c>
      <c r="N1396" s="19">
        <v>25447272.727272727</v>
      </c>
      <c r="O1396" s="19">
        <v>22902545.454545453</v>
      </c>
      <c r="P1396" t="str">
        <f t="shared" si="32"/>
        <v>Ninja Motorized</v>
      </c>
      <c r="Q1396" t="str">
        <f t="shared" si="33"/>
        <v>Icecream</v>
      </c>
    </row>
    <row r="1397" spans="1:17" x14ac:dyDescent="0.35">
      <c r="A1397" t="str">
        <f>_xlfn.XLOOKUP(B1397,Mapping!C:C,Mapping!D:D)</f>
        <v>Naver</v>
      </c>
      <c r="B1397" t="s">
        <v>146</v>
      </c>
      <c r="C1397" t="s">
        <v>368</v>
      </c>
      <c r="D1397" s="21">
        <v>46253</v>
      </c>
      <c r="E1397" s="21">
        <v>46253</v>
      </c>
      <c r="F1397">
        <v>1</v>
      </c>
      <c r="G1397" t="s">
        <v>37</v>
      </c>
      <c r="H1397">
        <v>229900</v>
      </c>
      <c r="I1397">
        <v>199900</v>
      </c>
      <c r="J1397">
        <v>179900</v>
      </c>
      <c r="K1397">
        <v>199900</v>
      </c>
      <c r="L1397">
        <v>4</v>
      </c>
      <c r="M1397">
        <v>799600</v>
      </c>
      <c r="N1397" s="19">
        <v>835999.99999999988</v>
      </c>
      <c r="O1397" s="19">
        <v>752399.99999999988</v>
      </c>
      <c r="P1397" t="str">
        <f t="shared" si="32"/>
        <v>Ninja Heated</v>
      </c>
      <c r="Q1397" t="str">
        <f t="shared" si="33"/>
        <v>Airfry</v>
      </c>
    </row>
    <row r="1398" spans="1:17" x14ac:dyDescent="0.35">
      <c r="A1398" t="str">
        <f>_xlfn.XLOOKUP(B1398,Mapping!C:C,Mapping!D:D)</f>
        <v>Naver</v>
      </c>
      <c r="B1398" t="s">
        <v>146</v>
      </c>
      <c r="C1398" t="s">
        <v>368</v>
      </c>
      <c r="D1398" s="21">
        <v>46253</v>
      </c>
      <c r="E1398" s="21">
        <v>46253</v>
      </c>
      <c r="F1398">
        <v>1</v>
      </c>
      <c r="G1398" t="s">
        <v>97</v>
      </c>
      <c r="H1398">
        <v>349900</v>
      </c>
      <c r="I1398">
        <v>299900</v>
      </c>
      <c r="J1398">
        <v>249900</v>
      </c>
      <c r="K1398">
        <v>299900</v>
      </c>
      <c r="L1398">
        <v>5</v>
      </c>
      <c r="M1398">
        <v>1499500</v>
      </c>
      <c r="N1398" s="19">
        <v>1590454.5454545454</v>
      </c>
      <c r="O1398" s="19">
        <v>1431409.0909090908</v>
      </c>
      <c r="P1398" t="str">
        <f t="shared" si="32"/>
        <v>Ninja Heated</v>
      </c>
      <c r="Q1398" t="str">
        <f t="shared" si="33"/>
        <v>Grill</v>
      </c>
    </row>
    <row r="1399" spans="1:17" x14ac:dyDescent="0.35">
      <c r="A1399" t="str">
        <f>_xlfn.XLOOKUP(B1399,Mapping!C:C,Mapping!D:D)</f>
        <v>Naver</v>
      </c>
      <c r="B1399" t="s">
        <v>146</v>
      </c>
      <c r="C1399" t="s">
        <v>368</v>
      </c>
      <c r="D1399" s="21">
        <v>46253</v>
      </c>
      <c r="E1399" s="21">
        <v>46253</v>
      </c>
      <c r="F1399">
        <v>1</v>
      </c>
      <c r="G1399" t="s">
        <v>38</v>
      </c>
      <c r="H1399">
        <v>429900</v>
      </c>
      <c r="I1399">
        <v>399900</v>
      </c>
      <c r="J1399">
        <v>349900</v>
      </c>
      <c r="K1399">
        <v>399900</v>
      </c>
      <c r="L1399">
        <v>10</v>
      </c>
      <c r="M1399">
        <v>3999000</v>
      </c>
      <c r="N1399" s="19">
        <v>3908181.8181818174</v>
      </c>
      <c r="O1399" s="19">
        <v>3517363.6363636358</v>
      </c>
      <c r="P1399" t="str">
        <f t="shared" si="32"/>
        <v>Ninja Heated</v>
      </c>
      <c r="Q1399" t="str">
        <f t="shared" si="33"/>
        <v>Grill</v>
      </c>
    </row>
    <row r="1400" spans="1:17" x14ac:dyDescent="0.35">
      <c r="A1400" t="str">
        <f>_xlfn.XLOOKUP(B1400,Mapping!C:C,Mapping!D:D)</f>
        <v>Naver</v>
      </c>
      <c r="B1400" t="s">
        <v>146</v>
      </c>
      <c r="C1400" t="s">
        <v>369</v>
      </c>
      <c r="D1400" s="21">
        <v>46258</v>
      </c>
      <c r="E1400" s="21">
        <v>46258</v>
      </c>
      <c r="F1400">
        <v>1</v>
      </c>
      <c r="G1400" t="s">
        <v>85</v>
      </c>
      <c r="H1400">
        <v>349900</v>
      </c>
      <c r="I1400">
        <v>319900</v>
      </c>
      <c r="J1400">
        <v>299900</v>
      </c>
      <c r="K1400">
        <v>319900</v>
      </c>
      <c r="L1400">
        <v>40</v>
      </c>
      <c r="M1400">
        <v>12796000</v>
      </c>
      <c r="N1400" s="19">
        <v>12723636.363636363</v>
      </c>
      <c r="O1400" s="19">
        <v>11451272.727272727</v>
      </c>
      <c r="P1400" t="str">
        <f t="shared" si="32"/>
        <v>Ninja Motorized</v>
      </c>
      <c r="Q1400" t="str">
        <f t="shared" si="33"/>
        <v>Kitchen</v>
      </c>
    </row>
    <row r="1401" spans="1:17" x14ac:dyDescent="0.35">
      <c r="A1401" t="str">
        <f>_xlfn.XLOOKUP(B1401,Mapping!C:C,Mapping!D:D)</f>
        <v>Naver</v>
      </c>
      <c r="B1401" t="s">
        <v>146</v>
      </c>
      <c r="C1401" t="s">
        <v>369</v>
      </c>
      <c r="D1401" s="21">
        <v>46258</v>
      </c>
      <c r="E1401" s="21">
        <v>46258</v>
      </c>
      <c r="F1401">
        <v>1</v>
      </c>
      <c r="G1401" t="s">
        <v>106</v>
      </c>
      <c r="H1401">
        <v>399900</v>
      </c>
      <c r="I1401">
        <v>349900</v>
      </c>
      <c r="J1401">
        <v>299900</v>
      </c>
      <c r="K1401">
        <v>349900</v>
      </c>
      <c r="L1401">
        <v>20</v>
      </c>
      <c r="M1401">
        <v>6998000</v>
      </c>
      <c r="N1401" s="19">
        <v>7270909.0909090908</v>
      </c>
      <c r="O1401" s="19">
        <v>6543818.1818181816</v>
      </c>
      <c r="P1401" t="str">
        <f t="shared" si="32"/>
        <v>Ninja Heated</v>
      </c>
      <c r="Q1401" t="str">
        <f t="shared" si="33"/>
        <v>Combi</v>
      </c>
    </row>
    <row r="1402" spans="1:17" x14ac:dyDescent="0.35">
      <c r="A1402" t="str">
        <f>_xlfn.XLOOKUP(B1402,Mapping!C:C,Mapping!D:D)</f>
        <v>Naver</v>
      </c>
      <c r="B1402" t="s">
        <v>146</v>
      </c>
      <c r="C1402" t="s">
        <v>369</v>
      </c>
      <c r="D1402" s="21">
        <v>46258</v>
      </c>
      <c r="E1402" s="21">
        <v>46258</v>
      </c>
      <c r="F1402">
        <v>1</v>
      </c>
      <c r="G1402" t="s">
        <v>86</v>
      </c>
      <c r="H1402">
        <v>149900</v>
      </c>
      <c r="I1402">
        <v>139900</v>
      </c>
      <c r="J1402">
        <v>109900</v>
      </c>
      <c r="K1402">
        <v>119900</v>
      </c>
      <c r="L1402">
        <v>160</v>
      </c>
      <c r="M1402">
        <v>19184000</v>
      </c>
      <c r="N1402" s="19">
        <v>21803636.363636363</v>
      </c>
      <c r="O1402" s="19">
        <v>19623272.727272727</v>
      </c>
      <c r="P1402" t="str">
        <f t="shared" si="32"/>
        <v>Ninja Motorized</v>
      </c>
      <c r="Q1402" t="str">
        <f t="shared" si="33"/>
        <v>Portable</v>
      </c>
    </row>
    <row r="1403" spans="1:17" x14ac:dyDescent="0.35">
      <c r="A1403" t="str">
        <f>_xlfn.XLOOKUP(B1403,Mapping!C:C,Mapping!D:D)</f>
        <v>Naver</v>
      </c>
      <c r="B1403" t="s">
        <v>146</v>
      </c>
      <c r="C1403" t="s">
        <v>369</v>
      </c>
      <c r="D1403" s="21">
        <v>46258</v>
      </c>
      <c r="E1403" s="21">
        <v>46258</v>
      </c>
      <c r="F1403">
        <v>1</v>
      </c>
      <c r="G1403" t="s">
        <v>29</v>
      </c>
      <c r="H1403">
        <v>349900</v>
      </c>
      <c r="I1403">
        <v>299900</v>
      </c>
      <c r="J1403">
        <v>279900</v>
      </c>
      <c r="K1403">
        <v>299900</v>
      </c>
      <c r="L1403">
        <v>10</v>
      </c>
      <c r="M1403">
        <v>2999000</v>
      </c>
      <c r="N1403" s="19">
        <v>3180909.0909090908</v>
      </c>
      <c r="O1403" s="19">
        <v>2862818.1818181816</v>
      </c>
      <c r="P1403" t="str">
        <f t="shared" si="32"/>
        <v>Ninja Heated</v>
      </c>
      <c r="Q1403" t="str">
        <f t="shared" si="33"/>
        <v>Airfry</v>
      </c>
    </row>
    <row r="1404" spans="1:17" x14ac:dyDescent="0.35">
      <c r="A1404" t="str">
        <f>_xlfn.XLOOKUP(B1404,Mapping!C:C,Mapping!D:D)</f>
        <v>Naver</v>
      </c>
      <c r="B1404" t="s">
        <v>146</v>
      </c>
      <c r="C1404" t="s">
        <v>369</v>
      </c>
      <c r="D1404" s="21">
        <v>46258</v>
      </c>
      <c r="E1404" s="21">
        <v>46258</v>
      </c>
      <c r="F1404">
        <v>1</v>
      </c>
      <c r="G1404" t="s">
        <v>97</v>
      </c>
      <c r="H1404">
        <v>349900</v>
      </c>
      <c r="I1404">
        <v>299900</v>
      </c>
      <c r="J1404">
        <v>249900</v>
      </c>
      <c r="K1404">
        <v>299900</v>
      </c>
      <c r="L1404">
        <v>5</v>
      </c>
      <c r="M1404">
        <v>1499500</v>
      </c>
      <c r="N1404" s="19">
        <v>1590454.5454545454</v>
      </c>
      <c r="O1404" s="19">
        <v>1431409.0909090908</v>
      </c>
      <c r="P1404" t="str">
        <f t="shared" si="32"/>
        <v>Ninja Heated</v>
      </c>
      <c r="Q1404" t="str">
        <f t="shared" si="33"/>
        <v>Grill</v>
      </c>
    </row>
    <row r="1405" spans="1:17" x14ac:dyDescent="0.35">
      <c r="A1405" t="str">
        <f>_xlfn.XLOOKUP(B1405,Mapping!C:C,Mapping!D:D)</f>
        <v>Naver</v>
      </c>
      <c r="B1405" t="s">
        <v>146</v>
      </c>
      <c r="C1405" t="s">
        <v>369</v>
      </c>
      <c r="D1405" s="21">
        <v>46258</v>
      </c>
      <c r="E1405" s="21">
        <v>46258</v>
      </c>
      <c r="F1405">
        <v>1</v>
      </c>
      <c r="G1405" t="s">
        <v>105</v>
      </c>
      <c r="H1405">
        <v>299900</v>
      </c>
      <c r="I1405">
        <v>269900</v>
      </c>
      <c r="J1405">
        <v>249900</v>
      </c>
      <c r="K1405">
        <v>269900</v>
      </c>
      <c r="L1405">
        <v>15</v>
      </c>
      <c r="M1405">
        <v>4048500</v>
      </c>
      <c r="N1405" s="19">
        <v>4089545.4545454537</v>
      </c>
      <c r="O1405" s="19">
        <v>3680590.9090909082</v>
      </c>
      <c r="P1405" t="str">
        <f t="shared" ref="P1405:P1467" si="34">_xlfn.XLOOKUP(G1405,$G$2:$G$529,$P$2:$P$529,"Not Found")</f>
        <v>Ninja Motorized</v>
      </c>
      <c r="Q1405" t="str">
        <f t="shared" ref="Q1405:Q1467" si="35">_xlfn.XLOOKUP(G1405,$G$2:$G$529,$Q$2:$Q$529,"Not Found")</f>
        <v>Kitchen</v>
      </c>
    </row>
    <row r="1406" spans="1:17" x14ac:dyDescent="0.35">
      <c r="A1406" t="str">
        <f>_xlfn.XLOOKUP(B1406,Mapping!C:C,Mapping!D:D)</f>
        <v>Naver</v>
      </c>
      <c r="B1406" t="s">
        <v>146</v>
      </c>
      <c r="C1406" t="s">
        <v>369</v>
      </c>
      <c r="D1406" s="21">
        <v>46258</v>
      </c>
      <c r="E1406" s="21">
        <v>46258</v>
      </c>
      <c r="F1406">
        <v>1</v>
      </c>
      <c r="G1406" t="s">
        <v>34</v>
      </c>
      <c r="H1406">
        <v>249900</v>
      </c>
      <c r="I1406">
        <v>229900</v>
      </c>
      <c r="J1406">
        <v>199900</v>
      </c>
      <c r="K1406">
        <v>209900</v>
      </c>
      <c r="L1406">
        <v>100</v>
      </c>
      <c r="M1406">
        <v>20990000</v>
      </c>
      <c r="N1406" s="19">
        <v>18172727.27272727</v>
      </c>
      <c r="O1406" s="19">
        <v>16355454.545454543</v>
      </c>
      <c r="P1406" t="str">
        <f t="shared" si="34"/>
        <v>Ninja Motorized</v>
      </c>
      <c r="Q1406" t="str">
        <f t="shared" si="35"/>
        <v>Portable</v>
      </c>
    </row>
    <row r="1407" spans="1:17" x14ac:dyDescent="0.35">
      <c r="A1407" t="str">
        <f>_xlfn.XLOOKUP(B1407,Mapping!C:C,Mapping!D:D)</f>
        <v>Naver</v>
      </c>
      <c r="B1407" t="s">
        <v>146</v>
      </c>
      <c r="C1407" t="s">
        <v>369</v>
      </c>
      <c r="D1407" s="21">
        <v>46258</v>
      </c>
      <c r="E1407" s="21">
        <v>46258</v>
      </c>
      <c r="F1407">
        <v>1</v>
      </c>
      <c r="G1407" t="s">
        <v>93</v>
      </c>
      <c r="H1407">
        <v>119900</v>
      </c>
      <c r="I1407">
        <v>99900</v>
      </c>
      <c r="J1407">
        <v>84900</v>
      </c>
      <c r="K1407">
        <v>99900</v>
      </c>
      <c r="L1407">
        <v>20</v>
      </c>
      <c r="M1407">
        <v>1998000</v>
      </c>
      <c r="N1407" s="19">
        <v>2179999.9999999995</v>
      </c>
      <c r="O1407" s="19">
        <v>1961999.9999999995</v>
      </c>
      <c r="P1407" t="str">
        <f t="shared" si="34"/>
        <v>Ninja Motorized</v>
      </c>
      <c r="Q1407" t="str">
        <f t="shared" si="35"/>
        <v>Portable</v>
      </c>
    </row>
    <row r="1408" spans="1:17" x14ac:dyDescent="0.35">
      <c r="A1408" t="str">
        <f>_xlfn.XLOOKUP(B1408,Mapping!C:C,Mapping!D:D)</f>
        <v>Naver</v>
      </c>
      <c r="B1408" t="s">
        <v>146</v>
      </c>
      <c r="C1408" t="s">
        <v>369</v>
      </c>
      <c r="D1408" s="21">
        <v>46258</v>
      </c>
      <c r="E1408" s="21">
        <v>46258</v>
      </c>
      <c r="F1408">
        <v>1</v>
      </c>
      <c r="G1408" t="s">
        <v>31</v>
      </c>
      <c r="H1408">
        <v>849000</v>
      </c>
      <c r="I1408">
        <v>699000</v>
      </c>
      <c r="J1408">
        <v>649000</v>
      </c>
      <c r="K1408">
        <v>849000</v>
      </c>
      <c r="L1408">
        <v>15</v>
      </c>
      <c r="M1408">
        <v>12735000</v>
      </c>
      <c r="N1408" s="19">
        <v>11577272.727272727</v>
      </c>
      <c r="O1408" s="19">
        <v>10419545.454545453</v>
      </c>
      <c r="P1408" t="str">
        <f t="shared" si="34"/>
        <v>Shark Floorcare</v>
      </c>
      <c r="Q1408" t="str">
        <f t="shared" si="35"/>
        <v>FW</v>
      </c>
    </row>
    <row r="1409" spans="1:17" x14ac:dyDescent="0.35">
      <c r="A1409" t="str">
        <f>_xlfn.XLOOKUP(B1409,Mapping!C:C,Mapping!D:D)</f>
        <v>Naver</v>
      </c>
      <c r="B1409" t="s">
        <v>146</v>
      </c>
      <c r="C1409" t="s">
        <v>369</v>
      </c>
      <c r="D1409" s="21">
        <v>46258</v>
      </c>
      <c r="E1409" s="21">
        <v>46258</v>
      </c>
      <c r="F1409">
        <v>1</v>
      </c>
      <c r="G1409" t="s">
        <v>87</v>
      </c>
      <c r="H1409">
        <v>219900</v>
      </c>
      <c r="I1409">
        <v>199900</v>
      </c>
      <c r="J1409">
        <v>179900</v>
      </c>
      <c r="K1409">
        <v>119900</v>
      </c>
      <c r="L1409">
        <v>80</v>
      </c>
      <c r="M1409">
        <v>9592000</v>
      </c>
      <c r="N1409" s="19">
        <v>15992727.27272727</v>
      </c>
      <c r="O1409" s="19">
        <v>14393454.545454543</v>
      </c>
      <c r="P1409" t="str">
        <f t="shared" si="34"/>
        <v>Shark Fan</v>
      </c>
      <c r="Q1409" t="str">
        <f t="shared" si="35"/>
        <v>Fan</v>
      </c>
    </row>
    <row r="1410" spans="1:17" x14ac:dyDescent="0.35">
      <c r="A1410" t="str">
        <f>_xlfn.XLOOKUP(B1410,Mapping!C:C,Mapping!D:D)</f>
        <v>Naver</v>
      </c>
      <c r="B1410" t="s">
        <v>146</v>
      </c>
      <c r="C1410" t="s">
        <v>369</v>
      </c>
      <c r="D1410" s="21">
        <v>46258</v>
      </c>
      <c r="E1410" s="21">
        <v>46258</v>
      </c>
      <c r="F1410">
        <v>1</v>
      </c>
      <c r="G1410" t="s">
        <v>109</v>
      </c>
      <c r="H1410">
        <v>249900</v>
      </c>
      <c r="I1410">
        <v>219900</v>
      </c>
      <c r="J1410">
        <v>199900</v>
      </c>
      <c r="K1410">
        <v>179900</v>
      </c>
      <c r="L1410">
        <v>80</v>
      </c>
      <c r="M1410">
        <v>14392000</v>
      </c>
      <c r="N1410" s="19">
        <v>18174545.454545453</v>
      </c>
      <c r="O1410" s="19">
        <v>16357090.909090908</v>
      </c>
      <c r="P1410" t="str">
        <f t="shared" si="34"/>
        <v>Shark Fan</v>
      </c>
      <c r="Q1410" t="str">
        <f t="shared" si="35"/>
        <v>Fan</v>
      </c>
    </row>
    <row r="1411" spans="1:17" x14ac:dyDescent="0.35">
      <c r="A1411" t="str">
        <f>_xlfn.XLOOKUP(B1411,Mapping!C:C,Mapping!D:D)</f>
        <v>Naver</v>
      </c>
      <c r="B1411" t="s">
        <v>146</v>
      </c>
      <c r="C1411" t="s">
        <v>369</v>
      </c>
      <c r="D1411" s="21">
        <v>46258</v>
      </c>
      <c r="E1411" s="21">
        <v>46258</v>
      </c>
      <c r="F1411">
        <v>1</v>
      </c>
      <c r="G1411" t="s">
        <v>57</v>
      </c>
      <c r="H1411">
        <v>699000</v>
      </c>
      <c r="I1411">
        <v>599000</v>
      </c>
      <c r="J1411">
        <v>499000</v>
      </c>
      <c r="K1411">
        <v>499000</v>
      </c>
      <c r="L1411">
        <v>15</v>
      </c>
      <c r="M1411">
        <v>7485000</v>
      </c>
      <c r="N1411" s="19">
        <v>9531818.1818181816</v>
      </c>
      <c r="O1411" s="19">
        <v>8578636.3636363633</v>
      </c>
      <c r="P1411" t="str">
        <f t="shared" si="34"/>
        <v>Shark Floorcare</v>
      </c>
      <c r="Q1411" t="str">
        <f t="shared" si="35"/>
        <v>Kion</v>
      </c>
    </row>
    <row r="1412" spans="1:17" x14ac:dyDescent="0.35">
      <c r="A1412" t="str">
        <f>_xlfn.XLOOKUP(B1412,Mapping!C:C,Mapping!D:D)</f>
        <v>Naver</v>
      </c>
      <c r="B1412" t="s">
        <v>146</v>
      </c>
      <c r="C1412" t="s">
        <v>369</v>
      </c>
      <c r="D1412" s="21">
        <v>46258</v>
      </c>
      <c r="E1412" s="21">
        <v>46258</v>
      </c>
      <c r="F1412"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 t="shared" si="34"/>
        <v>Shark Floorcare</v>
      </c>
      <c r="Q1412" t="str">
        <f t="shared" si="35"/>
        <v>FW</v>
      </c>
    </row>
    <row r="1413" spans="1:17" x14ac:dyDescent="0.35">
      <c r="A1413" t="str">
        <f>_xlfn.XLOOKUP(B1413,Mapping!C:C,Mapping!D:D)</f>
        <v>Naver</v>
      </c>
      <c r="B1413" t="s">
        <v>146</v>
      </c>
      <c r="C1413" t="s">
        <v>369</v>
      </c>
      <c r="D1413" s="21">
        <v>46258</v>
      </c>
      <c r="E1413" s="21">
        <v>46258</v>
      </c>
      <c r="F1413">
        <v>1</v>
      </c>
      <c r="G1413" t="s">
        <v>62</v>
      </c>
      <c r="H1413">
        <v>349900</v>
      </c>
      <c r="I1413">
        <v>319900</v>
      </c>
      <c r="J1413">
        <v>299900</v>
      </c>
      <c r="K1413">
        <v>299900</v>
      </c>
      <c r="L1413">
        <v>15</v>
      </c>
      <c r="M1413">
        <v>4498500</v>
      </c>
      <c r="N1413" s="19">
        <v>4771363.6363636358</v>
      </c>
      <c r="O1413" s="19">
        <v>4294227.2727272725</v>
      </c>
      <c r="P1413" t="str">
        <f t="shared" si="34"/>
        <v>Shark Floorcare</v>
      </c>
      <c r="Q1413" t="str">
        <f t="shared" si="35"/>
        <v>WV</v>
      </c>
    </row>
    <row r="1414" spans="1:17" x14ac:dyDescent="0.35">
      <c r="A1414" t="str">
        <f>_xlfn.XLOOKUP(B1414,Mapping!C:C,Mapping!D:D)</f>
        <v>Naver</v>
      </c>
      <c r="B1414" t="s">
        <v>146</v>
      </c>
      <c r="C1414" t="s">
        <v>370</v>
      </c>
      <c r="D1414" s="21">
        <v>46246</v>
      </c>
      <c r="E1414" s="21">
        <v>46246</v>
      </c>
      <c r="F1414">
        <v>1</v>
      </c>
      <c r="G1414" t="s">
        <v>26</v>
      </c>
      <c r="H1414">
        <v>899000</v>
      </c>
      <c r="I1414">
        <v>749000</v>
      </c>
      <c r="J1414">
        <v>699000</v>
      </c>
      <c r="K1414">
        <v>699000</v>
      </c>
      <c r="L1414">
        <v>80</v>
      </c>
      <c r="M1414">
        <v>55920000</v>
      </c>
      <c r="N1414" s="19">
        <v>65381818.181818172</v>
      </c>
      <c r="O1414" s="19">
        <v>58843636.363636352</v>
      </c>
      <c r="P1414" t="str">
        <f t="shared" si="34"/>
        <v>Shark Floorcare</v>
      </c>
      <c r="Q1414" t="str">
        <f t="shared" si="35"/>
        <v>FW</v>
      </c>
    </row>
    <row r="1415" spans="1:17" x14ac:dyDescent="0.35">
      <c r="A1415" t="str">
        <f>_xlfn.XLOOKUP(B1415,Mapping!C:C,Mapping!D:D)</f>
        <v>Naver</v>
      </c>
      <c r="B1415" t="s">
        <v>146</v>
      </c>
      <c r="C1415" t="s">
        <v>371</v>
      </c>
      <c r="D1415" s="21">
        <v>46235</v>
      </c>
      <c r="E1415" s="21">
        <v>46265</v>
      </c>
      <c r="F1415">
        <v>31</v>
      </c>
      <c r="G1415" t="s">
        <v>104</v>
      </c>
      <c r="H1415">
        <v>799000</v>
      </c>
      <c r="I1415">
        <v>699000</v>
      </c>
      <c r="J1415">
        <v>599000</v>
      </c>
      <c r="K1415">
        <v>849000</v>
      </c>
      <c r="L1415">
        <v>100</v>
      </c>
      <c r="M1415">
        <v>84900000</v>
      </c>
      <c r="N1415" s="19">
        <v>72636363.63636364</v>
      </c>
      <c r="O1415" s="19">
        <v>65372727.272727273</v>
      </c>
      <c r="P1415" t="str">
        <f t="shared" si="34"/>
        <v>Shark Floorcare</v>
      </c>
      <c r="Q1415" t="str">
        <f t="shared" si="35"/>
        <v>FW</v>
      </c>
    </row>
    <row r="1416" spans="1:17" x14ac:dyDescent="0.35">
      <c r="A1416" t="str">
        <f>_xlfn.XLOOKUP(B1416,Mapping!C:C,Mapping!D:D)</f>
        <v>Naver</v>
      </c>
      <c r="B1416" t="s">
        <v>146</v>
      </c>
      <c r="C1416" t="s">
        <v>371</v>
      </c>
      <c r="D1416" s="21">
        <v>46235</v>
      </c>
      <c r="E1416" s="21">
        <v>46265</v>
      </c>
      <c r="F1416">
        <v>31</v>
      </c>
      <c r="G1416" t="s">
        <v>31</v>
      </c>
      <c r="H1416">
        <v>849000</v>
      </c>
      <c r="I1416">
        <v>699000</v>
      </c>
      <c r="J1416">
        <v>649000</v>
      </c>
      <c r="K1416">
        <v>649000</v>
      </c>
      <c r="L1416">
        <v>200</v>
      </c>
      <c r="M1416">
        <v>129800000</v>
      </c>
      <c r="N1416" s="19">
        <v>154363636.36363634</v>
      </c>
      <c r="O1416" s="19">
        <v>138927272.72727272</v>
      </c>
      <c r="P1416" t="str">
        <f t="shared" si="34"/>
        <v>Shark Floorcare</v>
      </c>
      <c r="Q1416" t="str">
        <f t="shared" si="35"/>
        <v>FW</v>
      </c>
    </row>
    <row r="1417" spans="1:17" x14ac:dyDescent="0.35">
      <c r="A1417" t="str">
        <f>_xlfn.XLOOKUP(B1417,Mapping!C:C,Mapping!D:D)</f>
        <v>Naver</v>
      </c>
      <c r="B1417" t="s">
        <v>146</v>
      </c>
      <c r="C1417" t="s">
        <v>371</v>
      </c>
      <c r="D1417" s="21">
        <v>46235</v>
      </c>
      <c r="E1417" s="21">
        <v>46265</v>
      </c>
      <c r="F1417">
        <v>31</v>
      </c>
      <c r="G1417" t="s">
        <v>87</v>
      </c>
      <c r="H1417">
        <v>219900</v>
      </c>
      <c r="I1417">
        <v>199900</v>
      </c>
      <c r="J1417">
        <v>179900</v>
      </c>
      <c r="K1417">
        <v>119900</v>
      </c>
      <c r="L1417">
        <v>1000</v>
      </c>
      <c r="M1417">
        <v>119900000</v>
      </c>
      <c r="N1417" s="19">
        <v>199909090.90909088</v>
      </c>
      <c r="O1417" s="19">
        <v>179918181.81818178</v>
      </c>
      <c r="P1417" t="str">
        <f t="shared" si="34"/>
        <v>Shark Fan</v>
      </c>
      <c r="Q1417" t="str">
        <f t="shared" si="35"/>
        <v>Fan</v>
      </c>
    </row>
    <row r="1418" spans="1:17" x14ac:dyDescent="0.35">
      <c r="A1418" t="str">
        <f>_xlfn.XLOOKUP(B1418,Mapping!C:C,Mapping!D:D)</f>
        <v>Dept Store</v>
      </c>
      <c r="B1418" t="s">
        <v>167</v>
      </c>
      <c r="C1418" t="s">
        <v>372</v>
      </c>
      <c r="D1418" s="21">
        <v>46237</v>
      </c>
      <c r="E1418" s="21">
        <v>46244</v>
      </c>
      <c r="F1418">
        <v>8</v>
      </c>
      <c r="G1418" t="s">
        <v>25</v>
      </c>
      <c r="H1418">
        <v>859000</v>
      </c>
      <c r="I1418">
        <v>749000</v>
      </c>
      <c r="J1418">
        <v>649000</v>
      </c>
      <c r="K1418">
        <v>859000</v>
      </c>
      <c r="L1418">
        <v>20</v>
      </c>
      <c r="M1418">
        <v>17180000</v>
      </c>
      <c r="N1418" s="19">
        <v>16345454.545454543</v>
      </c>
      <c r="O1418" s="19">
        <v>11850454.545454543</v>
      </c>
      <c r="P1418" t="str">
        <f t="shared" si="34"/>
        <v>Shark Floorcare</v>
      </c>
      <c r="Q1418" t="str">
        <f t="shared" si="35"/>
        <v>FW</v>
      </c>
    </row>
    <row r="1419" spans="1:17" x14ac:dyDescent="0.35">
      <c r="A1419" t="str">
        <f>_xlfn.XLOOKUP(B1419,Mapping!C:C,Mapping!D:D)</f>
        <v>Dept Store</v>
      </c>
      <c r="B1419" t="s">
        <v>167</v>
      </c>
      <c r="C1419" t="s">
        <v>372</v>
      </c>
      <c r="D1419" s="21">
        <v>46245</v>
      </c>
      <c r="E1419" s="21">
        <v>46251</v>
      </c>
      <c r="F1419">
        <v>7</v>
      </c>
      <c r="G1419" t="s">
        <v>25</v>
      </c>
      <c r="H1419">
        <v>859000</v>
      </c>
      <c r="I1419">
        <v>749000</v>
      </c>
      <c r="J1419">
        <v>649000</v>
      </c>
      <c r="K1419">
        <v>749000</v>
      </c>
      <c r="L1419">
        <v>20</v>
      </c>
      <c r="M1419">
        <v>14980000</v>
      </c>
      <c r="N1419" s="19">
        <v>16345454.545454543</v>
      </c>
      <c r="O1419" s="19">
        <v>11850454.545454543</v>
      </c>
      <c r="P1419" t="str">
        <f t="shared" si="34"/>
        <v>Shark Floorcare</v>
      </c>
      <c r="Q1419" t="str">
        <f t="shared" si="35"/>
        <v>FW</v>
      </c>
    </row>
    <row r="1420" spans="1:17" x14ac:dyDescent="0.35">
      <c r="A1420" t="str">
        <f>_xlfn.XLOOKUP(B1420,Mapping!C:C,Mapping!D:D)</f>
        <v>Dept Store</v>
      </c>
      <c r="B1420" t="s">
        <v>167</v>
      </c>
      <c r="C1420" t="s">
        <v>372</v>
      </c>
      <c r="D1420" s="21">
        <v>46252</v>
      </c>
      <c r="E1420" s="21">
        <v>46258</v>
      </c>
      <c r="F1420">
        <v>7</v>
      </c>
      <c r="G1420" t="s">
        <v>25</v>
      </c>
      <c r="H1420">
        <v>859000</v>
      </c>
      <c r="I1420">
        <v>749000</v>
      </c>
      <c r="J1420">
        <v>649000</v>
      </c>
      <c r="K1420">
        <v>859000</v>
      </c>
      <c r="L1420">
        <v>10</v>
      </c>
      <c r="M1420">
        <v>8590000</v>
      </c>
      <c r="N1420" s="19">
        <v>8172727.2727272715</v>
      </c>
      <c r="O1420" s="19">
        <v>5925227.2727272715</v>
      </c>
      <c r="P1420" t="str">
        <f t="shared" si="34"/>
        <v>Shark Floorcare</v>
      </c>
      <c r="Q1420" t="str">
        <f t="shared" si="35"/>
        <v>FW</v>
      </c>
    </row>
    <row r="1421" spans="1:17" x14ac:dyDescent="0.35">
      <c r="A1421" t="str">
        <f>_xlfn.XLOOKUP(B1421,Mapping!C:C,Mapping!D:D)</f>
        <v>Dept Store</v>
      </c>
      <c r="B1421" t="s">
        <v>167</v>
      </c>
      <c r="C1421" t="s">
        <v>372</v>
      </c>
      <c r="D1421" s="21">
        <v>46235</v>
      </c>
      <c r="E1421" s="21">
        <v>46237</v>
      </c>
      <c r="F1421">
        <v>3</v>
      </c>
      <c r="G1421" t="s">
        <v>31</v>
      </c>
      <c r="H1421">
        <v>849000</v>
      </c>
      <c r="I1421">
        <v>699000</v>
      </c>
      <c r="J1421">
        <v>649000</v>
      </c>
      <c r="K1421">
        <v>849000</v>
      </c>
      <c r="L1421">
        <v>5</v>
      </c>
      <c r="M1421">
        <v>4245000</v>
      </c>
      <c r="N1421" s="19">
        <v>3859090.9090909087</v>
      </c>
      <c r="O1421" s="19">
        <v>2797840.9090909087</v>
      </c>
      <c r="P1421" t="str">
        <f t="shared" si="34"/>
        <v>Shark Floorcare</v>
      </c>
      <c r="Q1421" t="str">
        <f t="shared" si="35"/>
        <v>FW</v>
      </c>
    </row>
    <row r="1422" spans="1:17" x14ac:dyDescent="0.35">
      <c r="A1422" t="str">
        <f>_xlfn.XLOOKUP(B1422,Mapping!C:C,Mapping!D:D)</f>
        <v>Dept Store</v>
      </c>
      <c r="B1422" t="s">
        <v>167</v>
      </c>
      <c r="C1422" t="s">
        <v>372</v>
      </c>
      <c r="D1422" s="21">
        <v>46238</v>
      </c>
      <c r="E1422" s="21">
        <v>46244</v>
      </c>
      <c r="F1422">
        <v>7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10</v>
      </c>
      <c r="M1422">
        <v>6990000</v>
      </c>
      <c r="N1422" s="19">
        <v>7718181.8181818174</v>
      </c>
      <c r="O1422" s="19">
        <v>5595681.8181818174</v>
      </c>
      <c r="P1422" t="str">
        <f t="shared" si="34"/>
        <v>Shark Floorcare</v>
      </c>
      <c r="Q1422" t="str">
        <f t="shared" si="35"/>
        <v>FW</v>
      </c>
    </row>
    <row r="1423" spans="1:17" x14ac:dyDescent="0.35">
      <c r="A1423" t="str">
        <f>_xlfn.XLOOKUP(B1423,Mapping!C:C,Mapping!D:D)</f>
        <v>Dept Store</v>
      </c>
      <c r="B1423" t="s">
        <v>167</v>
      </c>
      <c r="C1423" t="s">
        <v>372</v>
      </c>
      <c r="D1423" s="21">
        <v>46245</v>
      </c>
      <c r="E1423" s="21">
        <v>46258</v>
      </c>
      <c r="F1423">
        <v>14</v>
      </c>
      <c r="G1423" t="s">
        <v>31</v>
      </c>
      <c r="H1423">
        <v>849000</v>
      </c>
      <c r="I1423">
        <v>699000</v>
      </c>
      <c r="J1423">
        <v>649000</v>
      </c>
      <c r="K1423">
        <v>849000</v>
      </c>
      <c r="L1423">
        <v>10</v>
      </c>
      <c r="M1423">
        <v>8490000</v>
      </c>
      <c r="N1423" s="19">
        <v>7718181.8181818174</v>
      </c>
      <c r="O1423" s="19">
        <v>5595681.8181818174</v>
      </c>
      <c r="P1423" t="str">
        <f t="shared" si="34"/>
        <v>Shark Floorcare</v>
      </c>
      <c r="Q1423" t="str">
        <f t="shared" si="35"/>
        <v>FW</v>
      </c>
    </row>
    <row r="1424" spans="1:17" x14ac:dyDescent="0.35">
      <c r="A1424" t="str">
        <f>_xlfn.XLOOKUP(B1424,Mapping!C:C,Mapping!D:D)</f>
        <v>Dept Store</v>
      </c>
      <c r="B1424" t="s">
        <v>167</v>
      </c>
      <c r="C1424" t="s">
        <v>372</v>
      </c>
      <c r="D1424" s="21">
        <v>46237</v>
      </c>
      <c r="E1424" s="21">
        <v>46244</v>
      </c>
      <c r="F1424">
        <v>8</v>
      </c>
      <c r="G1424" t="s">
        <v>26</v>
      </c>
      <c r="H1424">
        <v>899000</v>
      </c>
      <c r="I1424">
        <v>749000</v>
      </c>
      <c r="J1424">
        <v>699000</v>
      </c>
      <c r="K1424">
        <v>899000</v>
      </c>
      <c r="L1424">
        <v>20</v>
      </c>
      <c r="M1424">
        <v>17980000</v>
      </c>
      <c r="N1424" s="19">
        <v>16345454.545454543</v>
      </c>
      <c r="O1424" s="19">
        <v>11850454.545454543</v>
      </c>
      <c r="P1424" t="str">
        <f t="shared" si="34"/>
        <v>Shark Floorcare</v>
      </c>
      <c r="Q1424" t="str">
        <f t="shared" si="35"/>
        <v>FW</v>
      </c>
    </row>
    <row r="1425" spans="1:17" x14ac:dyDescent="0.35">
      <c r="A1425" t="str">
        <f>_xlfn.XLOOKUP(B1425,Mapping!C:C,Mapping!D:D)</f>
        <v>Dept Store</v>
      </c>
      <c r="B1425" t="s">
        <v>167</v>
      </c>
      <c r="C1425" t="s">
        <v>372</v>
      </c>
      <c r="D1425" s="21">
        <v>46245</v>
      </c>
      <c r="E1425" s="21">
        <v>46251</v>
      </c>
      <c r="F1425">
        <v>7</v>
      </c>
      <c r="G1425" t="s">
        <v>26</v>
      </c>
      <c r="H1425">
        <v>899000</v>
      </c>
      <c r="I1425">
        <v>749000</v>
      </c>
      <c r="J1425">
        <v>699000</v>
      </c>
      <c r="K1425">
        <v>699000</v>
      </c>
      <c r="L1425">
        <v>200</v>
      </c>
      <c r="M1425">
        <v>139800000</v>
      </c>
      <c r="N1425" s="19">
        <v>163454545.45454544</v>
      </c>
      <c r="O1425" s="19">
        <v>118504545.45454544</v>
      </c>
      <c r="P1425" t="str">
        <f t="shared" si="34"/>
        <v>Shark Floorcare</v>
      </c>
      <c r="Q1425" t="str">
        <f t="shared" si="35"/>
        <v>FW</v>
      </c>
    </row>
    <row r="1426" spans="1:17" x14ac:dyDescent="0.35">
      <c r="A1426" t="str">
        <f>_xlfn.XLOOKUP(B1426,Mapping!C:C,Mapping!D:D)</f>
        <v>Dept Store</v>
      </c>
      <c r="B1426" t="s">
        <v>167</v>
      </c>
      <c r="C1426" t="s">
        <v>372</v>
      </c>
      <c r="D1426" s="21">
        <v>46252</v>
      </c>
      <c r="E1426" s="21">
        <v>46258</v>
      </c>
      <c r="F1426">
        <v>7</v>
      </c>
      <c r="G1426" t="s">
        <v>26</v>
      </c>
      <c r="H1426">
        <v>899000</v>
      </c>
      <c r="I1426">
        <v>749000</v>
      </c>
      <c r="J1426">
        <v>699000</v>
      </c>
      <c r="K1426">
        <v>899000</v>
      </c>
      <c r="L1426">
        <v>10</v>
      </c>
      <c r="M1426">
        <v>8990000</v>
      </c>
      <c r="N1426" s="19">
        <v>8172727.2727272715</v>
      </c>
      <c r="O1426" s="19">
        <v>5925227.2727272715</v>
      </c>
      <c r="P1426" t="str">
        <f t="shared" si="34"/>
        <v>Shark Floorcare</v>
      </c>
      <c r="Q1426" t="str">
        <f t="shared" si="35"/>
        <v>FW</v>
      </c>
    </row>
    <row r="1427" spans="1:17" x14ac:dyDescent="0.35">
      <c r="A1427" t="str">
        <f>_xlfn.XLOOKUP(B1427,Mapping!C:C,Mapping!D:D)</f>
        <v>Dept Store</v>
      </c>
      <c r="B1427" t="s">
        <v>167</v>
      </c>
      <c r="C1427" t="s">
        <v>372</v>
      </c>
      <c r="D1427" s="21">
        <v>46237</v>
      </c>
      <c r="E1427" s="21">
        <v>46265</v>
      </c>
      <c r="F1427">
        <v>29</v>
      </c>
      <c r="G1427" t="s">
        <v>28</v>
      </c>
      <c r="H1427">
        <v>299900</v>
      </c>
      <c r="I1427">
        <v>219900</v>
      </c>
      <c r="J1427">
        <v>219900</v>
      </c>
      <c r="K1427">
        <v>299900</v>
      </c>
      <c r="L1427">
        <v>20</v>
      </c>
      <c r="M1427">
        <v>5998000</v>
      </c>
      <c r="N1427" s="19">
        <v>5452727.2727272715</v>
      </c>
      <c r="O1427" s="19">
        <v>3953227.2727272715</v>
      </c>
      <c r="P1427" t="str">
        <f t="shared" si="34"/>
        <v>Shark Floorcare</v>
      </c>
      <c r="Q1427" t="str">
        <f t="shared" si="35"/>
        <v>WD</v>
      </c>
    </row>
    <row r="1428" spans="1:17" x14ac:dyDescent="0.35">
      <c r="A1428" t="str">
        <f>_xlfn.XLOOKUP(B1428,Mapping!C:C,Mapping!D:D)</f>
        <v>Dept Store</v>
      </c>
      <c r="B1428" t="s">
        <v>167</v>
      </c>
      <c r="C1428" t="s">
        <v>372</v>
      </c>
      <c r="D1428" s="21">
        <v>46237</v>
      </c>
      <c r="E1428" s="21">
        <v>46265</v>
      </c>
      <c r="F1428">
        <v>29</v>
      </c>
      <c r="G1428" t="s">
        <v>108</v>
      </c>
      <c r="H1428">
        <v>199900</v>
      </c>
      <c r="I1428">
        <v>179900</v>
      </c>
      <c r="J1428">
        <v>169900</v>
      </c>
      <c r="K1428">
        <v>199900</v>
      </c>
      <c r="L1428">
        <v>40</v>
      </c>
      <c r="M1428">
        <v>7996000</v>
      </c>
      <c r="N1428" s="19">
        <v>7269090.9090909082</v>
      </c>
      <c r="O1428" s="19">
        <v>5270090.9090909082</v>
      </c>
      <c r="P1428" t="str">
        <f t="shared" si="34"/>
        <v>Shark Floorcare</v>
      </c>
      <c r="Q1428" t="str">
        <f t="shared" si="35"/>
        <v>WV</v>
      </c>
    </row>
    <row r="1429" spans="1:17" x14ac:dyDescent="0.35">
      <c r="A1429" t="str">
        <f>_xlfn.XLOOKUP(B1429,Mapping!C:C,Mapping!D:D)</f>
        <v>Dept Store</v>
      </c>
      <c r="B1429" t="s">
        <v>167</v>
      </c>
      <c r="C1429" t="s">
        <v>372</v>
      </c>
      <c r="D1429" s="21">
        <v>46237</v>
      </c>
      <c r="E1429" s="21">
        <v>46265</v>
      </c>
      <c r="F1429">
        <v>29</v>
      </c>
      <c r="G1429" t="s">
        <v>36</v>
      </c>
      <c r="H1429">
        <v>469900</v>
      </c>
      <c r="I1429">
        <v>399900</v>
      </c>
      <c r="J1429">
        <v>389900</v>
      </c>
      <c r="K1429">
        <v>469900</v>
      </c>
      <c r="L1429">
        <v>20</v>
      </c>
      <c r="M1429">
        <v>9398000</v>
      </c>
      <c r="N1429" s="19">
        <v>8543636.3636363633</v>
      </c>
      <c r="O1429" s="19">
        <v>6194136.3636363633</v>
      </c>
      <c r="P1429" t="str">
        <f t="shared" si="34"/>
        <v>Shark Floorcare</v>
      </c>
      <c r="Q1429" t="str">
        <f t="shared" si="35"/>
        <v>WD</v>
      </c>
    </row>
    <row r="1430" spans="1:17" x14ac:dyDescent="0.35">
      <c r="A1430" t="str">
        <f>_xlfn.XLOOKUP(B1430,Mapping!C:C,Mapping!D:D)</f>
        <v>Dept Store</v>
      </c>
      <c r="B1430" t="s">
        <v>167</v>
      </c>
      <c r="C1430" t="s">
        <v>372</v>
      </c>
      <c r="D1430" s="21">
        <v>46237</v>
      </c>
      <c r="E1430" s="21">
        <v>46265</v>
      </c>
      <c r="F1430">
        <v>29</v>
      </c>
      <c r="G1430" t="s">
        <v>87</v>
      </c>
      <c r="H1430">
        <v>219900</v>
      </c>
      <c r="I1430">
        <v>199900</v>
      </c>
      <c r="J1430">
        <v>179900</v>
      </c>
      <c r="K1430">
        <v>119900</v>
      </c>
      <c r="L1430">
        <v>80</v>
      </c>
      <c r="M1430">
        <v>9592000</v>
      </c>
      <c r="N1430" s="19">
        <v>15992727.27272727</v>
      </c>
      <c r="O1430" s="19">
        <v>11594727.27272727</v>
      </c>
      <c r="P1430" t="str">
        <f t="shared" si="34"/>
        <v>Shark Fan</v>
      </c>
      <c r="Q1430" t="str">
        <f t="shared" si="35"/>
        <v>Fan</v>
      </c>
    </row>
    <row r="1431" spans="1:17" x14ac:dyDescent="0.35">
      <c r="A1431" t="str">
        <f>_xlfn.XLOOKUP(B1431,Mapping!C:C,Mapping!D:D)</f>
        <v>Dept Store</v>
      </c>
      <c r="B1431" t="s">
        <v>167</v>
      </c>
      <c r="C1431" t="s">
        <v>372</v>
      </c>
      <c r="D1431" s="21">
        <v>46237</v>
      </c>
      <c r="E1431" s="21">
        <v>46265</v>
      </c>
      <c r="F1431">
        <v>29</v>
      </c>
      <c r="G1431" t="s">
        <v>98</v>
      </c>
      <c r="H1431">
        <v>219900</v>
      </c>
      <c r="I1431">
        <v>199900</v>
      </c>
      <c r="J1431">
        <v>179900</v>
      </c>
      <c r="K1431">
        <v>119900</v>
      </c>
      <c r="L1431">
        <v>80</v>
      </c>
      <c r="M1431">
        <v>9592000</v>
      </c>
      <c r="N1431" s="19">
        <v>15992727.27272727</v>
      </c>
      <c r="O1431" s="19">
        <v>11594727.27272727</v>
      </c>
      <c r="P1431" t="str">
        <f t="shared" si="34"/>
        <v>Shark Fan</v>
      </c>
      <c r="Q1431" t="str">
        <f t="shared" si="35"/>
        <v>Fan</v>
      </c>
    </row>
    <row r="1432" spans="1:17" x14ac:dyDescent="0.35">
      <c r="A1432" t="str">
        <f>_xlfn.XLOOKUP(B1432,Mapping!C:C,Mapping!D:D)</f>
        <v>Dept Store</v>
      </c>
      <c r="B1432" t="s">
        <v>167</v>
      </c>
      <c r="C1432" t="s">
        <v>372</v>
      </c>
      <c r="D1432" s="21">
        <v>46237</v>
      </c>
      <c r="E1432" s="21">
        <v>46265</v>
      </c>
      <c r="F1432">
        <v>29</v>
      </c>
      <c r="G1432" t="s">
        <v>99</v>
      </c>
      <c r="H1432">
        <v>219900</v>
      </c>
      <c r="I1432">
        <v>199900</v>
      </c>
      <c r="J1432">
        <v>179900</v>
      </c>
      <c r="K1432">
        <v>119900</v>
      </c>
      <c r="L1432">
        <v>80</v>
      </c>
      <c r="M1432">
        <v>9592000</v>
      </c>
      <c r="N1432" s="19">
        <v>15992727.27272727</v>
      </c>
      <c r="O1432" s="19">
        <v>11594727.27272727</v>
      </c>
      <c r="P1432" t="str">
        <f t="shared" si="34"/>
        <v>Shark Fan</v>
      </c>
      <c r="Q1432" t="str">
        <f t="shared" si="35"/>
        <v>Fan</v>
      </c>
    </row>
    <row r="1433" spans="1:17" x14ac:dyDescent="0.35">
      <c r="A1433" t="str">
        <f>_xlfn.XLOOKUP(B1433,Mapping!C:C,Mapping!D:D)</f>
        <v>Dept Store</v>
      </c>
      <c r="B1433" t="s">
        <v>167</v>
      </c>
      <c r="C1433" t="s">
        <v>372</v>
      </c>
      <c r="D1433" s="21">
        <v>46237</v>
      </c>
      <c r="E1433" s="21">
        <v>46265</v>
      </c>
      <c r="F1433">
        <v>29</v>
      </c>
      <c r="G1433" t="s">
        <v>109</v>
      </c>
      <c r="H1433">
        <v>249900</v>
      </c>
      <c r="I1433">
        <v>219900</v>
      </c>
      <c r="J1433">
        <v>199900</v>
      </c>
      <c r="K1433">
        <v>169900</v>
      </c>
      <c r="L1433">
        <v>60</v>
      </c>
      <c r="M1433">
        <v>10194000</v>
      </c>
      <c r="N1433" s="19">
        <v>13630909.09090909</v>
      </c>
      <c r="O1433" s="19">
        <v>9882409.0909090899</v>
      </c>
      <c r="P1433" t="str">
        <f t="shared" si="34"/>
        <v>Shark Fan</v>
      </c>
      <c r="Q1433" t="str">
        <f t="shared" si="35"/>
        <v>Fan</v>
      </c>
    </row>
    <row r="1434" spans="1:17" x14ac:dyDescent="0.35">
      <c r="A1434" t="str">
        <f>_xlfn.XLOOKUP(B1434,Mapping!C:C,Mapping!D:D)</f>
        <v>Dept Store</v>
      </c>
      <c r="B1434" t="s">
        <v>167</v>
      </c>
      <c r="C1434" t="s">
        <v>372</v>
      </c>
      <c r="D1434" s="21">
        <v>46237</v>
      </c>
      <c r="E1434" s="21">
        <v>46265</v>
      </c>
      <c r="F1434">
        <v>29</v>
      </c>
      <c r="G1434" t="s">
        <v>111</v>
      </c>
      <c r="H1434">
        <v>249900</v>
      </c>
      <c r="I1434">
        <v>219900</v>
      </c>
      <c r="J1434">
        <v>199900</v>
      </c>
      <c r="K1434">
        <v>169900</v>
      </c>
      <c r="L1434">
        <v>60</v>
      </c>
      <c r="M1434">
        <v>10194000</v>
      </c>
      <c r="N1434" s="19">
        <v>13630909.09090909</v>
      </c>
      <c r="O1434" s="19">
        <v>9882409.0909090899</v>
      </c>
      <c r="P1434" t="str">
        <f t="shared" si="34"/>
        <v>Shark Fan</v>
      </c>
      <c r="Q1434" t="str">
        <f t="shared" si="35"/>
        <v>Fan</v>
      </c>
    </row>
    <row r="1435" spans="1:17" x14ac:dyDescent="0.35">
      <c r="A1435" t="str">
        <f>_xlfn.XLOOKUP(B1435,Mapping!C:C,Mapping!D:D)</f>
        <v>Dept Store</v>
      </c>
      <c r="B1435" t="s">
        <v>167</v>
      </c>
      <c r="C1435" t="s">
        <v>372</v>
      </c>
      <c r="D1435" s="21">
        <v>46237</v>
      </c>
      <c r="E1435" s="21">
        <v>46265</v>
      </c>
      <c r="F1435">
        <v>29</v>
      </c>
      <c r="G1435" t="s">
        <v>41</v>
      </c>
      <c r="H1435">
        <v>299900</v>
      </c>
      <c r="I1435">
        <v>269900</v>
      </c>
      <c r="J1435">
        <v>249900</v>
      </c>
      <c r="K1435">
        <v>169900</v>
      </c>
      <c r="L1435">
        <v>60</v>
      </c>
      <c r="M1435">
        <v>10194000</v>
      </c>
      <c r="N1435" s="19">
        <v>16358181.818181815</v>
      </c>
      <c r="O1435" s="19">
        <v>11859681.818181816</v>
      </c>
      <c r="P1435" t="str">
        <f t="shared" si="34"/>
        <v>Shark Fan</v>
      </c>
      <c r="Q1435" t="str">
        <f t="shared" si="35"/>
        <v>Fan</v>
      </c>
    </row>
    <row r="1436" spans="1:17" x14ac:dyDescent="0.35">
      <c r="A1436" t="str">
        <f>_xlfn.XLOOKUP(B1436,Mapping!C:C,Mapping!D:D)</f>
        <v>Dept Store</v>
      </c>
      <c r="B1436" t="s">
        <v>167</v>
      </c>
      <c r="C1436" t="s">
        <v>372</v>
      </c>
      <c r="D1436" s="21">
        <v>46237</v>
      </c>
      <c r="E1436" s="21">
        <v>46250</v>
      </c>
      <c r="F1436">
        <v>14</v>
      </c>
      <c r="G1436" t="s">
        <v>32</v>
      </c>
      <c r="H1436">
        <v>349900</v>
      </c>
      <c r="I1436">
        <v>299900</v>
      </c>
      <c r="J1436">
        <v>269900</v>
      </c>
      <c r="K1436">
        <v>349900</v>
      </c>
      <c r="L1436">
        <v>20</v>
      </c>
      <c r="M1436">
        <v>6998000</v>
      </c>
      <c r="N1436" s="19">
        <v>6361818.1818181816</v>
      </c>
      <c r="O1436" s="19">
        <v>4612318.1818181816</v>
      </c>
      <c r="P1436" t="str">
        <f t="shared" si="34"/>
        <v>Ninja Motorized</v>
      </c>
      <c r="Q1436" t="str">
        <f t="shared" si="35"/>
        <v>Icecream</v>
      </c>
    </row>
    <row r="1437" spans="1:17" x14ac:dyDescent="0.35">
      <c r="A1437" t="str">
        <f>_xlfn.XLOOKUP(B1437,Mapping!C:C,Mapping!D:D)</f>
        <v>Dept Store</v>
      </c>
      <c r="B1437" t="s">
        <v>167</v>
      </c>
      <c r="C1437" t="s">
        <v>372</v>
      </c>
      <c r="D1437" s="21">
        <v>46251</v>
      </c>
      <c r="E1437" s="21">
        <v>46257</v>
      </c>
      <c r="F1437">
        <v>7</v>
      </c>
      <c r="G1437" t="s">
        <v>32</v>
      </c>
      <c r="H1437">
        <v>349900</v>
      </c>
      <c r="I1437">
        <v>299900</v>
      </c>
      <c r="J1437">
        <v>269900</v>
      </c>
      <c r="K1437">
        <v>269900</v>
      </c>
      <c r="L1437">
        <v>20</v>
      </c>
      <c r="M1437">
        <v>5398000</v>
      </c>
      <c r="N1437" s="19">
        <v>6361818.1818181816</v>
      </c>
      <c r="O1437" s="19">
        <v>4612318.1818181816</v>
      </c>
      <c r="P1437" t="str">
        <f t="shared" si="34"/>
        <v>Ninja Motorized</v>
      </c>
      <c r="Q1437" t="str">
        <f t="shared" si="35"/>
        <v>Icecream</v>
      </c>
    </row>
    <row r="1438" spans="1:17" x14ac:dyDescent="0.35">
      <c r="A1438" t="str">
        <f>_xlfn.XLOOKUP(B1438,Mapping!C:C,Mapping!D:D)</f>
        <v>Dept Store</v>
      </c>
      <c r="B1438" t="s">
        <v>167</v>
      </c>
      <c r="C1438" t="s">
        <v>372</v>
      </c>
      <c r="D1438" s="21">
        <v>46258</v>
      </c>
      <c r="E1438" s="21">
        <v>46265</v>
      </c>
      <c r="F1438">
        <v>8</v>
      </c>
      <c r="G1438" t="s">
        <v>32</v>
      </c>
      <c r="H1438">
        <v>349900</v>
      </c>
      <c r="I1438">
        <v>299900</v>
      </c>
      <c r="J1438">
        <v>269900</v>
      </c>
      <c r="K1438">
        <v>349900</v>
      </c>
      <c r="L1438">
        <v>15</v>
      </c>
      <c r="M1438">
        <v>5248500</v>
      </c>
      <c r="N1438" s="19">
        <v>4771363.6363636358</v>
      </c>
      <c r="O1438" s="19">
        <v>3459238.6363636358</v>
      </c>
      <c r="P1438" t="str">
        <f t="shared" si="34"/>
        <v>Ninja Motorized</v>
      </c>
      <c r="Q1438" t="str">
        <f t="shared" si="35"/>
        <v>Icecream</v>
      </c>
    </row>
    <row r="1439" spans="1:17" x14ac:dyDescent="0.35">
      <c r="A1439" t="str">
        <f>_xlfn.XLOOKUP(B1439,Mapping!C:C,Mapping!D:D)</f>
        <v>Dept Store</v>
      </c>
      <c r="B1439" t="s">
        <v>167</v>
      </c>
      <c r="C1439" t="s">
        <v>372</v>
      </c>
      <c r="D1439" s="21">
        <v>46237</v>
      </c>
      <c r="E1439" s="21">
        <v>46265</v>
      </c>
      <c r="F1439">
        <v>29</v>
      </c>
      <c r="G1439" t="s">
        <v>92</v>
      </c>
      <c r="H1439">
        <v>119900</v>
      </c>
      <c r="I1439">
        <v>99900</v>
      </c>
      <c r="J1439">
        <v>84900</v>
      </c>
      <c r="K1439">
        <v>84900</v>
      </c>
      <c r="L1439">
        <v>100</v>
      </c>
      <c r="M1439">
        <v>8490000</v>
      </c>
      <c r="N1439" s="19">
        <v>10899999.999999998</v>
      </c>
      <c r="O1439" s="19">
        <v>7902499.9999999981</v>
      </c>
      <c r="P1439" t="str">
        <f t="shared" si="34"/>
        <v>Ninja Motorized</v>
      </c>
      <c r="Q1439" t="str">
        <f t="shared" si="35"/>
        <v>Portable</v>
      </c>
    </row>
    <row r="1440" spans="1:17" x14ac:dyDescent="0.35">
      <c r="A1440" t="str">
        <f>_xlfn.XLOOKUP(B1440,Mapping!C:C,Mapping!D:D)</f>
        <v>Dept Store</v>
      </c>
      <c r="B1440" t="s">
        <v>167</v>
      </c>
      <c r="C1440" t="s">
        <v>372</v>
      </c>
      <c r="D1440" s="21">
        <v>46237</v>
      </c>
      <c r="E1440" s="21">
        <v>46265</v>
      </c>
      <c r="F1440">
        <v>29</v>
      </c>
      <c r="G1440" t="s">
        <v>93</v>
      </c>
      <c r="H1440">
        <v>119900</v>
      </c>
      <c r="I1440">
        <v>99900</v>
      </c>
      <c r="J1440">
        <v>84900</v>
      </c>
      <c r="K1440">
        <v>84900</v>
      </c>
      <c r="L1440">
        <v>100</v>
      </c>
      <c r="M1440">
        <v>8490000</v>
      </c>
      <c r="N1440" s="19">
        <v>10899999.999999998</v>
      </c>
      <c r="O1440" s="19">
        <v>7902499.9999999981</v>
      </c>
      <c r="P1440" t="str">
        <f t="shared" si="34"/>
        <v>Ninja Motorized</v>
      </c>
      <c r="Q1440" t="str">
        <f t="shared" si="35"/>
        <v>Portable</v>
      </c>
    </row>
    <row r="1441" spans="1:17" x14ac:dyDescent="0.35">
      <c r="A1441" t="str">
        <f>_xlfn.XLOOKUP(B1441,Mapping!C:C,Mapping!D:D)</f>
        <v>Dept Store</v>
      </c>
      <c r="B1441" t="s">
        <v>167</v>
      </c>
      <c r="C1441" t="s">
        <v>372</v>
      </c>
      <c r="D1441" s="21">
        <v>46237</v>
      </c>
      <c r="E1441" s="21">
        <v>46265</v>
      </c>
      <c r="F1441">
        <v>29</v>
      </c>
      <c r="G1441" t="s">
        <v>94</v>
      </c>
      <c r="H1441">
        <v>119900</v>
      </c>
      <c r="I1441">
        <v>99900</v>
      </c>
      <c r="J1441">
        <v>84900</v>
      </c>
      <c r="K1441">
        <v>84900</v>
      </c>
      <c r="L1441">
        <v>100</v>
      </c>
      <c r="M1441">
        <v>8490000</v>
      </c>
      <c r="N1441" s="19">
        <v>10899999.999999998</v>
      </c>
      <c r="O1441" s="19">
        <v>7902499.9999999981</v>
      </c>
      <c r="P1441" t="str">
        <f t="shared" si="34"/>
        <v>Ninja Motorized</v>
      </c>
      <c r="Q1441" t="str">
        <f t="shared" si="35"/>
        <v>Portable</v>
      </c>
    </row>
    <row r="1442" spans="1:17" x14ac:dyDescent="0.35">
      <c r="A1442" t="str">
        <f>_xlfn.XLOOKUP(B1442,Mapping!C:C,Mapping!D:D)</f>
        <v>Dept Store</v>
      </c>
      <c r="B1442" t="s">
        <v>167</v>
      </c>
      <c r="C1442" t="s">
        <v>372</v>
      </c>
      <c r="D1442" s="21">
        <v>46237</v>
      </c>
      <c r="E1442" s="21">
        <v>46265</v>
      </c>
      <c r="F1442">
        <v>29</v>
      </c>
      <c r="G1442" t="s">
        <v>101</v>
      </c>
      <c r="H1442">
        <v>149900</v>
      </c>
      <c r="I1442">
        <v>139900</v>
      </c>
      <c r="J1442">
        <v>109900</v>
      </c>
      <c r="K1442">
        <v>119900</v>
      </c>
      <c r="L1442">
        <v>160</v>
      </c>
      <c r="M1442">
        <v>19184000</v>
      </c>
      <c r="N1442" s="19">
        <v>21803636.363636363</v>
      </c>
      <c r="O1442" s="19">
        <v>15807636.363636363</v>
      </c>
      <c r="P1442" t="str">
        <f t="shared" si="34"/>
        <v>Ninja Motorized</v>
      </c>
      <c r="Q1442" t="str">
        <f t="shared" si="35"/>
        <v>Portable</v>
      </c>
    </row>
    <row r="1443" spans="1:17" x14ac:dyDescent="0.35">
      <c r="A1443" t="str">
        <f>_xlfn.XLOOKUP(B1443,Mapping!C:C,Mapping!D:D)</f>
        <v>Dept Store</v>
      </c>
      <c r="B1443" t="s">
        <v>167</v>
      </c>
      <c r="C1443" t="s">
        <v>372</v>
      </c>
      <c r="D1443" s="21">
        <v>46237</v>
      </c>
      <c r="E1443" s="21">
        <v>46265</v>
      </c>
      <c r="F1443">
        <v>29</v>
      </c>
      <c r="G1443" t="s">
        <v>86</v>
      </c>
      <c r="H1443">
        <v>149900</v>
      </c>
      <c r="I1443">
        <v>139900</v>
      </c>
      <c r="J1443">
        <v>109900</v>
      </c>
      <c r="K1443">
        <v>119900</v>
      </c>
      <c r="L1443">
        <v>160</v>
      </c>
      <c r="M1443">
        <v>19184000</v>
      </c>
      <c r="N1443" s="19">
        <v>21803636.363636363</v>
      </c>
      <c r="O1443" s="19">
        <v>15807636.363636363</v>
      </c>
      <c r="P1443" t="str">
        <f t="shared" si="34"/>
        <v>Ninja Motorized</v>
      </c>
      <c r="Q1443" t="str">
        <f t="shared" si="35"/>
        <v>Portable</v>
      </c>
    </row>
    <row r="1444" spans="1:17" x14ac:dyDescent="0.35">
      <c r="A1444" t="str">
        <f>_xlfn.XLOOKUP(B1444,Mapping!C:C,Mapping!D:D)</f>
        <v>Dept Store</v>
      </c>
      <c r="B1444" t="s">
        <v>167</v>
      </c>
      <c r="C1444" t="s">
        <v>372</v>
      </c>
      <c r="D1444" s="21">
        <v>46237</v>
      </c>
      <c r="E1444" s="21">
        <v>46265</v>
      </c>
      <c r="F1444">
        <v>29</v>
      </c>
      <c r="G1444" t="s">
        <v>90</v>
      </c>
      <c r="H1444">
        <v>149900</v>
      </c>
      <c r="I1444">
        <v>139900</v>
      </c>
      <c r="J1444">
        <v>109900</v>
      </c>
      <c r="K1444">
        <v>119900</v>
      </c>
      <c r="L1444">
        <v>160</v>
      </c>
      <c r="M1444">
        <v>19184000</v>
      </c>
      <c r="N1444" s="19">
        <v>21803636.363636363</v>
      </c>
      <c r="O1444" s="19">
        <v>15807636.363636363</v>
      </c>
      <c r="P1444" t="str">
        <f t="shared" si="34"/>
        <v>Ninja Motorized</v>
      </c>
      <c r="Q1444" t="str">
        <f t="shared" si="35"/>
        <v>Portable</v>
      </c>
    </row>
    <row r="1445" spans="1:17" x14ac:dyDescent="0.35">
      <c r="A1445" t="str">
        <f>_xlfn.XLOOKUP(B1445,Mapping!C:C,Mapping!D:D)</f>
        <v>Dept Store</v>
      </c>
      <c r="B1445" t="s">
        <v>167</v>
      </c>
      <c r="C1445" t="s">
        <v>372</v>
      </c>
      <c r="D1445" s="21">
        <v>46237</v>
      </c>
      <c r="E1445" s="21">
        <v>46250</v>
      </c>
      <c r="F1445">
        <v>14</v>
      </c>
      <c r="G1445" t="s">
        <v>39</v>
      </c>
      <c r="H1445">
        <v>249900</v>
      </c>
      <c r="I1445">
        <v>199900</v>
      </c>
      <c r="J1445">
        <v>189900</v>
      </c>
      <c r="K1445">
        <v>249900</v>
      </c>
      <c r="L1445">
        <v>30</v>
      </c>
      <c r="M1445">
        <v>7497000</v>
      </c>
      <c r="N1445" s="19">
        <v>6815454.5454545449</v>
      </c>
      <c r="O1445" s="19">
        <v>4941204.5454545449</v>
      </c>
      <c r="P1445" t="str">
        <f t="shared" si="34"/>
        <v>Ninja Motorized</v>
      </c>
      <c r="Q1445" t="str">
        <f t="shared" si="35"/>
        <v>Trad</v>
      </c>
    </row>
    <row r="1446" spans="1:17" x14ac:dyDescent="0.35">
      <c r="A1446" t="str">
        <f>_xlfn.XLOOKUP(B1446,Mapping!C:C,Mapping!D:D)</f>
        <v>Dept Store</v>
      </c>
      <c r="B1446" t="s">
        <v>167</v>
      </c>
      <c r="C1446" t="s">
        <v>372</v>
      </c>
      <c r="D1446" s="21">
        <v>46251</v>
      </c>
      <c r="E1446" s="21">
        <v>46257</v>
      </c>
      <c r="F1446">
        <v>7</v>
      </c>
      <c r="G1446" t="s">
        <v>39</v>
      </c>
      <c r="H1446">
        <v>249900</v>
      </c>
      <c r="I1446">
        <v>199900</v>
      </c>
      <c r="J1446">
        <v>189900</v>
      </c>
      <c r="K1446">
        <v>199900</v>
      </c>
      <c r="L1446">
        <v>30</v>
      </c>
      <c r="M1446">
        <v>5997000</v>
      </c>
      <c r="N1446" s="19">
        <v>6815454.5454545449</v>
      </c>
      <c r="O1446" s="19">
        <v>4941204.5454545449</v>
      </c>
      <c r="P1446" t="str">
        <f t="shared" si="34"/>
        <v>Ninja Motorized</v>
      </c>
      <c r="Q1446" t="str">
        <f t="shared" si="35"/>
        <v>Trad</v>
      </c>
    </row>
    <row r="1447" spans="1:17" x14ac:dyDescent="0.35">
      <c r="A1447" t="str">
        <f>_xlfn.XLOOKUP(B1447,Mapping!C:C,Mapping!D:D)</f>
        <v>Dept Store</v>
      </c>
      <c r="B1447" t="s">
        <v>167</v>
      </c>
      <c r="C1447" t="s">
        <v>372</v>
      </c>
      <c r="D1447" s="21">
        <v>46258</v>
      </c>
      <c r="E1447" s="21">
        <v>46265</v>
      </c>
      <c r="F1447">
        <v>8</v>
      </c>
      <c r="G1447" t="s">
        <v>39</v>
      </c>
      <c r="H1447">
        <v>249900</v>
      </c>
      <c r="I1447">
        <v>199900</v>
      </c>
      <c r="J1447">
        <v>189900</v>
      </c>
      <c r="K1447">
        <v>249900</v>
      </c>
      <c r="L1447">
        <v>10</v>
      </c>
      <c r="M1447">
        <v>2499000</v>
      </c>
      <c r="N1447" s="19">
        <v>2271818.1818181816</v>
      </c>
      <c r="O1447" s="19">
        <v>1647068.1818181816</v>
      </c>
      <c r="P1447" t="str">
        <f t="shared" si="34"/>
        <v>Ninja Motorized</v>
      </c>
      <c r="Q1447" t="str">
        <f t="shared" si="35"/>
        <v>Trad</v>
      </c>
    </row>
    <row r="1448" spans="1:17" x14ac:dyDescent="0.35">
      <c r="A1448" t="str">
        <f>_xlfn.XLOOKUP(B1448,Mapping!C:C,Mapping!D:D)</f>
        <v>Dept Store</v>
      </c>
      <c r="B1448" t="s">
        <v>167</v>
      </c>
      <c r="C1448" t="s">
        <v>372</v>
      </c>
      <c r="D1448" s="21">
        <v>46237</v>
      </c>
      <c r="E1448" s="21">
        <v>46250</v>
      </c>
      <c r="F1448">
        <v>14</v>
      </c>
      <c r="G1448" t="s">
        <v>27</v>
      </c>
      <c r="H1448">
        <v>329900</v>
      </c>
      <c r="I1448">
        <v>299900</v>
      </c>
      <c r="J1448">
        <v>279900</v>
      </c>
      <c r="K1448">
        <v>329900</v>
      </c>
      <c r="L1448">
        <v>30</v>
      </c>
      <c r="M1448">
        <v>9897000</v>
      </c>
      <c r="N1448" s="19">
        <v>8997272.7272727266</v>
      </c>
      <c r="O1448" s="19">
        <v>6523022.7272727266</v>
      </c>
      <c r="P1448" t="str">
        <f t="shared" si="34"/>
        <v>Ninja Motorized</v>
      </c>
      <c r="Q1448" t="str">
        <f t="shared" si="35"/>
        <v>Trad</v>
      </c>
    </row>
    <row r="1449" spans="1:17" x14ac:dyDescent="0.35">
      <c r="A1449" t="str">
        <f>_xlfn.XLOOKUP(B1449,Mapping!C:C,Mapping!D:D)</f>
        <v>Dept Store</v>
      </c>
      <c r="B1449" t="s">
        <v>167</v>
      </c>
      <c r="C1449" t="s">
        <v>372</v>
      </c>
      <c r="D1449" s="21">
        <v>46251</v>
      </c>
      <c r="E1449" s="21">
        <v>46257</v>
      </c>
      <c r="F1449">
        <v>7</v>
      </c>
      <c r="G1449" t="s">
        <v>27</v>
      </c>
      <c r="H1449">
        <v>329900</v>
      </c>
      <c r="I1449">
        <v>299900</v>
      </c>
      <c r="J1449">
        <v>279900</v>
      </c>
      <c r="K1449">
        <v>299900</v>
      </c>
      <c r="L1449">
        <v>40</v>
      </c>
      <c r="M1449">
        <v>11996000</v>
      </c>
      <c r="N1449" s="19">
        <v>11996363.636363635</v>
      </c>
      <c r="O1449" s="19">
        <v>8697363.6363636348</v>
      </c>
      <c r="P1449" t="str">
        <f t="shared" si="34"/>
        <v>Ninja Motorized</v>
      </c>
      <c r="Q1449" t="str">
        <f t="shared" si="35"/>
        <v>Trad</v>
      </c>
    </row>
    <row r="1450" spans="1:17" x14ac:dyDescent="0.35">
      <c r="A1450" t="str">
        <f>_xlfn.XLOOKUP(B1450,Mapping!C:C,Mapping!D:D)</f>
        <v>Dept Store</v>
      </c>
      <c r="B1450" t="s">
        <v>167</v>
      </c>
      <c r="C1450" t="s">
        <v>372</v>
      </c>
      <c r="D1450" s="21">
        <v>46258</v>
      </c>
      <c r="E1450" s="21">
        <v>46265</v>
      </c>
      <c r="F1450">
        <v>8</v>
      </c>
      <c r="G1450" t="s">
        <v>27</v>
      </c>
      <c r="H1450">
        <v>329900</v>
      </c>
      <c r="I1450">
        <v>299900</v>
      </c>
      <c r="J1450">
        <v>279900</v>
      </c>
      <c r="K1450">
        <v>329900</v>
      </c>
      <c r="L1450">
        <v>15</v>
      </c>
      <c r="M1450">
        <v>4948500</v>
      </c>
      <c r="N1450" s="19">
        <v>4498636.3636363633</v>
      </c>
      <c r="O1450" s="19">
        <v>3261511.3636363633</v>
      </c>
      <c r="P1450" t="str">
        <f t="shared" si="34"/>
        <v>Ninja Motorized</v>
      </c>
      <c r="Q1450" t="str">
        <f t="shared" si="35"/>
        <v>Trad</v>
      </c>
    </row>
    <row r="1451" spans="1:17" x14ac:dyDescent="0.35">
      <c r="A1451" t="str">
        <f>_xlfn.XLOOKUP(B1451,Mapping!C:C,Mapping!D:D)</f>
        <v>Dept Store</v>
      </c>
      <c r="B1451" t="s">
        <v>167</v>
      </c>
      <c r="C1451" t="s">
        <v>372</v>
      </c>
      <c r="D1451" s="21">
        <v>46237</v>
      </c>
      <c r="E1451" s="21">
        <v>46250</v>
      </c>
      <c r="F1451">
        <v>14</v>
      </c>
      <c r="G1451" t="s">
        <v>85</v>
      </c>
      <c r="H1451">
        <v>349900</v>
      </c>
      <c r="I1451">
        <v>319900</v>
      </c>
      <c r="J1451">
        <v>299900</v>
      </c>
      <c r="K1451">
        <v>349900</v>
      </c>
      <c r="L1451">
        <v>20</v>
      </c>
      <c r="M1451">
        <v>6998000</v>
      </c>
      <c r="N1451" s="19">
        <v>6361818.1818181816</v>
      </c>
      <c r="O1451" s="19">
        <v>4612318.1818181816</v>
      </c>
      <c r="P1451" t="str">
        <f t="shared" si="34"/>
        <v>Ninja Motorized</v>
      </c>
      <c r="Q1451" t="str">
        <f t="shared" si="35"/>
        <v>Kitchen</v>
      </c>
    </row>
    <row r="1452" spans="1:17" x14ac:dyDescent="0.35">
      <c r="A1452" t="str">
        <f>_xlfn.XLOOKUP(B1452,Mapping!C:C,Mapping!D:D)</f>
        <v>Dept Store</v>
      </c>
      <c r="B1452" t="s">
        <v>167</v>
      </c>
      <c r="C1452" t="s">
        <v>372</v>
      </c>
      <c r="D1452" s="21">
        <v>46251</v>
      </c>
      <c r="E1452" s="21">
        <v>46257</v>
      </c>
      <c r="F1452">
        <v>7</v>
      </c>
      <c r="G1452" t="s">
        <v>85</v>
      </c>
      <c r="H1452">
        <v>349900</v>
      </c>
      <c r="I1452">
        <v>319900</v>
      </c>
      <c r="J1452">
        <v>299900</v>
      </c>
      <c r="K1452">
        <v>319900</v>
      </c>
      <c r="L1452">
        <v>60</v>
      </c>
      <c r="M1452">
        <v>19194000</v>
      </c>
      <c r="N1452" s="19">
        <v>19085454.545454543</v>
      </c>
      <c r="O1452" s="19">
        <v>13836954.545454543</v>
      </c>
      <c r="P1452" t="str">
        <f t="shared" si="34"/>
        <v>Ninja Motorized</v>
      </c>
      <c r="Q1452" t="str">
        <f t="shared" si="35"/>
        <v>Kitchen</v>
      </c>
    </row>
    <row r="1453" spans="1:17" x14ac:dyDescent="0.35">
      <c r="A1453" t="str">
        <f>_xlfn.XLOOKUP(B1453,Mapping!C:C,Mapping!D:D)</f>
        <v>Dept Store</v>
      </c>
      <c r="B1453" t="s">
        <v>167</v>
      </c>
      <c r="C1453" t="s">
        <v>372</v>
      </c>
      <c r="D1453" s="21">
        <v>46258</v>
      </c>
      <c r="E1453" s="21">
        <v>46265</v>
      </c>
      <c r="F1453">
        <v>8</v>
      </c>
      <c r="G1453" t="s">
        <v>85</v>
      </c>
      <c r="H1453">
        <v>349900</v>
      </c>
      <c r="I1453">
        <v>319900</v>
      </c>
      <c r="J1453">
        <v>299900</v>
      </c>
      <c r="K1453">
        <v>349900</v>
      </c>
      <c r="L1453">
        <v>15</v>
      </c>
      <c r="M1453">
        <v>5248500</v>
      </c>
      <c r="N1453" s="19">
        <v>4771363.6363636358</v>
      </c>
      <c r="O1453" s="19">
        <v>3459238.6363636358</v>
      </c>
      <c r="P1453" t="str">
        <f t="shared" si="34"/>
        <v>Ninja Motorized</v>
      </c>
      <c r="Q1453" t="str">
        <f t="shared" si="35"/>
        <v>Kitchen</v>
      </c>
    </row>
    <row r="1454" spans="1:17" x14ac:dyDescent="0.35">
      <c r="A1454" t="str">
        <f>_xlfn.XLOOKUP(B1454,Mapping!C:C,Mapping!D:D)</f>
        <v>Dept Store</v>
      </c>
      <c r="B1454" t="s">
        <v>167</v>
      </c>
      <c r="C1454" t="s">
        <v>372</v>
      </c>
      <c r="D1454" s="21">
        <v>46237</v>
      </c>
      <c r="E1454" s="21">
        <v>46250</v>
      </c>
      <c r="F1454">
        <v>14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60</v>
      </c>
      <c r="M1454">
        <v>14994000</v>
      </c>
      <c r="N1454" s="19">
        <v>13630909.09090909</v>
      </c>
      <c r="O1454" s="19">
        <v>9882409.0909090899</v>
      </c>
      <c r="P1454" t="str">
        <f t="shared" si="34"/>
        <v>Ninja Heated</v>
      </c>
      <c r="Q1454" t="str">
        <f t="shared" si="35"/>
        <v>Crispi</v>
      </c>
    </row>
    <row r="1455" spans="1:17" x14ac:dyDescent="0.35">
      <c r="A1455" t="str">
        <f>_xlfn.XLOOKUP(B1455,Mapping!C:C,Mapping!D:D)</f>
        <v>Dept Store</v>
      </c>
      <c r="B1455" t="s">
        <v>167</v>
      </c>
      <c r="C1455" t="s">
        <v>372</v>
      </c>
      <c r="D1455" s="21">
        <v>46251</v>
      </c>
      <c r="E1455" s="21">
        <v>46257</v>
      </c>
      <c r="F1455">
        <v>7</v>
      </c>
      <c r="G1455" t="s">
        <v>20</v>
      </c>
      <c r="H1455">
        <v>249900</v>
      </c>
      <c r="I1455">
        <v>219900</v>
      </c>
      <c r="J1455">
        <v>199900</v>
      </c>
      <c r="K1455">
        <v>219900</v>
      </c>
      <c r="L1455">
        <v>150</v>
      </c>
      <c r="M1455">
        <v>32985000</v>
      </c>
      <c r="N1455" s="19">
        <v>34077272.727272727</v>
      </c>
      <c r="O1455" s="19">
        <v>24706022.727272727</v>
      </c>
      <c r="P1455" t="str">
        <f t="shared" si="34"/>
        <v>Ninja Heated</v>
      </c>
      <c r="Q1455" t="str">
        <f t="shared" si="35"/>
        <v>Crispi</v>
      </c>
    </row>
    <row r="1456" spans="1:17" x14ac:dyDescent="0.35">
      <c r="A1456" t="str">
        <f>_xlfn.XLOOKUP(B1456,Mapping!C:C,Mapping!D:D)</f>
        <v>Dept Store</v>
      </c>
      <c r="B1456" t="s">
        <v>167</v>
      </c>
      <c r="C1456" t="s">
        <v>372</v>
      </c>
      <c r="D1456" s="21">
        <v>46258</v>
      </c>
      <c r="E1456" s="21">
        <v>46265</v>
      </c>
      <c r="F1456">
        <v>8</v>
      </c>
      <c r="G1456" t="s">
        <v>20</v>
      </c>
      <c r="H1456">
        <v>249900</v>
      </c>
      <c r="I1456">
        <v>219900</v>
      </c>
      <c r="J1456">
        <v>199900</v>
      </c>
      <c r="K1456">
        <v>219900</v>
      </c>
      <c r="L1456">
        <v>30</v>
      </c>
      <c r="M1456">
        <v>6597000</v>
      </c>
      <c r="N1456" s="19">
        <v>6815454.5454545449</v>
      </c>
      <c r="O1456" s="19">
        <v>4941204.5454545449</v>
      </c>
      <c r="P1456" t="str">
        <f t="shared" si="34"/>
        <v>Ninja Heated</v>
      </c>
      <c r="Q1456" t="str">
        <f t="shared" si="35"/>
        <v>Crispi</v>
      </c>
    </row>
    <row r="1457" spans="1:17" x14ac:dyDescent="0.35">
      <c r="A1457" t="str">
        <f>_xlfn.XLOOKUP(B1457,Mapping!C:C,Mapping!D:D)</f>
        <v>Dept Store</v>
      </c>
      <c r="B1457" t="s">
        <v>167</v>
      </c>
      <c r="C1457" t="s">
        <v>372</v>
      </c>
      <c r="D1457" s="21">
        <v>46237</v>
      </c>
      <c r="E1457" s="21">
        <v>46265</v>
      </c>
      <c r="F1457">
        <v>29</v>
      </c>
      <c r="G1457" t="s">
        <v>66</v>
      </c>
      <c r="H1457">
        <v>249900</v>
      </c>
      <c r="I1457">
        <v>229900</v>
      </c>
      <c r="J1457">
        <v>199900</v>
      </c>
      <c r="K1457">
        <v>249900</v>
      </c>
      <c r="L1457">
        <v>30</v>
      </c>
      <c r="M1457">
        <v>7497000</v>
      </c>
      <c r="N1457" s="19">
        <v>5451818.1818181816</v>
      </c>
      <c r="O1457" s="19">
        <v>3952568.1818181816</v>
      </c>
      <c r="P1457" t="str">
        <f t="shared" si="34"/>
        <v>Ninja Motorized</v>
      </c>
      <c r="Q1457" t="str">
        <f t="shared" si="35"/>
        <v>Portable</v>
      </c>
    </row>
    <row r="1458" spans="1:17" x14ac:dyDescent="0.35">
      <c r="A1458" t="str">
        <f>_xlfn.XLOOKUP(B1458,Mapping!C:C,Mapping!D:D)</f>
        <v>Dept Store</v>
      </c>
      <c r="B1458" t="s">
        <v>167</v>
      </c>
      <c r="C1458" t="s">
        <v>372</v>
      </c>
      <c r="D1458" s="21">
        <v>46237</v>
      </c>
      <c r="E1458" s="21">
        <v>46265</v>
      </c>
      <c r="F1458">
        <v>29</v>
      </c>
      <c r="G1458" t="s">
        <v>65</v>
      </c>
      <c r="H1458">
        <v>249900</v>
      </c>
      <c r="I1458">
        <v>229900</v>
      </c>
      <c r="J1458">
        <v>199900</v>
      </c>
      <c r="K1458">
        <v>249900</v>
      </c>
      <c r="L1458">
        <v>35</v>
      </c>
      <c r="M1458">
        <v>8746500</v>
      </c>
      <c r="N1458" s="19">
        <v>6360454.5454545449</v>
      </c>
      <c r="O1458" s="19">
        <v>4611329.5454545449</v>
      </c>
      <c r="P1458" t="str">
        <f t="shared" si="34"/>
        <v>Ninja Motorized</v>
      </c>
      <c r="Q1458" t="str">
        <f t="shared" si="35"/>
        <v>Portable</v>
      </c>
    </row>
    <row r="1459" spans="1:17" x14ac:dyDescent="0.35">
      <c r="A1459" t="str">
        <f>_xlfn.XLOOKUP(B1459,Mapping!C:C,Mapping!D:D)</f>
        <v>Dept Store</v>
      </c>
      <c r="B1459" t="s">
        <v>167</v>
      </c>
      <c r="C1459" t="s">
        <v>372</v>
      </c>
      <c r="D1459" s="21">
        <v>46237</v>
      </c>
      <c r="E1459" s="21">
        <v>46250</v>
      </c>
      <c r="F1459">
        <v>14</v>
      </c>
      <c r="G1459" t="s">
        <v>20</v>
      </c>
      <c r="H1459">
        <v>249900</v>
      </c>
      <c r="I1459">
        <v>219900</v>
      </c>
      <c r="J1459">
        <v>199900</v>
      </c>
      <c r="K1459">
        <v>249900</v>
      </c>
      <c r="L1459">
        <v>60</v>
      </c>
      <c r="M1459">
        <v>14994000</v>
      </c>
      <c r="N1459" s="19">
        <v>13630909.09090909</v>
      </c>
      <c r="O1459" s="19">
        <v>9882409.0909090899</v>
      </c>
      <c r="P1459" t="str">
        <f t="shared" si="34"/>
        <v>Ninja Heated</v>
      </c>
      <c r="Q1459" t="str">
        <f t="shared" si="35"/>
        <v>Crispi</v>
      </c>
    </row>
    <row r="1460" spans="1:17" x14ac:dyDescent="0.35">
      <c r="A1460" t="str">
        <f>_xlfn.XLOOKUP(B1460,Mapping!C:C,Mapping!D:D)</f>
        <v>Dept Store</v>
      </c>
      <c r="B1460" t="s">
        <v>167</v>
      </c>
      <c r="C1460" t="s">
        <v>372</v>
      </c>
      <c r="D1460" s="21">
        <v>46251</v>
      </c>
      <c r="E1460" s="21">
        <v>46257</v>
      </c>
      <c r="F1460">
        <v>7</v>
      </c>
      <c r="G1460" t="s">
        <v>20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34077272.727272727</v>
      </c>
      <c r="O1460" s="19">
        <v>24706022.727272727</v>
      </c>
      <c r="P1460" t="str">
        <f t="shared" si="34"/>
        <v>Ninja Heated</v>
      </c>
      <c r="Q1460" t="str">
        <f t="shared" si="35"/>
        <v>Crispi</v>
      </c>
    </row>
    <row r="1461" spans="1:17" x14ac:dyDescent="0.35">
      <c r="A1461" t="str">
        <f>_xlfn.XLOOKUP(B1461,Mapping!C:C,Mapping!D:D)</f>
        <v>Dept Store</v>
      </c>
      <c r="B1461" t="s">
        <v>167</v>
      </c>
      <c r="C1461" t="s">
        <v>372</v>
      </c>
      <c r="D1461" s="21">
        <v>46258</v>
      </c>
      <c r="E1461" s="21">
        <v>46265</v>
      </c>
      <c r="F1461">
        <v>8</v>
      </c>
      <c r="G1461" t="s">
        <v>20</v>
      </c>
      <c r="H1461">
        <v>249900</v>
      </c>
      <c r="I1461">
        <v>219900</v>
      </c>
      <c r="J1461">
        <v>199900</v>
      </c>
      <c r="K1461">
        <v>249900</v>
      </c>
      <c r="L1461">
        <v>30</v>
      </c>
      <c r="M1461">
        <v>7497000</v>
      </c>
      <c r="N1461" s="19">
        <v>6815454.5454545449</v>
      </c>
      <c r="O1461" s="19">
        <v>4941204.5454545449</v>
      </c>
      <c r="P1461" t="str">
        <f t="shared" si="34"/>
        <v>Ninja Heated</v>
      </c>
      <c r="Q1461" t="str">
        <f t="shared" si="35"/>
        <v>Crispi</v>
      </c>
    </row>
    <row r="1462" spans="1:17" x14ac:dyDescent="0.35">
      <c r="A1462" t="str">
        <f>_xlfn.XLOOKUP(B1462,Mapping!C:C,Mapping!D:D)</f>
        <v>Dept Store</v>
      </c>
      <c r="B1462" t="s">
        <v>167</v>
      </c>
      <c r="C1462" t="s">
        <v>372</v>
      </c>
      <c r="D1462" s="21">
        <v>46237</v>
      </c>
      <c r="E1462" s="21">
        <v>46250</v>
      </c>
      <c r="F1462">
        <v>14</v>
      </c>
      <c r="G1462" t="s">
        <v>38</v>
      </c>
      <c r="H1462">
        <v>429900</v>
      </c>
      <c r="I1462">
        <v>399900</v>
      </c>
      <c r="J1462">
        <v>349900</v>
      </c>
      <c r="K1462">
        <v>429900</v>
      </c>
      <c r="L1462">
        <v>10</v>
      </c>
      <c r="M1462">
        <v>4299000</v>
      </c>
      <c r="N1462" s="19">
        <v>3908181.8181818174</v>
      </c>
      <c r="O1462" s="19">
        <v>2833431.8181818174</v>
      </c>
      <c r="P1462" t="str">
        <f t="shared" si="34"/>
        <v>Ninja Heated</v>
      </c>
      <c r="Q1462" t="str">
        <f t="shared" si="35"/>
        <v>Grill</v>
      </c>
    </row>
    <row r="1463" spans="1:17" x14ac:dyDescent="0.35">
      <c r="A1463" t="str">
        <f>_xlfn.XLOOKUP(B1463,Mapping!C:C,Mapping!D:D)</f>
        <v>Dept Store</v>
      </c>
      <c r="B1463" t="s">
        <v>167</v>
      </c>
      <c r="C1463" t="s">
        <v>372</v>
      </c>
      <c r="D1463" s="21">
        <v>46251</v>
      </c>
      <c r="E1463" s="21">
        <v>46257</v>
      </c>
      <c r="F1463">
        <v>7</v>
      </c>
      <c r="G1463" t="s">
        <v>38</v>
      </c>
      <c r="H1463">
        <v>429900</v>
      </c>
      <c r="I1463">
        <v>399900</v>
      </c>
      <c r="J1463">
        <v>349900</v>
      </c>
      <c r="K1463">
        <v>369900</v>
      </c>
      <c r="L1463">
        <v>20</v>
      </c>
      <c r="M1463">
        <v>7398000</v>
      </c>
      <c r="N1463" s="19">
        <v>7816363.6363636348</v>
      </c>
      <c r="O1463" s="19">
        <v>5666863.6363636348</v>
      </c>
      <c r="P1463" t="str">
        <f t="shared" si="34"/>
        <v>Ninja Heated</v>
      </c>
      <c r="Q1463" t="str">
        <f t="shared" si="35"/>
        <v>Grill</v>
      </c>
    </row>
    <row r="1464" spans="1:17" x14ac:dyDescent="0.35">
      <c r="A1464" t="str">
        <f>_xlfn.XLOOKUP(B1464,Mapping!C:C,Mapping!D:D)</f>
        <v>Dept Store</v>
      </c>
      <c r="B1464" t="s">
        <v>167</v>
      </c>
      <c r="C1464" t="s">
        <v>372</v>
      </c>
      <c r="D1464" s="21">
        <v>46258</v>
      </c>
      <c r="E1464" s="21">
        <v>46265</v>
      </c>
      <c r="F1464">
        <v>8</v>
      </c>
      <c r="G1464" t="s">
        <v>38</v>
      </c>
      <c r="H1464">
        <v>429900</v>
      </c>
      <c r="I1464">
        <v>399900</v>
      </c>
      <c r="J1464">
        <v>349900</v>
      </c>
      <c r="K1464">
        <v>429900</v>
      </c>
      <c r="L1464">
        <v>5</v>
      </c>
      <c r="M1464">
        <v>2149500</v>
      </c>
      <c r="N1464" s="19">
        <v>1954090.9090909087</v>
      </c>
      <c r="O1464" s="19">
        <v>1416715.9090909087</v>
      </c>
      <c r="P1464" t="str">
        <f t="shared" si="34"/>
        <v>Ninja Heated</v>
      </c>
      <c r="Q1464" t="str">
        <f t="shared" si="35"/>
        <v>Grill</v>
      </c>
    </row>
    <row r="1465" spans="1:17" x14ac:dyDescent="0.35">
      <c r="A1465" t="str">
        <f>_xlfn.XLOOKUP(B1465,Mapping!C:C,Mapping!D:D)</f>
        <v>Dept Store</v>
      </c>
      <c r="B1465" t="s">
        <v>167</v>
      </c>
      <c r="C1465" t="s">
        <v>372</v>
      </c>
      <c r="D1465" s="21">
        <v>46237</v>
      </c>
      <c r="E1465" s="21">
        <v>46250</v>
      </c>
      <c r="F1465">
        <v>14</v>
      </c>
      <c r="G1465" t="s">
        <v>106</v>
      </c>
      <c r="H1465">
        <v>399900</v>
      </c>
      <c r="I1465">
        <v>349900</v>
      </c>
      <c r="J1465">
        <v>299900</v>
      </c>
      <c r="K1465">
        <v>399900</v>
      </c>
      <c r="L1465">
        <v>10</v>
      </c>
      <c r="M1465">
        <v>3999000</v>
      </c>
      <c r="N1465" s="19">
        <v>3635454.5454545454</v>
      </c>
      <c r="O1465" s="19">
        <v>2635704.5454545454</v>
      </c>
      <c r="P1465" t="str">
        <f t="shared" si="34"/>
        <v>Ninja Heated</v>
      </c>
      <c r="Q1465" t="str">
        <f t="shared" si="35"/>
        <v>Combi</v>
      </c>
    </row>
    <row r="1466" spans="1:17" x14ac:dyDescent="0.35">
      <c r="A1466" t="str">
        <f>_xlfn.XLOOKUP(B1466,Mapping!C:C,Mapping!D:D)</f>
        <v>Dept Store</v>
      </c>
      <c r="B1466" t="s">
        <v>167</v>
      </c>
      <c r="C1466" t="s">
        <v>372</v>
      </c>
      <c r="D1466" s="21">
        <v>46251</v>
      </c>
      <c r="E1466" s="21">
        <v>46257</v>
      </c>
      <c r="F1466">
        <v>7</v>
      </c>
      <c r="G1466" t="s">
        <v>106</v>
      </c>
      <c r="H1466">
        <v>399900</v>
      </c>
      <c r="I1466">
        <v>349900</v>
      </c>
      <c r="J1466">
        <v>299900</v>
      </c>
      <c r="K1466">
        <v>299900</v>
      </c>
      <c r="L1466">
        <v>10</v>
      </c>
      <c r="M1466">
        <v>2999000</v>
      </c>
      <c r="N1466" s="19">
        <v>3635454.5454545454</v>
      </c>
      <c r="O1466" s="19">
        <v>3635454.5454545454</v>
      </c>
      <c r="P1466" t="str">
        <f t="shared" si="34"/>
        <v>Ninja Heated</v>
      </c>
      <c r="Q1466" t="str">
        <f t="shared" si="35"/>
        <v>Combi</v>
      </c>
    </row>
    <row r="1467" spans="1:17" x14ac:dyDescent="0.35">
      <c r="A1467" t="str">
        <f>_xlfn.XLOOKUP(B1467,Mapping!C:C,Mapping!D:D)</f>
        <v>Dept Store</v>
      </c>
      <c r="B1467" t="s">
        <v>167</v>
      </c>
      <c r="C1467" t="s">
        <v>372</v>
      </c>
      <c r="D1467" s="21">
        <v>46258</v>
      </c>
      <c r="E1467" s="21">
        <v>46265</v>
      </c>
      <c r="F1467">
        <v>8</v>
      </c>
      <c r="G1467" t="s">
        <v>106</v>
      </c>
      <c r="H1467">
        <v>399900</v>
      </c>
      <c r="I1467">
        <v>349900</v>
      </c>
      <c r="J1467">
        <v>299900</v>
      </c>
      <c r="K1467">
        <v>399900</v>
      </c>
      <c r="L1467">
        <v>5</v>
      </c>
      <c r="M1467">
        <v>1999500</v>
      </c>
      <c r="N1467" s="19">
        <v>1817727.2727272727</v>
      </c>
      <c r="O1467" s="19">
        <v>1817727.2727272727</v>
      </c>
      <c r="P1467" t="str">
        <f t="shared" si="34"/>
        <v>Ninja Heated</v>
      </c>
      <c r="Q1467" t="str">
        <f t="shared" si="35"/>
        <v>Combi</v>
      </c>
    </row>
  </sheetData>
  <autoFilter ref="A1:Q1417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19010"/>
  <sheetViews>
    <sheetView zoomScaleNormal="100" workbookViewId="0">
      <selection activeCell="B10" sqref="B10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175</v>
      </c>
      <c r="B1" s="16" t="s">
        <v>1</v>
      </c>
      <c r="C1" s="14" t="s">
        <v>5</v>
      </c>
      <c r="D1" s="14" t="s">
        <v>262</v>
      </c>
      <c r="E1" s="14" t="s">
        <v>263</v>
      </c>
    </row>
    <row r="2" spans="1:13" x14ac:dyDescent="0.35">
      <c r="A2" s="3">
        <v>46174</v>
      </c>
      <c r="B2" s="5" t="s">
        <v>237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238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238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238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238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238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238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238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238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238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238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238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238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238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238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238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238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237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237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237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237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237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238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238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238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238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238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237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239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238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238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238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238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238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238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238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237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237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238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238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237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237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237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237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237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238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238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238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237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238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238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238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238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238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238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238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238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237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237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238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238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237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238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238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238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238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238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238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237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237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237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237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237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237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237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238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238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238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238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238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237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238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238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237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237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237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237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238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238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238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240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238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241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241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237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238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238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241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237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237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237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241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237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237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237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237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237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237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238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238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237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237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237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237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237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238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238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241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237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241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237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237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237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237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240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237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237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237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237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237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237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241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237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241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237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237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237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238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238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238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238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237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237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237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238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238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238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238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238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238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241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241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237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237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238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238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241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241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237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241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237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241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237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241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237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237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241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241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241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237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241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237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237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237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237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241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237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238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238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238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238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237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238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238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241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241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241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237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241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241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237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237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237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237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237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237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241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237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237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237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237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237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237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237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237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237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237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240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237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241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237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241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241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237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238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237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237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237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241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241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241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237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241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241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241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242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237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237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237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237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238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241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241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237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237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237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241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241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241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237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237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241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243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241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237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237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237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237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241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237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237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237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241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241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237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241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237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237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237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241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241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238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241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237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241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237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241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242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237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237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241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241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237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241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237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241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241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241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241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237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242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237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241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237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241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238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237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241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237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237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237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241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241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237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241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241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241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241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237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241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237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237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241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241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241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241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244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241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237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241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241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241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241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241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241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241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237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237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241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237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241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237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237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237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242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237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241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237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241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241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241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237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241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241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237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237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243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241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241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237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241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241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237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237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241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241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242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243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243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242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242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244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245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243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237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241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237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242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241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241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241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241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241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241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237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241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243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241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241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237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237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237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237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241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241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241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244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244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237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241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241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237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241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243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241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241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246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241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237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242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237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244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244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244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244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244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237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241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237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237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241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241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244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245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237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243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237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237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241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241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241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242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244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245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245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244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237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241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242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241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243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237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244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237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241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241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237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244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244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245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237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241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237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244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244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244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244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241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242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237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243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244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242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237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237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243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243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244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244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237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242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244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244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244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244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244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241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243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244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244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244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244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244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237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244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244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244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243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241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244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244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243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237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244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244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244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245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241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244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244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244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244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244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244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244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244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247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247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247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247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247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247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247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248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244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244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249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247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247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247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248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247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247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248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248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244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244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247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250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238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238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248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248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244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247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248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244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244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237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238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244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244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244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244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244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238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248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248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244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244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244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244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244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244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244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244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244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244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245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248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238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247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247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247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247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244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247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247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244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243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243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243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247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251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244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247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247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247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243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243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244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244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244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244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243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243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243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247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243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243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238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244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244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244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244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243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243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243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243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244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247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244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244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244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244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244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244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244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247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243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244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244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244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245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244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244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244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244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247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243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243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238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238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244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244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244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244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244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244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244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247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244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244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244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244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244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244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243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243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247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252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247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247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243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241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244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243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247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244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244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253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245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254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244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244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243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243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247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241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247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244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247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247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247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243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243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243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243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247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247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247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247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247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243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243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247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244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253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247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243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247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237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247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243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247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247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247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247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247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243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247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247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244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244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245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245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255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255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255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255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255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255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243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255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255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255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255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255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255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255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244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244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244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255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255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255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244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255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255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255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255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255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255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255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255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255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255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255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255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255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255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255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255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255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244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255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255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255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255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255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255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255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255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244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255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255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255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255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256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255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244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255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255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255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255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255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255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255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255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255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255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244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244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255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255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255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255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255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255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255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255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255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255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257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244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244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244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258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247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241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245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240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244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257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257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244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244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244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244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244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244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244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244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245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244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244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244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244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244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244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244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244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244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244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244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244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244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244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244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244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244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244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244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244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244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244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244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244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244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244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244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244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244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244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244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244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244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244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244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247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243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244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244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258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244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244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244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244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244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244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244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244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244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244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244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244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259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259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259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259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259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244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244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259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259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259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259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259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259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259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259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244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259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259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259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259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259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259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244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244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259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259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259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259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259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259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259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259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259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259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259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259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259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259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259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259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259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259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259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244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245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259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259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259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259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259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259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259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259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259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259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259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259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259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259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259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259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259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259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259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259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259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259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259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259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259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259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259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259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259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259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259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259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259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259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259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259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259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259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259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259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259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259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259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259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259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259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259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259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259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259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259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259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259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259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259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259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259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259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259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244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259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259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259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259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259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259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259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259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259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259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259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259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259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259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259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259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259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244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244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259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259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259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259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259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259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259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259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259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244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259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259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259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259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259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259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259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259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259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259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244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244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259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259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259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259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259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259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259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244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259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259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259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259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259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259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259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259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259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259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259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259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259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259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259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259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259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259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259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244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244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259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259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259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259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259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259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259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259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259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259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259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244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259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259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259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259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259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259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259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259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259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259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259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259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259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259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259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259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259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259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259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259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259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259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259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259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259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259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259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259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259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259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259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259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259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259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259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259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259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259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259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244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244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259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259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259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259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259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259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259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259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259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259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259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259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259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259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259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259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244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244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259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259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259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259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259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259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259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244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244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259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259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259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259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259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259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259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259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259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259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259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259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259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259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259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259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259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259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259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259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259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244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259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259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259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259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259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259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259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259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259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259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259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259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259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259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259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259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259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259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259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259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259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259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259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259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244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259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259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259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259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259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259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259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259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259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259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259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259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259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259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259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259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259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259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259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259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259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259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259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259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259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259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259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259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259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259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259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259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259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259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259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259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259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259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259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259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259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259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259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259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259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259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244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259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259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259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259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259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259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259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259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259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259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259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259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259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259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259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259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259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259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259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259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259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259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259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259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259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259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259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259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259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259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259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259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259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259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259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259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259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259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259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259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259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259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259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259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259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259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259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259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259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259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259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259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259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244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259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259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259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259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259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259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259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259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259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259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244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259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259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259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259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259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259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259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259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259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259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259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259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259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244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259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259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259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259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259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259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259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259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259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259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259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259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259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259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259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259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259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259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259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259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259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259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259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259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259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259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259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259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259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259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259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259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259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259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259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259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259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259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259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259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259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259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259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259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259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259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259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259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259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244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259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259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259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259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259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259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259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259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259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259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259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259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259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259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259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259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259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259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259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259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259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259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259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259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259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259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259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259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259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259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259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259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244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259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259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259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259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259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259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259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259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259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259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259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259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259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245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259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259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259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259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259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259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259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259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259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259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244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259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259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259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259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259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259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259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259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259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259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259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259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259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259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259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259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259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259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259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259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259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259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259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259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259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259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259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259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259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259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259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259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259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244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259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259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259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259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259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259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259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259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259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259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259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259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259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259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244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259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259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259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259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259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259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259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259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259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259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259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259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259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259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259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259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259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244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259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259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259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259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259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259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259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259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259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259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259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259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259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259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259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259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259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259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259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259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259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244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245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259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259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259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259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259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259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244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244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259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259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259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259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259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259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259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259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259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259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259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259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244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244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259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259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259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259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259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259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259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259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259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259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244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244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259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259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259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259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259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259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259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259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259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259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259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259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259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244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259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259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259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259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259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259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259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259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259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259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259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259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259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259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259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259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259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259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259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259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259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259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259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259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259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259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259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259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259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259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259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259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259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259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259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259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259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244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259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259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259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259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259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259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259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259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259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259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259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244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259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244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243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244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243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245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244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259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260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259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244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244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243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258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244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244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244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259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244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259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244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244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244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244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243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259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243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243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244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244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245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259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244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260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244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260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261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241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241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241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241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241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241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241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261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261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261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261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261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261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241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241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241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241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241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241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241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261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261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261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244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241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241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241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241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241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241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241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241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243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241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241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241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241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241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241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241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241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241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241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241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241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241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241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261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261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261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261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244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243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241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241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241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241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241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241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241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241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241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241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241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241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241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241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241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241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241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241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241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241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241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241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241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241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241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241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241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241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261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261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261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261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261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261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261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261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261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241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241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241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241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241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241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241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241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241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261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261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261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244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241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241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241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241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241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241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261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243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241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241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241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241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241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241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241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261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261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261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241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241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241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241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241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241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241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241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261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261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261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244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241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241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241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241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241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241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241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241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261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241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241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241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241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241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261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261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241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241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241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261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261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261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261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241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241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241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241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241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241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241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241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261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261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261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241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241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241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241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241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241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241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261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241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241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241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241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241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241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241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241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241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241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244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241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241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243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241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241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241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241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241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241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241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241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241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241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241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241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261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241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241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241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241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241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241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241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241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241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241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241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241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241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241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241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241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241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241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241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241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241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261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241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241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241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241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241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241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241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241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241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261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261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261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241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241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241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241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241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241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261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261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261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261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261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261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261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244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241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241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241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241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241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241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241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241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243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241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241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241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241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241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241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241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241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261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241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241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241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241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241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261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261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261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241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241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241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241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241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241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241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244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241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241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241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241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241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241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241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241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241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241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261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261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261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261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241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241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241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241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241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241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241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261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243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241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241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241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241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241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241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261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241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241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241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241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241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241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241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241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241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241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241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241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241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241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241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241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241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241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241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241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241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261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261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241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241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241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241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241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241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261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261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261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241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241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241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241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241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241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241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241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261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261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261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241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241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241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241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241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241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241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241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241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241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241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261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261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261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261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261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261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241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241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241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241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241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241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241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241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241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261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261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261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241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241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241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241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241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241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241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241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241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241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241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241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241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241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261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261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261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241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261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261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261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244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244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244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243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241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241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261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261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241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261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261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261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261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241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261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261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261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241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241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261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261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261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261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241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241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261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261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261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261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261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261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241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261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261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261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241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241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241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241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243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243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241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261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261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241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238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243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261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261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241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241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241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241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261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261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261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261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261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261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241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261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245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241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261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261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261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261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261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261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261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241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241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243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243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241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243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241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241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241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238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261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261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261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261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244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244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261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261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261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261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261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261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261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261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243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261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261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241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270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270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270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270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270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270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270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241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241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270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270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270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270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270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270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261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270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270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243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279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270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270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270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270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270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270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270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270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270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270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270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270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270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270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261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241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270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270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241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241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270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270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241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241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270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270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270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270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270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270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261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270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241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270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270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241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243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270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270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270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270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270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270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270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270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270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241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270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270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270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270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270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243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243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242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270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270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258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241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270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270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270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270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270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270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270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270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270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270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270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270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270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243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241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270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270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241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241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270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270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270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270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270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270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270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270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270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270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270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270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270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241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241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270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270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241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241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270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270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270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270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270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270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270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270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261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244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244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244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244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244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244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252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244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244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244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244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244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244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252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244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244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252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244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244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244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276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276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243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276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276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276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261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244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244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244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276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276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276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276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276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241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243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261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276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276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276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276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276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276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276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241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241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261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261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276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276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276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276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276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276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276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243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241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261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244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244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244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244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244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276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276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276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276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276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276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276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241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276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276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276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276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276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241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243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261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244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244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244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244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276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276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276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241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276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276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244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244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244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244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244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245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244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244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276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276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276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276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276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276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276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261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261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270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276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276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276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276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276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276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276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276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245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276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276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276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276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276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276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243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276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276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276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276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276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252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261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244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276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276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243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276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241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276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241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244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276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276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261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244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244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276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276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276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276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276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241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261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244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244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270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243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276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276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276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276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276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243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241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261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244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244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244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244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244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244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276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276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276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276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276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276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276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238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244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244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244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244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276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276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276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276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243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276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276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276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276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276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261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261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261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244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244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276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276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243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276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276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276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276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276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276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261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244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244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244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245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276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276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276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276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241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241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261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276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276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276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276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241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241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244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244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276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276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276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276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276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276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276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276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276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276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241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237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237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241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241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244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276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237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237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237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241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241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237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241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268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241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237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241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237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243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241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237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268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268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268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241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268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241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237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268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268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268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268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268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268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268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268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237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268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268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237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241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241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237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237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241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241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237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241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241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237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237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237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243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241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268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268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244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237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237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237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268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237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241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241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241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268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268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237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237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237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241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241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276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268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268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237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243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237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237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268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244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268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237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241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237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276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237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276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241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241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241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244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244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237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237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237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241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244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237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241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268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244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237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237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243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268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276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241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243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237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260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268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268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268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243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243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244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244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268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268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268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268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244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276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237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237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268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241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237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241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237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237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237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241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241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268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268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241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237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237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237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237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237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237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241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244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237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237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237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237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241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268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237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241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241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276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243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241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241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237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243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237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241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244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237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237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268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268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268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241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241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241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237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237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237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268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243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241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268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237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241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237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237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268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268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241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241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237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243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260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237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237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241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241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241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241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237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268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241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268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237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237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241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244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244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268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237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268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237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241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268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241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237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237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237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276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243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237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237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268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237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241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266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237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266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266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266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244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266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268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237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266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268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266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237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266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266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266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268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266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266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266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266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266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268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266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266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266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266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266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266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244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244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241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276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268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266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266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266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266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266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266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266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266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266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266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266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266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266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237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237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268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237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266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266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244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268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266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266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266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266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266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266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266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266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237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237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266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268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268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266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243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266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266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266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266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266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266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237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268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266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237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268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266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266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266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266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266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266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266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266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244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285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276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266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266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266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266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266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266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266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266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266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266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244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243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266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266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266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266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266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266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266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241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268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266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266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266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266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266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266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266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266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237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268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266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266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266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266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266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266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266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266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266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266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266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266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266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266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276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266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266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266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266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266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266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266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266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266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266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241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285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268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243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266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266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266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266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268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237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266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266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266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237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266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266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244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266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266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266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266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266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266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241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266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266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266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266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266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266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266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266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268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237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266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266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266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266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266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266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266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266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266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237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268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266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266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266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237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266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268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266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276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266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237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268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266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237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266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266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237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243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241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241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268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266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266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244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244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266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266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266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266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266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266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266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243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238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238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238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238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238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238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244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244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243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286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268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243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237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268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268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266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238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266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266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238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266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266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238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238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238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238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238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238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243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268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276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268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268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238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238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238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238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238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238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238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238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238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238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238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238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238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243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243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243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243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266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238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238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266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238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266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238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238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238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238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266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238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238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238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238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244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243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268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243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243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286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243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243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268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243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266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238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238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266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266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266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266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238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238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238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266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238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238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238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244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268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286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268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243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243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237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268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268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237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237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266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266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266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238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238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238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238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259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238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238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244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244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276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268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238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238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238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266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238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238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238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238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238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238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238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244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244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244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237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237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237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268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268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268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237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238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238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266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238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238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238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238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238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238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238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238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238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238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244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243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243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243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237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268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268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238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238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238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238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238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238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238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238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238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238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238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237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237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286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237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268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286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268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268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243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266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266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238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266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266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266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266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238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238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238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238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238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238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243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243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268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238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238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238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238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238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238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238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238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238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238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238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238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238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243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243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243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286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243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268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268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268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238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266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266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266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266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266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266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266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238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238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238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238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238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238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243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237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268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238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238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238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238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266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238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238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238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238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238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238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238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266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244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286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243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237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237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237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268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266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266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238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266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238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266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238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238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238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238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238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238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238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238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244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244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276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243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243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243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243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243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243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237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243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268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268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268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238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266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238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238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238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238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238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238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238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244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244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243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268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268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268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237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237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268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268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237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238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266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238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238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238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238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238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238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238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238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238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244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286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268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268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286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238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286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237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286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268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286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268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243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266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238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244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244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286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286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243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243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286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243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243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243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266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266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266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266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266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268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268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266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238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286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286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286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268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243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268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243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243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266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244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286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268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268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286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243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268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268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286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286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286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268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243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266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238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238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243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243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243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286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243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286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286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243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266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266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266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266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266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244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244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268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268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268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243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238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266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266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244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268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268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268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243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268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268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268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238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244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266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273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273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273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332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243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332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332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332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312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266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266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273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273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273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273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273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273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273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273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273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244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332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332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332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266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273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273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273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273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266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273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273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273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273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244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273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273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273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273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273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273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273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243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332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243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312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273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266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273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273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273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332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332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332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312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266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266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266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273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273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273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273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332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332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332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241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312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266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266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266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266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273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266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273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273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273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244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243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273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273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273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273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273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273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273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273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273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244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332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332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273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266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273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273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273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273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312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312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243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243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273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273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273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273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273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273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243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273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273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273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273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332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312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332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312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332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241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273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273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273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273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273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273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273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266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273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244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243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332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273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273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273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273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273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266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273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273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273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244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332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273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273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273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273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273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273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273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273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273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273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273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332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332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332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332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332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332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266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273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273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273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273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273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273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273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273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244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332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243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332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266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273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273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273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266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332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243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312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273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273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273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244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312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266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273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273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273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273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332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332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243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273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273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273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273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273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273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273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273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273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273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332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332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332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273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273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273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273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273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273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273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244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332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332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332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332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332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243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273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266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273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273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273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273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273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273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273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266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273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332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332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312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332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312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266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273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266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273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273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273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273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266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273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273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273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273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243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266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332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332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332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243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266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266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266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266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266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266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266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241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332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266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266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266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266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266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266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266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266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243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243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332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243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243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266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266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266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266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332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243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332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312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266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266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244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332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332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332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266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266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266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266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266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266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266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266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244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332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332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332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332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332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266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266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266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244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244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332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243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332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266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266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266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332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312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266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266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266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266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266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266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266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266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332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273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273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332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243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273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273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266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273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266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244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243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332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332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312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332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266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266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273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273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266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266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273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273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266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266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266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266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244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244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332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266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273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273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273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266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273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244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244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332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332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332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332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332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332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273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273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273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273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332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273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273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244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332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273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273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273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244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243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273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273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332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244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332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312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273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273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312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273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332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332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312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273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243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312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273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273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273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273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273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273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273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244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312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273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273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273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273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273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273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273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312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273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332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332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273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332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273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273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273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273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243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332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244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312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332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273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273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273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273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266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332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273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273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243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241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273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244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273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273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332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332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332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332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273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273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273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312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332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273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312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273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273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273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244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332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273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244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273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273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273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332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312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332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312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273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243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273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273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273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273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244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332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273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273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273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273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273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244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273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273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273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244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244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241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273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273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273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332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312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273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273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273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332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332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273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312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273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244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332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332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332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332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244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332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332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243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244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243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243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332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332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332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332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332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312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332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332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241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244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244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244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244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332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332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244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243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243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332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332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332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243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312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244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244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243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243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332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332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244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244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332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332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332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332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243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332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244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332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332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243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244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332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312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332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332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244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332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244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244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332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332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243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332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243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332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244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244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332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332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243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243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332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243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244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241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312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332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243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252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252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244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244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252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252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252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252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252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244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252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252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332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252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252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252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243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252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252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243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252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252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252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252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252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243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332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243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252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252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252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252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252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243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272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252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252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252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252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252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252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244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252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252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252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252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252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252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252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252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252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252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252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238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252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252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332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252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252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252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252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252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252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243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252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252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252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272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252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252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252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252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244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252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252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252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252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252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243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252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252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252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252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252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252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252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252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252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252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252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252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244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252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252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252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252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252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252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332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243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243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252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252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244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252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252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252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252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243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252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252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252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243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272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243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252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252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252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332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252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252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252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252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252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252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243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252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252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252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252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252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252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252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252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252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252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252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332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243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252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252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252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252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252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266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252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252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252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244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252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252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244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252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252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252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252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252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252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252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252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252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252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252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252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252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252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252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252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252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252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252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252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252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252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244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243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252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243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312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252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252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252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252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252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252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244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252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252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244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252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252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332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252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252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252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252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252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252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243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252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252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252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252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252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252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243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272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252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252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252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252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252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244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243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243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252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252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252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252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252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332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252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252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252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252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243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244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243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332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252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252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252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252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252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252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252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252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252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252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252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252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252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252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252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252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252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252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252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252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252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252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252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252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252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252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252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252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252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252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252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252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252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332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243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332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252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252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252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252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252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252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252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252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252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252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244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244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244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252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252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252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252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252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252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252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252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252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252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243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332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243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332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252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252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252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252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252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252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252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332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252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252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252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252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252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252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252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252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252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243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252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252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252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244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252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252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243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252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252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252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244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243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252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252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252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252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252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252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244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244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252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252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252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252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244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252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252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244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243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252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252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252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252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243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243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252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252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252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252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252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252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244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252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252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252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244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244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244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252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252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244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252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268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268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243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252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252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252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252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252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252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244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244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243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268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268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268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252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252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252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252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244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268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268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268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268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268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252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252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252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252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244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244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244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244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244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244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268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252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252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252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252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252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268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268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268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268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252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252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252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252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252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252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252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268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243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243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243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252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252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252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252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252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252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252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252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252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268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268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268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268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252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252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252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244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244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243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243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252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252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252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244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268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268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252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252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252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252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252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252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244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268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268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268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252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244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268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268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268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268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268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268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252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252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244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252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252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252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252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244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244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268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268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268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268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268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252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252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252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252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252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244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244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244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244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252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252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252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252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252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252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252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252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252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252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252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252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244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268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243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268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243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243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243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268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243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252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252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252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252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252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244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275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309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318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314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314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314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314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314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314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252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252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244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314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314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252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314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275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314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314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252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252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243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318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275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309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309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318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314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309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314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318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314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275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314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314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314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314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244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275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314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314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314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314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314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314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275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314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314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314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244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275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314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275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243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314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309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318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314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314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314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252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252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244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244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314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314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314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314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314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314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314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275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314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314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314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314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252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252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243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314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314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314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252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252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314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252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252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252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244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314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314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314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243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314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314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252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314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252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252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252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314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244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314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314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312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308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308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312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312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308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308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318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308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308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308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244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308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314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314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308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308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308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308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308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308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308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308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308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308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308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244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312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308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244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312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308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314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308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308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308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308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318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318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312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308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308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312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308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308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308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312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308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308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308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312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308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308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308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314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312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308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308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314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244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308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308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244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314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308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308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314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318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308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308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308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308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312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308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308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308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308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308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308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308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312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308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308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308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308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308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308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308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244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243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312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314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308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314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314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308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244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318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314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314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244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312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314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308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308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312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308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308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312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308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308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308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312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308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308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308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308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314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308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308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308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308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312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308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314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314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308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312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308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308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308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308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308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318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308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308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308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314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312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308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308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308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312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312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308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308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308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312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243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314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312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308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308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308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308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308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314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308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312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312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308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244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244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312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312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314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312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312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275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243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312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308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308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308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243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312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312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312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318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309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312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314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314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312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312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312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312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314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308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308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243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312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312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312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312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312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312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312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312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312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308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308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308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308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308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308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308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308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244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243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312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312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312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312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243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312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312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312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314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308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308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308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308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312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312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314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312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309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308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312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312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312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312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312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312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312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314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312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244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312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314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314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314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314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312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314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314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314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314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314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314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333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333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252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237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312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333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243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312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237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237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310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237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244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244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312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333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333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312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275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309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310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310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312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333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333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333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252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237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237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310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244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312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243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312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312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312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312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309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252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252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237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237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310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310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333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275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312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312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243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312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312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312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252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237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237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252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252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310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244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333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312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333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333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312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333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333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310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310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310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310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244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244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333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333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333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312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310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252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310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244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312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333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333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275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312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243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312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312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317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312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333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312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333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333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243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252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237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237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244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244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244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312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333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312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275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243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312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312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252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237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310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310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310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333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237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237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310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310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310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310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244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244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312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312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310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310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310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237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237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310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310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244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312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312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252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252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252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252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237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252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244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333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333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275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275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312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312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312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310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243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312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312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275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252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237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252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237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244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312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312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312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333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312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312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310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237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333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312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243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243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312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312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237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237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237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310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310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310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244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333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312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312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243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333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237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252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252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237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310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244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275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312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312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310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237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310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310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333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333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333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333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333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312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312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252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244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333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310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310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310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333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333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312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312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312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252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310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237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310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310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244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312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312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310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310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237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310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237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310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310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310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244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333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312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312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243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252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237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310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237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310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237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310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312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243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312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237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237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237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237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244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312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312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312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312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310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310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333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333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333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333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333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243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333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333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312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243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333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312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333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275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312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312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252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252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237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244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244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333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312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333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312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275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312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312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310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252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310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243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244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310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310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244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313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244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310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334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244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310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310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310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244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244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243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310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310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310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244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334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310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310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243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310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243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244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244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310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243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310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310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310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310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244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310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334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310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310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310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275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244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310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310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244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310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244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243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310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244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310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317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310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310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244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243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317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310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317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317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317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317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317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317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335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237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317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317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317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317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317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317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317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317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317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244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244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317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317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310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317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310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317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317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317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317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317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310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317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317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310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310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310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310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317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317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317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317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317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244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317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317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310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317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317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317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310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310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310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317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317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243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310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310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310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317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317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317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317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317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317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317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310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310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317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310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310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317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317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317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317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317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244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244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317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244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317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317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317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310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317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317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317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335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310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317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315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244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317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317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315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315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315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317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315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315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315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315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317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243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317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317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315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315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315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244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244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315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315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315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317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317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315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317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315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317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315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315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315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244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244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244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315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315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315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315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315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244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243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317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317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315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315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315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313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317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243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317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244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315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317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315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315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315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315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244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244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317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317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315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315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244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315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315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315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244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244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315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315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315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244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244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315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315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315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315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315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315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315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317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266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315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315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315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317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317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317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243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244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244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317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315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315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244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317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315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315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315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315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315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315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317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315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315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244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317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317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315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315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315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315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244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244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244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315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315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315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315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315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315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315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315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315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315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315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313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317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317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315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315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315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317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317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317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315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317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317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315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315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317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315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315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317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315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315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315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315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244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317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317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315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315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315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315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315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315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315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315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244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244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244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317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317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244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317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317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315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315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315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315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315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315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315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315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315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315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315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315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317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317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317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315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315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244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243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317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243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315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315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315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317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315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244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244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244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317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317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317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315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243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315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317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317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317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243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315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315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244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315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315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315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315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317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317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315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315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315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244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243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317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317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317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244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244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244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315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315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315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315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317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243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317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317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243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315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317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243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317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315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315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315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315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244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317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315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317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315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315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244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243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315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244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244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317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244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244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244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317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244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317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243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317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317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315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315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315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315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317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317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243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315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315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315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315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244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317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313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317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243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315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315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244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244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244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317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244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317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317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317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317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317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241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315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315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315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315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315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243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244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316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316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316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244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316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316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316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316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316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316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316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316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316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316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316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316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316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316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316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336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244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316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316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316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316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316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316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316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316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316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316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316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316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316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316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244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244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316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316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316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316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316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316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316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316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316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316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316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316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316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316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316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316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316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316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316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316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316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316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243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316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316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316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316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316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316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316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316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316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316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316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316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316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316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316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316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316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316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316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316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316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316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316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316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316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316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316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316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316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316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316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316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316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316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316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316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316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316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316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316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316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316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316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316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316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316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316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316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316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316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316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316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316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316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316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316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316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316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316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316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316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316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316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316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336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316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243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316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316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316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316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316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316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316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316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316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316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316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316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316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243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316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316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316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316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316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316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316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316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244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316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316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316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316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316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316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316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316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244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316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316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316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316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316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316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316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316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316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316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316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316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316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316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316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243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316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316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316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316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316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316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316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316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316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316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316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316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316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316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316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316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316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316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316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316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316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316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316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316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316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316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316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316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316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316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316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316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316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316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316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316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316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316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316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316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316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316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316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316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316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316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316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316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316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316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316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316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256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316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316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316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316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316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316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316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316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316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316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243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316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316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316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316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316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316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316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316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316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316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316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316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316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316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316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316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316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316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316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316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316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316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316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316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316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316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316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316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316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316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244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244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244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316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316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316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316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316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316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316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316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316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316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316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316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316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316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316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316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316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316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316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316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316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316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316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316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316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316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316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316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316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316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316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316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316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316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316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316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316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316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316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316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316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316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316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316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316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316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316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316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316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316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316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316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316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316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316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316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316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316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316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316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316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316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316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316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316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316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316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316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316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316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316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316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316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316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316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316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316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316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316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316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316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316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316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316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316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316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316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316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316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316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316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316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316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316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316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316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316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316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316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316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316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316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316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316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316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316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316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316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316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316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316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316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316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316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316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316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316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316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316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316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316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316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316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316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316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316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316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316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316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316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316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316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316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316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316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316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316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316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316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316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316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316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316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316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316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316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316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316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244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316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316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316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316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316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316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316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316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316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316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316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316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316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316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316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316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244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244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244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316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316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316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316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316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316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316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316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316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316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316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316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316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316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316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316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244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316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316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316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316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316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316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316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316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316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316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316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316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316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316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316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316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316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316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316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316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316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316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316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316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316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316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316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316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316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316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316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316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316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316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316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316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316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316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316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316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316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316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316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316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316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316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316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316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316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316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316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316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316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316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316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244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316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316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316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316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316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316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316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316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316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316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316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316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316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316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316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316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316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316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316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316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316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316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316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316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316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316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316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316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316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316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316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244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244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316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316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316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316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316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316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316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316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316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316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316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316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316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316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316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316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316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316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316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316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316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316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316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316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316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316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252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252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244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244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316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316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316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316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316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316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316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316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316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316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316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316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252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252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252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252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316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316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316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316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316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316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316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316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316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316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316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316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252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252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252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252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252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316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316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316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316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316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316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316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316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252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252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252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252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252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252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244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244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316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316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316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316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316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316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316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316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316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316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316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316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316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316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316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316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316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252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316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316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316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316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316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316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316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316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316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316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316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316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316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252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252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244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316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316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316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316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316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316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316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316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316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316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316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316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316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316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252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252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244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316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316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316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316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316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316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316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316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316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316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316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316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252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252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252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244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258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316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316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316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316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316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316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316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316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316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316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316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316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316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316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252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244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244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316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316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316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316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316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316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316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316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252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252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252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252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252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252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252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252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252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350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252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244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350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350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252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252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252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244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350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316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350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350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350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350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316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350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316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316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316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252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252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244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350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350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350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350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350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316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350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350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350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350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316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316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238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252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252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252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244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244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244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350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350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350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350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350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350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350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350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350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316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350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350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316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316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316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252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252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244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350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350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350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350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350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350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350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350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350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273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316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316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350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316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353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316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252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350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350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350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350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350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350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350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350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350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273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252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252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252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252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252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244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316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350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350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350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316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316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273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316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244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350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350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350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316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316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316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353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316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273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244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244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350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350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350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350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316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350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316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316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316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252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252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244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350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350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350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350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350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350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350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350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316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353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316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316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252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350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350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316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252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244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350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350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350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350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350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350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350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350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316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350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350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350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350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350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252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252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252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244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316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350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350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316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350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350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316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350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316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350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316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252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252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252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252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252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244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244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244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350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350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350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350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316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316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350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350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238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316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350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252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252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252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244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350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350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350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350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350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350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350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350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316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316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316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316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350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316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350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316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252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252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244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350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350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350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350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350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350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316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350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350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350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350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316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350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353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353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252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252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244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350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350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350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350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350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350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316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252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252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252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252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252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350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350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316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316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316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316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244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244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350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350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350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350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350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350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316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350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252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252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252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252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252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244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244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350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350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316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350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350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316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350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316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316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350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316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316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252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350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350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350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350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350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350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350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350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350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316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350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350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353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316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316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353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273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353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252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252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252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244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244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350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350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350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350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350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316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350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350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350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316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350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316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256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252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252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252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244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244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350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350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350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350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350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316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350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350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350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350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350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316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252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252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252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252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252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350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350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350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252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244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350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350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350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350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350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350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316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316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316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353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252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252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252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244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350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350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350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350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350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316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350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350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350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316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353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316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316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353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273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316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256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350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350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350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350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350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350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350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350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316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244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244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350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350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350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350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350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350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316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350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350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350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316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316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316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252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252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252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244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244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350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350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350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350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350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350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350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316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350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350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350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316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316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252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252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351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237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237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351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237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237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351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351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351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351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351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351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351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351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351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351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351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237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237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351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237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237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351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351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237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351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351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351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351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351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351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237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237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237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353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237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351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351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351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351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237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351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351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351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353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237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237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237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351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237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237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351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351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237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237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351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237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237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351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351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351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353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244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351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351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237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237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351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353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351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351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351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237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237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351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237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237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351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237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237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351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351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351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237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244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351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351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237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351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351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351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353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351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353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351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351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350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351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237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351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244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351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351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237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237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351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351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237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351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351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351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237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351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351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237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351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351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351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351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237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351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351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351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351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351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351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351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351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351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351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351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351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244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351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351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351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237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353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351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237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351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237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237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244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237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351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351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237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351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351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353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351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351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237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353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351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244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244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351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237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237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351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351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237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351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237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351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351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351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351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237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237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351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351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351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237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237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351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244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351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351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237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237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237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351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351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351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237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351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351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351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351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351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237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237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237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237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237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351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237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351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237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351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351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351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353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351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351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237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351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351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351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351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237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351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351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351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351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351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244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353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351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351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237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351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351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351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351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351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351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237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351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237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351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351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351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237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237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351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351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351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351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351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237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351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237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237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237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237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351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351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351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237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351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351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351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351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244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351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353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351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353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353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237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351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351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351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351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351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351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237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237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237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237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351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237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351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237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237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351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351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237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237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351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351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237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237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351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237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351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237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351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237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244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350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237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350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350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353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350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353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351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237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237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353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351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237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244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351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350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237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353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353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350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353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237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244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244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273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351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351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351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351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237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237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351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237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350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244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244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351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351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351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237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237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351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350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241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244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351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237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237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351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237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237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353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350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351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350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350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351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237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351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353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353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237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353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237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237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237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350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350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310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244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273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353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353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351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237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351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350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353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237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351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351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350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244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244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237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351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351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350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350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237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237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350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353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350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353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244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244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244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316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351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351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351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237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237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241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350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351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351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237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353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237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237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353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350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353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350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350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237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353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350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353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244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351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351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237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237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351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237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237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237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351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351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351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351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237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351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237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237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237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237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350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351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237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350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350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237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237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353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351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351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237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244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244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351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351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351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351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237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351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350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351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351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351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350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351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351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351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351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350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350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351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350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350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350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351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351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237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350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350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350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351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351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350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351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351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351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237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237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350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351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351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351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237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350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353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351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350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244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244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350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351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351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351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350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237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237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351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351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350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237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237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353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351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237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237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237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351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350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237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350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237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244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244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244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351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351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351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351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351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353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237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351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353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237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353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373</v>
      </c>
      <c r="C14184" s="5" t="s">
        <v>18</v>
      </c>
      <c r="D14184" s="5">
        <v>1</v>
      </c>
      <c r="E14184" s="5">
        <v>129941</v>
      </c>
    </row>
    <row r="14185" spans="1:5" x14ac:dyDescent="0.35">
      <c r="A14185" s="3">
        <v>46241</v>
      </c>
      <c r="B14185" s="5" t="s">
        <v>373</v>
      </c>
      <c r="C14185" s="5" t="s">
        <v>27</v>
      </c>
      <c r="D14185" s="5">
        <v>1</v>
      </c>
      <c r="E14185" s="5">
        <v>177214</v>
      </c>
    </row>
    <row r="14186" spans="1:5" x14ac:dyDescent="0.35">
      <c r="A14186" s="3">
        <v>46241</v>
      </c>
      <c r="B14186" s="5" t="s">
        <v>351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350</v>
      </c>
      <c r="C14187" s="5" t="s">
        <v>66</v>
      </c>
      <c r="D14187" s="5">
        <v>1</v>
      </c>
      <c r="E14187" s="5">
        <v>116305</v>
      </c>
    </row>
    <row r="14188" spans="1:5" x14ac:dyDescent="0.35">
      <c r="A14188" s="3">
        <v>46241</v>
      </c>
      <c r="B14188" s="5" t="s">
        <v>374</v>
      </c>
      <c r="C14188" s="5" t="s">
        <v>66</v>
      </c>
      <c r="D14188" s="5">
        <v>1</v>
      </c>
      <c r="E14188" s="5">
        <v>116305</v>
      </c>
    </row>
    <row r="14189" spans="1:5" x14ac:dyDescent="0.35">
      <c r="A14189" s="3">
        <v>46241</v>
      </c>
      <c r="B14189" s="5" t="s">
        <v>133</v>
      </c>
      <c r="C14189" s="5" t="s">
        <v>20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19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20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18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133</v>
      </c>
      <c r="C14198" s="5" t="s">
        <v>20</v>
      </c>
      <c r="D14198" s="5">
        <v>1</v>
      </c>
      <c r="E14198" s="5">
        <v>127942</v>
      </c>
    </row>
    <row r="14199" spans="1:5" x14ac:dyDescent="0.35">
      <c r="A14199" s="3">
        <v>46241</v>
      </c>
      <c r="B14199" s="5" t="s">
        <v>133</v>
      </c>
      <c r="C14199" s="5" t="s">
        <v>18</v>
      </c>
      <c r="D14199" s="5">
        <v>1</v>
      </c>
      <c r="E14199" s="5">
        <v>127942</v>
      </c>
    </row>
    <row r="14200" spans="1:5" x14ac:dyDescent="0.35">
      <c r="A14200" s="3">
        <v>46241</v>
      </c>
      <c r="B14200" s="5" t="s">
        <v>373</v>
      </c>
      <c r="C14200" s="5" t="s">
        <v>18</v>
      </c>
      <c r="D14200" s="5">
        <v>1</v>
      </c>
      <c r="E14200" s="5">
        <v>129941</v>
      </c>
    </row>
    <row r="14201" spans="1:5" x14ac:dyDescent="0.35">
      <c r="A14201" s="3">
        <v>46241</v>
      </c>
      <c r="B14201" s="5" t="s">
        <v>244</v>
      </c>
      <c r="C14201" s="5" t="s">
        <v>18</v>
      </c>
      <c r="D14201" s="5">
        <v>1</v>
      </c>
      <c r="E14201" s="5">
        <v>129941</v>
      </c>
    </row>
    <row r="14202" spans="1:5" x14ac:dyDescent="0.35">
      <c r="A14202" s="3">
        <v>46241</v>
      </c>
      <c r="B14202" s="5" t="s">
        <v>373</v>
      </c>
      <c r="C14202" s="5" t="s">
        <v>93</v>
      </c>
      <c r="D14202" s="5">
        <v>1</v>
      </c>
      <c r="E14202" s="5">
        <v>50168</v>
      </c>
    </row>
    <row r="14203" spans="1:5" x14ac:dyDescent="0.35">
      <c r="A14203" s="3">
        <v>46241</v>
      </c>
      <c r="B14203" s="5" t="s">
        <v>375</v>
      </c>
      <c r="C14203" s="5" t="s">
        <v>18</v>
      </c>
      <c r="D14203" s="5">
        <v>1</v>
      </c>
      <c r="E14203" s="5">
        <v>129941</v>
      </c>
    </row>
    <row r="14204" spans="1:5" x14ac:dyDescent="0.35">
      <c r="A14204" s="3">
        <v>46241</v>
      </c>
      <c r="B14204" s="5" t="s">
        <v>351</v>
      </c>
      <c r="C14204" s="5" t="s">
        <v>66</v>
      </c>
      <c r="D14204" s="5">
        <v>1</v>
      </c>
      <c r="E14204" s="5">
        <v>116305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20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20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20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19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20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18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133</v>
      </c>
      <c r="C14215" s="5" t="s">
        <v>18</v>
      </c>
      <c r="D14215" s="5">
        <v>1</v>
      </c>
      <c r="E14215" s="5">
        <v>127942</v>
      </c>
    </row>
    <row r="14216" spans="1:5" x14ac:dyDescent="0.35">
      <c r="A14216" s="3">
        <v>46241</v>
      </c>
      <c r="B14216" s="5" t="s">
        <v>133</v>
      </c>
      <c r="C14216" s="5" t="s">
        <v>18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18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18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373</v>
      </c>
      <c r="C14220" s="5" t="s">
        <v>18</v>
      </c>
      <c r="D14220" s="5">
        <v>1</v>
      </c>
      <c r="E14220" s="5">
        <v>129941</v>
      </c>
    </row>
    <row r="14221" spans="1:5" x14ac:dyDescent="0.35">
      <c r="A14221" s="3">
        <v>46241</v>
      </c>
      <c r="B14221" s="5" t="s">
        <v>375</v>
      </c>
      <c r="C14221" s="5" t="s">
        <v>26</v>
      </c>
      <c r="D14221" s="5">
        <v>1</v>
      </c>
      <c r="E14221" s="5">
        <v>501682</v>
      </c>
    </row>
    <row r="14222" spans="1:5" x14ac:dyDescent="0.35">
      <c r="A14222" s="3">
        <v>46241</v>
      </c>
      <c r="B14222" s="5" t="s">
        <v>350</v>
      </c>
      <c r="C14222" s="5" t="s">
        <v>66</v>
      </c>
      <c r="D14222" s="5">
        <v>1</v>
      </c>
      <c r="E14222" s="5">
        <v>116305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20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20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20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20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20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20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133</v>
      </c>
      <c r="C14235" s="5" t="s">
        <v>18</v>
      </c>
      <c r="D14235" s="5">
        <v>1</v>
      </c>
      <c r="E14235" s="5">
        <v>127942</v>
      </c>
    </row>
    <row r="14236" spans="1:5" x14ac:dyDescent="0.35">
      <c r="A14236" s="3">
        <v>46241</v>
      </c>
      <c r="B14236" s="5" t="s">
        <v>133</v>
      </c>
      <c r="C14236" s="5" t="s">
        <v>18</v>
      </c>
      <c r="D14236" s="5">
        <v>1</v>
      </c>
      <c r="E14236" s="5">
        <v>127942</v>
      </c>
    </row>
    <row r="14237" spans="1:5" x14ac:dyDescent="0.35">
      <c r="A14237" s="3">
        <v>46241</v>
      </c>
      <c r="B14237" s="5" t="s">
        <v>133</v>
      </c>
      <c r="C14237" s="5" t="s">
        <v>18</v>
      </c>
      <c r="D14237" s="5">
        <v>1</v>
      </c>
      <c r="E14237" s="5">
        <v>127942</v>
      </c>
    </row>
    <row r="14238" spans="1:5" x14ac:dyDescent="0.35">
      <c r="A14238" s="3">
        <v>46241</v>
      </c>
      <c r="B14238" s="5" t="s">
        <v>133</v>
      </c>
      <c r="C14238" s="5" t="s">
        <v>18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18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375</v>
      </c>
      <c r="C14242" s="5" t="s">
        <v>18</v>
      </c>
      <c r="D14242" s="5">
        <v>1</v>
      </c>
      <c r="E14242" s="5">
        <v>129941</v>
      </c>
    </row>
    <row r="14243" spans="1:5" x14ac:dyDescent="0.35">
      <c r="A14243" s="3">
        <v>46241</v>
      </c>
      <c r="B14243" s="5" t="s">
        <v>373</v>
      </c>
      <c r="C14243" s="5" t="s">
        <v>42</v>
      </c>
      <c r="D14243" s="5">
        <v>1</v>
      </c>
      <c r="E14243" s="5">
        <v>206759</v>
      </c>
    </row>
    <row r="14244" spans="1:5" x14ac:dyDescent="0.35">
      <c r="A14244" s="3">
        <v>46241</v>
      </c>
      <c r="B14244" s="5" t="s">
        <v>351</v>
      </c>
      <c r="C14244" s="5" t="s">
        <v>66</v>
      </c>
      <c r="D14244" s="5">
        <v>1</v>
      </c>
      <c r="E14244" s="5">
        <v>116305</v>
      </c>
    </row>
    <row r="14245" spans="1:5" x14ac:dyDescent="0.35">
      <c r="A14245" s="3">
        <v>46241</v>
      </c>
      <c r="B14245" s="5" t="s">
        <v>136</v>
      </c>
      <c r="C14245" s="5" t="s">
        <v>42</v>
      </c>
      <c r="D14245" s="5">
        <v>1</v>
      </c>
      <c r="E14245" s="5">
        <v>203578</v>
      </c>
    </row>
    <row r="14246" spans="1:5" x14ac:dyDescent="0.35">
      <c r="A14246" s="3">
        <v>46241</v>
      </c>
      <c r="B14246" s="5" t="s">
        <v>351</v>
      </c>
      <c r="C14246" s="5" t="s">
        <v>66</v>
      </c>
      <c r="D14246" s="5">
        <v>1</v>
      </c>
      <c r="E14246" s="5">
        <v>116305</v>
      </c>
    </row>
    <row r="14247" spans="1:5" x14ac:dyDescent="0.35">
      <c r="A14247" s="3">
        <v>46241</v>
      </c>
      <c r="B14247" s="5" t="s">
        <v>133</v>
      </c>
      <c r="C14247" s="5" t="s">
        <v>20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18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18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20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19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133</v>
      </c>
      <c r="C14255" s="5" t="s">
        <v>19</v>
      </c>
      <c r="D14255" s="5">
        <v>1</v>
      </c>
      <c r="E14255" s="5">
        <v>127942</v>
      </c>
    </row>
    <row r="14256" spans="1:5" x14ac:dyDescent="0.35">
      <c r="A14256" s="3">
        <v>46241</v>
      </c>
      <c r="B14256" s="5" t="s">
        <v>133</v>
      </c>
      <c r="C14256" s="5" t="s">
        <v>18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20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19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18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350</v>
      </c>
      <c r="C14264" s="5" t="s">
        <v>67</v>
      </c>
      <c r="D14264" s="5">
        <v>1</v>
      </c>
      <c r="E14264" s="5">
        <v>116305</v>
      </c>
    </row>
    <row r="14265" spans="1:5" x14ac:dyDescent="0.35">
      <c r="A14265" s="3">
        <v>46241</v>
      </c>
      <c r="B14265" s="5" t="s">
        <v>133</v>
      </c>
      <c r="C14265" s="5" t="s">
        <v>20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20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20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20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133</v>
      </c>
      <c r="C14271" s="5" t="s">
        <v>18</v>
      </c>
      <c r="D14271" s="5">
        <v>1</v>
      </c>
      <c r="E14271" s="5">
        <v>127942</v>
      </c>
    </row>
    <row r="14272" spans="1:5" x14ac:dyDescent="0.35">
      <c r="A14272" s="3">
        <v>46241</v>
      </c>
      <c r="B14272" s="5" t="s">
        <v>133</v>
      </c>
      <c r="C14272" s="5" t="s">
        <v>18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18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18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18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18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18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373</v>
      </c>
      <c r="C14280" s="5" t="s">
        <v>18</v>
      </c>
      <c r="D14280" s="5">
        <v>1</v>
      </c>
      <c r="E14280" s="5">
        <v>129941</v>
      </c>
    </row>
    <row r="14281" spans="1:5" x14ac:dyDescent="0.35">
      <c r="A14281" s="3">
        <v>46241</v>
      </c>
      <c r="B14281" s="5" t="s">
        <v>373</v>
      </c>
      <c r="C14281" s="5" t="s">
        <v>18</v>
      </c>
      <c r="D14281" s="5">
        <v>1</v>
      </c>
      <c r="E14281" s="5">
        <v>129941</v>
      </c>
    </row>
    <row r="14282" spans="1:5" x14ac:dyDescent="0.35">
      <c r="A14282" s="3">
        <v>46241</v>
      </c>
      <c r="B14282" s="5" t="s">
        <v>375</v>
      </c>
      <c r="C14282" s="5" t="s">
        <v>18</v>
      </c>
      <c r="D14282" s="5">
        <v>1</v>
      </c>
      <c r="E14282" s="5">
        <v>129941</v>
      </c>
    </row>
    <row r="14283" spans="1:5" x14ac:dyDescent="0.35">
      <c r="A14283" s="3">
        <v>46241</v>
      </c>
      <c r="B14283" s="5" t="s">
        <v>244</v>
      </c>
      <c r="C14283" s="5" t="s">
        <v>85</v>
      </c>
      <c r="D14283" s="5">
        <v>1</v>
      </c>
      <c r="E14283" s="5">
        <v>189032</v>
      </c>
    </row>
    <row r="14284" spans="1:5" x14ac:dyDescent="0.35">
      <c r="A14284" s="3">
        <v>46241</v>
      </c>
      <c r="B14284" s="5" t="s">
        <v>133</v>
      </c>
      <c r="C14284" s="5" t="s">
        <v>20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20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20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20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133</v>
      </c>
      <c r="C14288" s="5" t="s">
        <v>20</v>
      </c>
      <c r="D14288" s="5">
        <v>1</v>
      </c>
      <c r="E14288" s="5">
        <v>127942</v>
      </c>
    </row>
    <row r="14289" spans="1:5" x14ac:dyDescent="0.35">
      <c r="A14289" s="3">
        <v>46241</v>
      </c>
      <c r="B14289" s="5" t="s">
        <v>133</v>
      </c>
      <c r="C14289" s="5" t="s">
        <v>19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18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18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20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20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18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375</v>
      </c>
      <c r="C14300" s="5" t="s">
        <v>18</v>
      </c>
      <c r="D14300" s="5">
        <v>1</v>
      </c>
      <c r="E14300" s="5">
        <v>129941</v>
      </c>
    </row>
    <row r="14301" spans="1:5" x14ac:dyDescent="0.35">
      <c r="A14301" s="3">
        <v>46241</v>
      </c>
      <c r="B14301" s="5" t="s">
        <v>244</v>
      </c>
      <c r="C14301" s="5" t="s">
        <v>39</v>
      </c>
      <c r="D14301" s="5">
        <v>1</v>
      </c>
      <c r="E14301" s="5">
        <v>118123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20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18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18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18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18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18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133</v>
      </c>
      <c r="C14310" s="5" t="s">
        <v>18</v>
      </c>
      <c r="D14310" s="5">
        <v>1</v>
      </c>
      <c r="E14310" s="5">
        <v>127942</v>
      </c>
    </row>
    <row r="14311" spans="1:5" x14ac:dyDescent="0.35">
      <c r="A14311" s="3">
        <v>46241</v>
      </c>
      <c r="B14311" s="5" t="s">
        <v>133</v>
      </c>
      <c r="C14311" s="5" t="s">
        <v>18</v>
      </c>
      <c r="D14311" s="5">
        <v>1</v>
      </c>
      <c r="E14311" s="5">
        <v>127942</v>
      </c>
    </row>
    <row r="14312" spans="1:5" x14ac:dyDescent="0.35">
      <c r="A14312" s="3">
        <v>46241</v>
      </c>
      <c r="B14312" s="5" t="s">
        <v>373</v>
      </c>
      <c r="C14312" s="5" t="s">
        <v>18</v>
      </c>
      <c r="D14312" s="5">
        <v>1</v>
      </c>
      <c r="E14312" s="5">
        <v>129941</v>
      </c>
    </row>
    <row r="14313" spans="1:5" x14ac:dyDescent="0.35">
      <c r="A14313" s="3">
        <v>46241</v>
      </c>
      <c r="B14313" s="5" t="s">
        <v>373</v>
      </c>
      <c r="C14313" s="5" t="s">
        <v>93</v>
      </c>
      <c r="D14313" s="5">
        <v>1</v>
      </c>
      <c r="E14313" s="5">
        <v>50168</v>
      </c>
    </row>
    <row r="14314" spans="1:5" x14ac:dyDescent="0.35">
      <c r="A14314" s="3">
        <v>46241</v>
      </c>
      <c r="B14314" s="5" t="s">
        <v>373</v>
      </c>
      <c r="C14314" s="5" t="s">
        <v>49</v>
      </c>
      <c r="D14314" s="5">
        <v>1</v>
      </c>
      <c r="E14314" s="5">
        <v>64941</v>
      </c>
    </row>
    <row r="14315" spans="1:5" x14ac:dyDescent="0.35">
      <c r="A14315" s="3">
        <v>46241</v>
      </c>
      <c r="B14315" s="5" t="s">
        <v>373</v>
      </c>
      <c r="C14315" s="5" t="s">
        <v>42</v>
      </c>
      <c r="D14315" s="5">
        <v>1</v>
      </c>
      <c r="E14315" s="5">
        <v>206759</v>
      </c>
    </row>
    <row r="14316" spans="1:5" x14ac:dyDescent="0.35">
      <c r="A14316" s="3">
        <v>46241</v>
      </c>
      <c r="B14316" s="5" t="s">
        <v>133</v>
      </c>
      <c r="C14316" s="5" t="s">
        <v>20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19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20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20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19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19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19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20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373</v>
      </c>
      <c r="C14327" s="5" t="s">
        <v>18</v>
      </c>
      <c r="D14327" s="5">
        <v>1</v>
      </c>
      <c r="E14327" s="5">
        <v>129941</v>
      </c>
    </row>
    <row r="14328" spans="1:5" x14ac:dyDescent="0.35">
      <c r="A14328" s="3">
        <v>46241</v>
      </c>
      <c r="B14328" s="5" t="s">
        <v>373</v>
      </c>
      <c r="C14328" s="5" t="s">
        <v>32</v>
      </c>
      <c r="D14328" s="5">
        <v>1</v>
      </c>
      <c r="E14328" s="5">
        <v>177214</v>
      </c>
    </row>
    <row r="14329" spans="1:5" x14ac:dyDescent="0.35">
      <c r="A14329" s="3">
        <v>46241</v>
      </c>
      <c r="B14329" s="5" t="s">
        <v>244</v>
      </c>
      <c r="C14329" s="5" t="s">
        <v>18</v>
      </c>
      <c r="D14329" s="5">
        <v>1</v>
      </c>
      <c r="E14329" s="5">
        <v>129941</v>
      </c>
    </row>
    <row r="14330" spans="1:5" x14ac:dyDescent="0.35">
      <c r="A14330" s="3">
        <v>46241</v>
      </c>
      <c r="B14330" s="5" t="s">
        <v>351</v>
      </c>
      <c r="C14330" s="5" t="s">
        <v>66</v>
      </c>
      <c r="D14330" s="5">
        <v>1</v>
      </c>
      <c r="E14330" s="5">
        <v>116305</v>
      </c>
    </row>
    <row r="14331" spans="1:5" x14ac:dyDescent="0.35">
      <c r="A14331" s="3">
        <v>46241</v>
      </c>
      <c r="B14331" s="5" t="s">
        <v>351</v>
      </c>
      <c r="C14331" s="5" t="s">
        <v>66</v>
      </c>
      <c r="D14331" s="5">
        <v>1</v>
      </c>
      <c r="E14331" s="5">
        <v>116305</v>
      </c>
    </row>
    <row r="14332" spans="1:5" x14ac:dyDescent="0.35">
      <c r="A14332" s="3">
        <v>46241</v>
      </c>
      <c r="B14332" s="5" t="s">
        <v>350</v>
      </c>
      <c r="C14332" s="5" t="s">
        <v>66</v>
      </c>
      <c r="D14332" s="5">
        <v>1</v>
      </c>
      <c r="E14332" s="5">
        <v>116305</v>
      </c>
    </row>
    <row r="14333" spans="1:5" x14ac:dyDescent="0.35">
      <c r="A14333" s="3">
        <v>46241</v>
      </c>
      <c r="B14333" s="5" t="s">
        <v>351</v>
      </c>
      <c r="C14333" s="5" t="s">
        <v>66</v>
      </c>
      <c r="D14333" s="5">
        <v>1</v>
      </c>
      <c r="E14333" s="5">
        <v>116305</v>
      </c>
    </row>
    <row r="14334" spans="1:5" x14ac:dyDescent="0.35">
      <c r="A14334" s="3">
        <v>46241</v>
      </c>
      <c r="B14334" s="5" t="s">
        <v>133</v>
      </c>
      <c r="C14334" s="5" t="s">
        <v>20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20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18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18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20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20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133</v>
      </c>
      <c r="C14344" s="5" t="s">
        <v>20</v>
      </c>
      <c r="D14344" s="5">
        <v>1</v>
      </c>
      <c r="E14344" s="5">
        <v>127942</v>
      </c>
    </row>
    <row r="14345" spans="1:5" x14ac:dyDescent="0.35">
      <c r="A14345" s="3">
        <v>46241</v>
      </c>
      <c r="B14345" s="5" t="s">
        <v>133</v>
      </c>
      <c r="C14345" s="5" t="s">
        <v>18</v>
      </c>
      <c r="D14345" s="5">
        <v>1</v>
      </c>
      <c r="E14345" s="5">
        <v>127942</v>
      </c>
    </row>
    <row r="14346" spans="1:5" x14ac:dyDescent="0.35">
      <c r="A14346" s="3">
        <v>46241</v>
      </c>
      <c r="B14346" s="5" t="s">
        <v>350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136</v>
      </c>
      <c r="C14347" s="5" t="s">
        <v>42</v>
      </c>
      <c r="D14347" s="5">
        <v>1</v>
      </c>
      <c r="E14347" s="5">
        <v>203578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20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20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20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20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18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18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373</v>
      </c>
      <c r="C14363" s="5" t="s">
        <v>59</v>
      </c>
      <c r="D14363" s="5">
        <v>1</v>
      </c>
      <c r="E14363" s="5">
        <v>442591</v>
      </c>
    </row>
    <row r="14364" spans="1:5" x14ac:dyDescent="0.35">
      <c r="A14364" s="3">
        <v>46241</v>
      </c>
      <c r="B14364" s="5" t="s">
        <v>373</v>
      </c>
      <c r="C14364" s="5" t="s">
        <v>83</v>
      </c>
      <c r="D14364" s="5">
        <v>1</v>
      </c>
      <c r="E14364" s="5">
        <v>70850</v>
      </c>
    </row>
    <row r="14365" spans="1:5" x14ac:dyDescent="0.35">
      <c r="A14365" s="3">
        <v>46241</v>
      </c>
      <c r="B14365" s="5" t="s">
        <v>244</v>
      </c>
      <c r="C14365" s="5" t="s">
        <v>85</v>
      </c>
      <c r="D14365" s="5">
        <v>1</v>
      </c>
      <c r="E14365" s="5">
        <v>189032</v>
      </c>
    </row>
    <row r="14366" spans="1:5" x14ac:dyDescent="0.35">
      <c r="A14366" s="3">
        <v>46241</v>
      </c>
      <c r="B14366" s="5" t="s">
        <v>350</v>
      </c>
      <c r="C14366" s="5" t="s">
        <v>66</v>
      </c>
      <c r="D14366" s="5">
        <v>1</v>
      </c>
      <c r="E14366" s="5">
        <v>116305</v>
      </c>
    </row>
    <row r="14367" spans="1:5" x14ac:dyDescent="0.35">
      <c r="A14367" s="3">
        <v>46241</v>
      </c>
      <c r="B14367" s="5" t="s">
        <v>351</v>
      </c>
      <c r="C14367" s="5" t="s">
        <v>66</v>
      </c>
      <c r="D14367" s="5">
        <v>1</v>
      </c>
      <c r="E14367" s="5">
        <v>116305</v>
      </c>
    </row>
    <row r="14368" spans="1:5" x14ac:dyDescent="0.35">
      <c r="A14368" s="3">
        <v>46241</v>
      </c>
      <c r="B14368" s="5" t="s">
        <v>133</v>
      </c>
      <c r="C14368" s="5" t="s">
        <v>20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20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20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20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19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133</v>
      </c>
      <c r="C14378" s="5" t="s">
        <v>18</v>
      </c>
      <c r="D14378" s="5">
        <v>1</v>
      </c>
      <c r="E14378" s="5">
        <v>127942</v>
      </c>
    </row>
    <row r="14379" spans="1:5" x14ac:dyDescent="0.35">
      <c r="A14379" s="3">
        <v>46241</v>
      </c>
      <c r="B14379" s="5" t="s">
        <v>133</v>
      </c>
      <c r="C14379" s="5" t="s">
        <v>18</v>
      </c>
      <c r="D14379" s="5">
        <v>1</v>
      </c>
      <c r="E14379" s="5">
        <v>127942</v>
      </c>
    </row>
    <row r="14380" spans="1:5" x14ac:dyDescent="0.35">
      <c r="A14380" s="3">
        <v>46241</v>
      </c>
      <c r="B14380" s="5" t="s">
        <v>133</v>
      </c>
      <c r="C14380" s="5" t="s">
        <v>18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375</v>
      </c>
      <c r="C14381" s="5" t="s">
        <v>18</v>
      </c>
      <c r="D14381" s="5">
        <v>1</v>
      </c>
      <c r="E14381" s="5">
        <v>129941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20</v>
      </c>
      <c r="D14385" s="5">
        <v>1</v>
      </c>
      <c r="E14385" s="5">
        <v>127942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19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18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133</v>
      </c>
      <c r="C14397" s="5" t="s">
        <v>18</v>
      </c>
      <c r="D14397" s="5">
        <v>1</v>
      </c>
      <c r="E14397" s="5">
        <v>127942</v>
      </c>
    </row>
    <row r="14398" spans="1:5" x14ac:dyDescent="0.35">
      <c r="A14398" s="3">
        <v>46241</v>
      </c>
      <c r="B14398" s="5" t="s">
        <v>133</v>
      </c>
      <c r="C14398" s="5" t="s">
        <v>18</v>
      </c>
      <c r="D14398" s="5">
        <v>1</v>
      </c>
      <c r="E14398" s="5">
        <v>127942</v>
      </c>
    </row>
    <row r="14399" spans="1:5" x14ac:dyDescent="0.35">
      <c r="A14399" s="3">
        <v>46241</v>
      </c>
      <c r="B14399" s="5" t="s">
        <v>133</v>
      </c>
      <c r="C14399" s="5" t="s">
        <v>18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373</v>
      </c>
      <c r="C14400" s="5" t="s">
        <v>32</v>
      </c>
      <c r="D14400" s="5">
        <v>1</v>
      </c>
      <c r="E14400" s="5">
        <v>177214</v>
      </c>
    </row>
    <row r="14401" spans="1:5" x14ac:dyDescent="0.35">
      <c r="A14401" s="3">
        <v>46241</v>
      </c>
      <c r="B14401" s="5" t="s">
        <v>373</v>
      </c>
      <c r="C14401" s="5" t="s">
        <v>42</v>
      </c>
      <c r="D14401" s="5">
        <v>1</v>
      </c>
      <c r="E14401" s="5">
        <v>206759</v>
      </c>
    </row>
    <row r="14402" spans="1:5" x14ac:dyDescent="0.35">
      <c r="A14402" s="3">
        <v>46241</v>
      </c>
      <c r="B14402" s="5" t="s">
        <v>244</v>
      </c>
      <c r="C14402" s="5" t="s">
        <v>18</v>
      </c>
      <c r="D14402" s="5">
        <v>1</v>
      </c>
      <c r="E14402" s="5">
        <v>129941</v>
      </c>
    </row>
    <row r="14403" spans="1:5" x14ac:dyDescent="0.35">
      <c r="A14403" s="3">
        <v>46241</v>
      </c>
      <c r="B14403" s="5" t="s">
        <v>351</v>
      </c>
      <c r="C14403" s="5" t="s">
        <v>66</v>
      </c>
      <c r="D14403" s="5">
        <v>1</v>
      </c>
      <c r="E14403" s="5">
        <v>116305</v>
      </c>
    </row>
    <row r="14404" spans="1:5" x14ac:dyDescent="0.35">
      <c r="A14404" s="3">
        <v>46241</v>
      </c>
      <c r="B14404" s="5" t="s">
        <v>133</v>
      </c>
      <c r="C14404" s="5" t="s">
        <v>20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20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20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20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133</v>
      </c>
      <c r="C14408" s="5" t="s">
        <v>20</v>
      </c>
      <c r="D14408" s="5">
        <v>1</v>
      </c>
      <c r="E14408" s="5">
        <v>127942</v>
      </c>
    </row>
    <row r="14409" spans="1:5" x14ac:dyDescent="0.35">
      <c r="A14409" s="3">
        <v>46241</v>
      </c>
      <c r="B14409" s="5" t="s">
        <v>133</v>
      </c>
      <c r="C14409" s="5" t="s">
        <v>18</v>
      </c>
      <c r="D14409" s="5">
        <v>2</v>
      </c>
      <c r="E14409" s="5">
        <v>255884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18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20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18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133</v>
      </c>
      <c r="C14419" s="5" t="s">
        <v>18</v>
      </c>
      <c r="D14419" s="5">
        <v>1</v>
      </c>
      <c r="E14419" s="5">
        <v>127942</v>
      </c>
    </row>
    <row r="14420" spans="1:5" x14ac:dyDescent="0.35">
      <c r="A14420" s="3">
        <v>46241</v>
      </c>
      <c r="B14420" s="5" t="s">
        <v>133</v>
      </c>
      <c r="C14420" s="5" t="s">
        <v>18</v>
      </c>
      <c r="D14420" s="5">
        <v>1</v>
      </c>
      <c r="E14420" s="5">
        <v>127942</v>
      </c>
    </row>
    <row r="14421" spans="1:5" x14ac:dyDescent="0.35">
      <c r="A14421" s="3">
        <v>46241</v>
      </c>
      <c r="B14421" s="5" t="s">
        <v>373</v>
      </c>
      <c r="C14421" s="5" t="s">
        <v>42</v>
      </c>
      <c r="D14421" s="5">
        <v>1</v>
      </c>
      <c r="E14421" s="5">
        <v>206759</v>
      </c>
    </row>
    <row r="14422" spans="1:5" x14ac:dyDescent="0.35">
      <c r="A14422" s="3">
        <v>46241</v>
      </c>
      <c r="B14422" s="5" t="s">
        <v>350</v>
      </c>
      <c r="C14422" s="5" t="s">
        <v>66</v>
      </c>
      <c r="D14422" s="5">
        <v>1</v>
      </c>
      <c r="E14422" s="5">
        <v>116305</v>
      </c>
    </row>
    <row r="14423" spans="1:5" x14ac:dyDescent="0.35">
      <c r="A14423" s="3">
        <v>46241</v>
      </c>
      <c r="B14423" s="5" t="s">
        <v>136</v>
      </c>
      <c r="C14423" s="5" t="s">
        <v>42</v>
      </c>
      <c r="D14423" s="5">
        <v>1</v>
      </c>
      <c r="E14423" s="5">
        <v>203578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20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19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18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18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373</v>
      </c>
      <c r="C14433" s="5" t="s">
        <v>83</v>
      </c>
      <c r="D14433" s="5">
        <v>1</v>
      </c>
      <c r="E14433" s="5">
        <v>70850</v>
      </c>
    </row>
    <row r="14434" spans="1:5" x14ac:dyDescent="0.35">
      <c r="A14434" s="3">
        <v>46241</v>
      </c>
      <c r="B14434" s="5" t="s">
        <v>373</v>
      </c>
      <c r="C14434" s="5" t="s">
        <v>108</v>
      </c>
      <c r="D14434" s="5">
        <v>1</v>
      </c>
      <c r="E14434" s="5">
        <v>106305</v>
      </c>
    </row>
    <row r="14435" spans="1:5" x14ac:dyDescent="0.35">
      <c r="A14435" s="3">
        <v>46241</v>
      </c>
      <c r="B14435" s="5" t="s">
        <v>244</v>
      </c>
      <c r="C14435" s="5" t="s">
        <v>49</v>
      </c>
      <c r="D14435" s="5">
        <v>1</v>
      </c>
      <c r="E14435" s="5">
        <v>64941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19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20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18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18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18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373</v>
      </c>
      <c r="C14446" s="5" t="s">
        <v>28</v>
      </c>
      <c r="D14446" s="5">
        <v>1</v>
      </c>
      <c r="E14446" s="5">
        <v>118123</v>
      </c>
    </row>
    <row r="14447" spans="1:5" x14ac:dyDescent="0.35">
      <c r="A14447" s="3">
        <v>46241</v>
      </c>
      <c r="B14447" s="5" t="s">
        <v>373</v>
      </c>
      <c r="C14447" s="5" t="s">
        <v>18</v>
      </c>
      <c r="D14447" s="5">
        <v>1</v>
      </c>
      <c r="E14447" s="5">
        <v>129941</v>
      </c>
    </row>
    <row r="14448" spans="1:5" x14ac:dyDescent="0.35">
      <c r="A14448" s="3">
        <v>46241</v>
      </c>
      <c r="B14448" s="5" t="s">
        <v>373</v>
      </c>
      <c r="C14448" s="5" t="s">
        <v>18</v>
      </c>
      <c r="D14448" s="5">
        <v>1</v>
      </c>
      <c r="E14448" s="5">
        <v>129941</v>
      </c>
    </row>
    <row r="14449" spans="1:5" x14ac:dyDescent="0.35">
      <c r="A14449" s="3">
        <v>46241</v>
      </c>
      <c r="B14449" s="5" t="s">
        <v>373</v>
      </c>
      <c r="C14449" s="5" t="s">
        <v>42</v>
      </c>
      <c r="D14449" s="5">
        <v>1</v>
      </c>
      <c r="E14449" s="5">
        <v>206759</v>
      </c>
    </row>
    <row r="14450" spans="1:5" x14ac:dyDescent="0.35">
      <c r="A14450" s="3">
        <v>46241</v>
      </c>
      <c r="B14450" s="5" t="s">
        <v>351</v>
      </c>
      <c r="C14450" s="5" t="s">
        <v>66</v>
      </c>
      <c r="D14450" s="5">
        <v>1</v>
      </c>
      <c r="E14450" s="5">
        <v>116305</v>
      </c>
    </row>
    <row r="14451" spans="1:5" x14ac:dyDescent="0.35">
      <c r="A14451" s="3">
        <v>46241</v>
      </c>
      <c r="B14451" s="5" t="s">
        <v>351</v>
      </c>
      <c r="C14451" s="5" t="s">
        <v>66</v>
      </c>
      <c r="D14451" s="5">
        <v>1</v>
      </c>
      <c r="E14451" s="5">
        <v>116305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20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20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20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20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19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373</v>
      </c>
      <c r="C14464" s="5" t="s">
        <v>18</v>
      </c>
      <c r="D14464" s="5">
        <v>1</v>
      </c>
      <c r="E14464" s="5">
        <v>129941</v>
      </c>
    </row>
    <row r="14465" spans="1:5" x14ac:dyDescent="0.35">
      <c r="A14465" s="3">
        <v>46241</v>
      </c>
      <c r="B14465" s="5" t="s">
        <v>375</v>
      </c>
      <c r="C14465" s="5" t="s">
        <v>39</v>
      </c>
      <c r="D14465" s="5">
        <v>1</v>
      </c>
      <c r="E14465" s="5">
        <v>118123</v>
      </c>
    </row>
    <row r="14466" spans="1:5" x14ac:dyDescent="0.35">
      <c r="A14466" s="3">
        <v>46241</v>
      </c>
      <c r="B14466" s="5" t="s">
        <v>351</v>
      </c>
      <c r="C14466" s="5" t="s">
        <v>66</v>
      </c>
      <c r="D14466" s="5">
        <v>1</v>
      </c>
      <c r="E14466" s="5">
        <v>116305</v>
      </c>
    </row>
    <row r="14467" spans="1:5" x14ac:dyDescent="0.35">
      <c r="A14467" s="3">
        <v>46241</v>
      </c>
      <c r="B14467" s="5" t="s">
        <v>133</v>
      </c>
      <c r="C14467" s="5" t="s">
        <v>20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20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20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20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20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133</v>
      </c>
      <c r="C14473" s="5" t="s">
        <v>18</v>
      </c>
      <c r="D14473" s="5">
        <v>1</v>
      </c>
      <c r="E14473" s="5">
        <v>127942</v>
      </c>
    </row>
    <row r="14474" spans="1:5" x14ac:dyDescent="0.35">
      <c r="A14474" s="3">
        <v>46241</v>
      </c>
      <c r="B14474" s="5" t="s">
        <v>133</v>
      </c>
      <c r="C14474" s="5" t="s">
        <v>18</v>
      </c>
      <c r="D14474" s="5">
        <v>1</v>
      </c>
      <c r="E14474" s="5">
        <v>127942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18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18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18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19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375</v>
      </c>
      <c r="C14485" s="5" t="s">
        <v>18</v>
      </c>
      <c r="D14485" s="5">
        <v>1</v>
      </c>
      <c r="E14485" s="5">
        <v>129941</v>
      </c>
    </row>
    <row r="14486" spans="1:5" x14ac:dyDescent="0.35">
      <c r="A14486" s="3">
        <v>46241</v>
      </c>
      <c r="B14486" s="5" t="s">
        <v>375</v>
      </c>
      <c r="C14486" s="5" t="s">
        <v>32</v>
      </c>
      <c r="D14486" s="5">
        <v>1</v>
      </c>
      <c r="E14486" s="5">
        <v>177214</v>
      </c>
    </row>
    <row r="14487" spans="1:5" x14ac:dyDescent="0.35">
      <c r="A14487" s="3">
        <v>46241</v>
      </c>
      <c r="B14487" s="5" t="s">
        <v>133</v>
      </c>
      <c r="C14487" s="5" t="s">
        <v>20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20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20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133</v>
      </c>
      <c r="C14492" s="5" t="s">
        <v>18</v>
      </c>
      <c r="D14492" s="5">
        <v>1</v>
      </c>
      <c r="E14492" s="5">
        <v>127942</v>
      </c>
    </row>
    <row r="14493" spans="1:5" x14ac:dyDescent="0.35">
      <c r="A14493" s="3">
        <v>46241</v>
      </c>
      <c r="B14493" s="5" t="s">
        <v>133</v>
      </c>
      <c r="C14493" s="5" t="s">
        <v>18</v>
      </c>
      <c r="D14493" s="5">
        <v>1</v>
      </c>
      <c r="E14493" s="5">
        <v>127942</v>
      </c>
    </row>
    <row r="14494" spans="1:5" x14ac:dyDescent="0.35">
      <c r="A14494" s="3">
        <v>46241</v>
      </c>
      <c r="B14494" s="5" t="s">
        <v>133</v>
      </c>
      <c r="C14494" s="5" t="s">
        <v>18</v>
      </c>
      <c r="D14494" s="5">
        <v>1</v>
      </c>
      <c r="E14494" s="5">
        <v>127942</v>
      </c>
    </row>
    <row r="14495" spans="1:5" x14ac:dyDescent="0.35">
      <c r="A14495" s="3">
        <v>46241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46241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46241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46241</v>
      </c>
      <c r="B14498" s="5" t="s">
        <v>133</v>
      </c>
      <c r="C14498" s="5" t="s">
        <v>18</v>
      </c>
      <c r="D14498" s="5">
        <v>1</v>
      </c>
      <c r="E14498" s="5">
        <v>127942</v>
      </c>
    </row>
    <row r="14499" spans="1:5" x14ac:dyDescent="0.35">
      <c r="A14499" s="3">
        <v>46241</v>
      </c>
      <c r="B14499" s="5" t="s">
        <v>133</v>
      </c>
      <c r="C14499" s="5" t="s">
        <v>19</v>
      </c>
      <c r="D14499" s="5">
        <v>1</v>
      </c>
      <c r="E14499" s="5">
        <v>127942</v>
      </c>
    </row>
    <row r="14500" spans="1:5" x14ac:dyDescent="0.35">
      <c r="A14500" s="3">
        <v>46241</v>
      </c>
      <c r="B14500" s="5" t="s">
        <v>133</v>
      </c>
      <c r="C14500" s="5" t="s">
        <v>18</v>
      </c>
      <c r="D14500" s="5">
        <v>1</v>
      </c>
      <c r="E14500" s="5">
        <v>127942</v>
      </c>
    </row>
    <row r="14501" spans="1:5" x14ac:dyDescent="0.35">
      <c r="A14501" s="3">
        <v>46241</v>
      </c>
      <c r="B14501" s="5" t="s">
        <v>133</v>
      </c>
      <c r="C14501" s="5" t="s">
        <v>18</v>
      </c>
      <c r="D14501" s="5">
        <v>1</v>
      </c>
      <c r="E14501" s="5">
        <v>127942</v>
      </c>
    </row>
    <row r="14502" spans="1:5" x14ac:dyDescent="0.35">
      <c r="A14502" s="3">
        <v>46241</v>
      </c>
      <c r="B14502" s="5" t="s">
        <v>133</v>
      </c>
      <c r="C14502" s="5" t="s">
        <v>18</v>
      </c>
      <c r="D14502" s="5">
        <v>1</v>
      </c>
      <c r="E14502" s="5">
        <v>127942</v>
      </c>
    </row>
    <row r="14503" spans="1:5" x14ac:dyDescent="0.35">
      <c r="A14503" s="3">
        <v>46241</v>
      </c>
      <c r="B14503" s="5" t="s">
        <v>133</v>
      </c>
      <c r="C14503" s="5" t="s">
        <v>18</v>
      </c>
      <c r="D14503" s="5">
        <v>1</v>
      </c>
      <c r="E14503" s="5">
        <v>127942</v>
      </c>
    </row>
    <row r="14504" spans="1:5" x14ac:dyDescent="0.35">
      <c r="A14504" s="3">
        <v>46241</v>
      </c>
      <c r="B14504" s="5" t="s">
        <v>133</v>
      </c>
      <c r="C14504" s="5" t="s">
        <v>18</v>
      </c>
      <c r="D14504" s="5">
        <v>1</v>
      </c>
      <c r="E14504" s="5">
        <v>127942</v>
      </c>
    </row>
    <row r="14505" spans="1:5" x14ac:dyDescent="0.35">
      <c r="A14505" s="3">
        <v>46241</v>
      </c>
      <c r="B14505" s="5" t="s">
        <v>133</v>
      </c>
      <c r="C14505" s="5" t="s">
        <v>18</v>
      </c>
      <c r="D14505" s="5">
        <v>1</v>
      </c>
      <c r="E14505" s="5">
        <v>127942</v>
      </c>
    </row>
    <row r="14506" spans="1:5" x14ac:dyDescent="0.35">
      <c r="A14506" s="3">
        <v>46241</v>
      </c>
      <c r="B14506" s="5" t="s">
        <v>133</v>
      </c>
      <c r="C14506" s="5" t="s">
        <v>18</v>
      </c>
      <c r="D14506" s="5">
        <v>1</v>
      </c>
      <c r="E14506" s="5">
        <v>127942</v>
      </c>
    </row>
    <row r="14507" spans="1:5" x14ac:dyDescent="0.35">
      <c r="A14507" s="3">
        <v>46241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46241</v>
      </c>
      <c r="B14508" s="5" t="s">
        <v>244</v>
      </c>
      <c r="C14508" s="5" t="s">
        <v>42</v>
      </c>
      <c r="D14508" s="5">
        <v>1</v>
      </c>
      <c r="E14508" s="5">
        <v>206759</v>
      </c>
    </row>
    <row r="14509" spans="1:5" x14ac:dyDescent="0.35">
      <c r="A14509" s="3">
        <v>46241</v>
      </c>
      <c r="B14509" s="5" t="s">
        <v>375</v>
      </c>
      <c r="C14509" s="5" t="s">
        <v>41</v>
      </c>
      <c r="D14509" s="5">
        <v>1</v>
      </c>
      <c r="E14509" s="5">
        <v>159486</v>
      </c>
    </row>
    <row r="14510" spans="1:5" x14ac:dyDescent="0.35">
      <c r="A14510" s="3">
        <v>46241</v>
      </c>
      <c r="B14510" s="5" t="s">
        <v>136</v>
      </c>
      <c r="C14510" s="5" t="s">
        <v>42</v>
      </c>
      <c r="D14510" s="5">
        <v>1</v>
      </c>
      <c r="E14510" s="5">
        <v>203578</v>
      </c>
    </row>
    <row r="14511" spans="1:5" x14ac:dyDescent="0.35">
      <c r="A14511" s="3">
        <v>46241</v>
      </c>
      <c r="B14511" s="5" t="s">
        <v>133</v>
      </c>
      <c r="C14511" s="5" t="s">
        <v>20</v>
      </c>
      <c r="D14511" s="5">
        <v>1</v>
      </c>
      <c r="E14511" s="5">
        <v>127942</v>
      </c>
    </row>
    <row r="14512" spans="1:5" x14ac:dyDescent="0.35">
      <c r="A14512" s="3">
        <v>46241</v>
      </c>
      <c r="B14512" s="5" t="s">
        <v>133</v>
      </c>
      <c r="C14512" s="5" t="s">
        <v>20</v>
      </c>
      <c r="D14512" s="5">
        <v>1</v>
      </c>
      <c r="E14512" s="5">
        <v>127942</v>
      </c>
    </row>
    <row r="14513" spans="1:5" x14ac:dyDescent="0.35">
      <c r="A14513" s="3">
        <v>46241</v>
      </c>
      <c r="B14513" s="5" t="s">
        <v>133</v>
      </c>
      <c r="C14513" s="5" t="s">
        <v>20</v>
      </c>
      <c r="D14513" s="5">
        <v>1</v>
      </c>
      <c r="E14513" s="5">
        <v>127942</v>
      </c>
    </row>
    <row r="14514" spans="1:5" x14ac:dyDescent="0.35">
      <c r="A14514" s="3">
        <v>46241</v>
      </c>
      <c r="B14514" s="5" t="s">
        <v>133</v>
      </c>
      <c r="C14514" s="5" t="s">
        <v>20</v>
      </c>
      <c r="D14514" s="5">
        <v>1</v>
      </c>
      <c r="E14514" s="5">
        <v>127942</v>
      </c>
    </row>
    <row r="14515" spans="1:5" x14ac:dyDescent="0.35">
      <c r="A14515" s="3">
        <v>46241</v>
      </c>
      <c r="B14515" s="5" t="s">
        <v>133</v>
      </c>
      <c r="C14515" s="5" t="s">
        <v>20</v>
      </c>
      <c r="D14515" s="5">
        <v>1</v>
      </c>
      <c r="E14515" s="5">
        <v>127942</v>
      </c>
    </row>
    <row r="14516" spans="1:5" x14ac:dyDescent="0.35">
      <c r="A14516" s="3">
        <v>46241</v>
      </c>
      <c r="B14516" s="5" t="s">
        <v>133</v>
      </c>
      <c r="C14516" s="5" t="s">
        <v>20</v>
      </c>
      <c r="D14516" s="5">
        <v>1</v>
      </c>
      <c r="E14516" s="5">
        <v>127942</v>
      </c>
    </row>
    <row r="14517" spans="1:5" x14ac:dyDescent="0.35">
      <c r="A14517" s="3">
        <v>46241</v>
      </c>
      <c r="B14517" s="5" t="s">
        <v>133</v>
      </c>
      <c r="C14517" s="5" t="s">
        <v>18</v>
      </c>
      <c r="D14517" s="5">
        <v>1</v>
      </c>
      <c r="E14517" s="5">
        <v>127942</v>
      </c>
    </row>
    <row r="14518" spans="1:5" x14ac:dyDescent="0.35">
      <c r="A14518" s="3">
        <v>46241</v>
      </c>
      <c r="B14518" s="5" t="s">
        <v>133</v>
      </c>
      <c r="C14518" s="5" t="s">
        <v>20</v>
      </c>
      <c r="D14518" s="5">
        <v>1</v>
      </c>
      <c r="E14518" s="5">
        <v>127942</v>
      </c>
    </row>
    <row r="14519" spans="1:5" x14ac:dyDescent="0.35">
      <c r="A14519" s="3">
        <v>46241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46241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46241</v>
      </c>
      <c r="B14521" s="5" t="s">
        <v>133</v>
      </c>
      <c r="C14521" s="5" t="s">
        <v>20</v>
      </c>
      <c r="D14521" s="5">
        <v>1</v>
      </c>
      <c r="E14521" s="5">
        <v>127942</v>
      </c>
    </row>
    <row r="14522" spans="1:5" x14ac:dyDescent="0.35">
      <c r="A14522" s="3">
        <v>46241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46241</v>
      </c>
      <c r="B14523" s="5" t="s">
        <v>133</v>
      </c>
      <c r="C14523" s="5" t="s">
        <v>18</v>
      </c>
      <c r="D14523" s="5">
        <v>1</v>
      </c>
      <c r="E14523" s="5">
        <v>127942</v>
      </c>
    </row>
    <row r="14524" spans="1:5" x14ac:dyDescent="0.35">
      <c r="A14524" s="3">
        <v>46241</v>
      </c>
      <c r="B14524" s="5" t="s">
        <v>133</v>
      </c>
      <c r="C14524" s="5" t="s">
        <v>18</v>
      </c>
      <c r="D14524" s="5">
        <v>1</v>
      </c>
      <c r="E14524" s="5">
        <v>127942</v>
      </c>
    </row>
    <row r="14525" spans="1:5" x14ac:dyDescent="0.35">
      <c r="A14525" s="3">
        <v>46241</v>
      </c>
      <c r="B14525" s="5" t="s">
        <v>133</v>
      </c>
      <c r="C14525" s="5" t="s">
        <v>18</v>
      </c>
      <c r="D14525" s="5">
        <v>1</v>
      </c>
      <c r="E14525" s="5">
        <v>127942</v>
      </c>
    </row>
    <row r="14526" spans="1:5" x14ac:dyDescent="0.35">
      <c r="A14526" s="3">
        <v>46241</v>
      </c>
      <c r="B14526" s="5" t="s">
        <v>133</v>
      </c>
      <c r="C14526" s="5" t="s">
        <v>18</v>
      </c>
      <c r="D14526" s="5">
        <v>1</v>
      </c>
      <c r="E14526" s="5">
        <v>127942</v>
      </c>
    </row>
    <row r="14527" spans="1:5" x14ac:dyDescent="0.35">
      <c r="A14527" s="3">
        <v>46241</v>
      </c>
      <c r="B14527" s="5" t="s">
        <v>133</v>
      </c>
      <c r="C14527" s="5" t="s">
        <v>18</v>
      </c>
      <c r="D14527" s="5">
        <v>1</v>
      </c>
      <c r="E14527" s="5">
        <v>127942</v>
      </c>
    </row>
    <row r="14528" spans="1:5" x14ac:dyDescent="0.35">
      <c r="A14528" s="3">
        <v>46241</v>
      </c>
      <c r="B14528" s="5" t="s">
        <v>121</v>
      </c>
      <c r="C14528" s="5" t="s">
        <v>21</v>
      </c>
      <c r="D14528" s="5">
        <v>1</v>
      </c>
      <c r="E14528" s="5">
        <v>203578</v>
      </c>
    </row>
    <row r="14529" spans="1:5" x14ac:dyDescent="0.35">
      <c r="A14529" s="3">
        <v>46244</v>
      </c>
      <c r="B14529" s="5" t="s">
        <v>373</v>
      </c>
      <c r="C14529" s="5" t="s">
        <v>18</v>
      </c>
      <c r="D14529" s="5">
        <v>1</v>
      </c>
      <c r="E14529" s="5">
        <v>129941</v>
      </c>
    </row>
    <row r="14530" spans="1:5" x14ac:dyDescent="0.35">
      <c r="A14530" s="3">
        <v>46244</v>
      </c>
      <c r="B14530" s="5" t="s">
        <v>376</v>
      </c>
      <c r="C14530" s="5" t="s">
        <v>38</v>
      </c>
      <c r="D14530" s="5">
        <v>1</v>
      </c>
      <c r="E14530" s="5">
        <v>236305</v>
      </c>
    </row>
    <row r="14531" spans="1:5" x14ac:dyDescent="0.35">
      <c r="A14531" s="3">
        <v>46244</v>
      </c>
      <c r="B14531" s="5" t="s">
        <v>373</v>
      </c>
      <c r="C14531" s="5" t="s">
        <v>18</v>
      </c>
      <c r="D14531" s="5">
        <v>1</v>
      </c>
      <c r="E14531" s="5">
        <v>129941</v>
      </c>
    </row>
    <row r="14532" spans="1:5" x14ac:dyDescent="0.35">
      <c r="A14532" s="3">
        <v>46244</v>
      </c>
      <c r="B14532" s="5" t="s">
        <v>352</v>
      </c>
      <c r="C14532" s="5" t="s">
        <v>66</v>
      </c>
      <c r="D14532" s="5">
        <v>1</v>
      </c>
      <c r="E14532" s="5">
        <v>116305</v>
      </c>
    </row>
    <row r="14533" spans="1:5" x14ac:dyDescent="0.35">
      <c r="A14533" s="3">
        <v>46244</v>
      </c>
      <c r="B14533" s="5" t="s">
        <v>352</v>
      </c>
      <c r="C14533" s="5" t="s">
        <v>66</v>
      </c>
      <c r="D14533" s="5">
        <v>1</v>
      </c>
      <c r="E14533" s="5">
        <v>116305</v>
      </c>
    </row>
    <row r="14534" spans="1:5" x14ac:dyDescent="0.35">
      <c r="A14534" s="3">
        <v>46244</v>
      </c>
      <c r="B14534" s="5" t="s">
        <v>133</v>
      </c>
      <c r="C14534" s="5" t="s">
        <v>18</v>
      </c>
      <c r="D14534" s="5">
        <v>1</v>
      </c>
      <c r="E14534" s="5">
        <v>127942</v>
      </c>
    </row>
    <row r="14535" spans="1:5" x14ac:dyDescent="0.35">
      <c r="A14535" s="3">
        <v>46244</v>
      </c>
      <c r="B14535" s="5" t="s">
        <v>133</v>
      </c>
      <c r="C14535" s="5" t="s">
        <v>18</v>
      </c>
      <c r="D14535" s="5">
        <v>1</v>
      </c>
      <c r="E14535" s="5">
        <v>127942</v>
      </c>
    </row>
    <row r="14536" spans="1:5" x14ac:dyDescent="0.35">
      <c r="A14536" s="3">
        <v>46244</v>
      </c>
      <c r="B14536" s="5" t="s">
        <v>133</v>
      </c>
      <c r="C14536" s="5" t="s">
        <v>18</v>
      </c>
      <c r="D14536" s="5">
        <v>1</v>
      </c>
      <c r="E14536" s="5">
        <v>127942</v>
      </c>
    </row>
    <row r="14537" spans="1:5" x14ac:dyDescent="0.35">
      <c r="A14537" s="3">
        <v>46244</v>
      </c>
      <c r="B14537" s="5" t="s">
        <v>373</v>
      </c>
      <c r="C14537" s="5" t="s">
        <v>28</v>
      </c>
      <c r="D14537" s="5">
        <v>1</v>
      </c>
      <c r="E14537" s="5">
        <v>118123</v>
      </c>
    </row>
    <row r="14538" spans="1:5" x14ac:dyDescent="0.35">
      <c r="A14538" s="3">
        <v>46244</v>
      </c>
      <c r="B14538" s="5" t="s">
        <v>244</v>
      </c>
      <c r="C14538" s="5" t="s">
        <v>42</v>
      </c>
      <c r="D14538" s="5">
        <v>1</v>
      </c>
      <c r="E14538" s="5">
        <v>206759</v>
      </c>
    </row>
    <row r="14539" spans="1:5" x14ac:dyDescent="0.35">
      <c r="A14539" s="3">
        <v>46244</v>
      </c>
      <c r="B14539" s="5" t="s">
        <v>376</v>
      </c>
      <c r="C14539" s="5" t="s">
        <v>18</v>
      </c>
      <c r="D14539" s="5">
        <v>1</v>
      </c>
      <c r="E14539" s="5">
        <v>129941</v>
      </c>
    </row>
    <row r="14540" spans="1:5" x14ac:dyDescent="0.35">
      <c r="A14540" s="3">
        <v>46244</v>
      </c>
      <c r="B14540" s="5" t="s">
        <v>352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352</v>
      </c>
      <c r="C14541" s="5" t="s">
        <v>66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352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352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352</v>
      </c>
      <c r="C14544" s="5" t="s">
        <v>65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352</v>
      </c>
      <c r="C14545" s="5" t="s">
        <v>65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352</v>
      </c>
      <c r="C14546" s="5" t="s">
        <v>65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352</v>
      </c>
      <c r="C14547" s="5" t="s">
        <v>65</v>
      </c>
      <c r="D14547" s="5">
        <v>1</v>
      </c>
      <c r="E14547" s="5">
        <v>116305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133</v>
      </c>
      <c r="C14550" s="5" t="s">
        <v>18</v>
      </c>
      <c r="D14550" s="5">
        <v>1</v>
      </c>
      <c r="E14550" s="5">
        <v>127942</v>
      </c>
    </row>
    <row r="14551" spans="1:5" x14ac:dyDescent="0.35">
      <c r="A14551" s="3">
        <v>46244</v>
      </c>
      <c r="B14551" s="5" t="s">
        <v>133</v>
      </c>
      <c r="C14551" s="5" t="s">
        <v>18</v>
      </c>
      <c r="D14551" s="5">
        <v>1</v>
      </c>
      <c r="E14551" s="5">
        <v>127942</v>
      </c>
    </row>
    <row r="14552" spans="1:5" x14ac:dyDescent="0.35">
      <c r="A14552" s="3">
        <v>46244</v>
      </c>
      <c r="B14552" s="5" t="s">
        <v>133</v>
      </c>
      <c r="C14552" s="5" t="s">
        <v>18</v>
      </c>
      <c r="D14552" s="5">
        <v>1</v>
      </c>
      <c r="E14552" s="5">
        <v>127942</v>
      </c>
    </row>
    <row r="14553" spans="1:5" x14ac:dyDescent="0.35">
      <c r="A14553" s="3">
        <v>46244</v>
      </c>
      <c r="B14553" s="5" t="s">
        <v>373</v>
      </c>
      <c r="C14553" s="5" t="s">
        <v>49</v>
      </c>
      <c r="D14553" s="5">
        <v>1</v>
      </c>
      <c r="E14553" s="5">
        <v>64941</v>
      </c>
    </row>
    <row r="14554" spans="1:5" x14ac:dyDescent="0.35">
      <c r="A14554" s="3">
        <v>46244</v>
      </c>
      <c r="B14554" s="5" t="s">
        <v>373</v>
      </c>
      <c r="C14554" s="5" t="s">
        <v>18</v>
      </c>
      <c r="D14554" s="5">
        <v>1</v>
      </c>
      <c r="E14554" s="5">
        <v>129941</v>
      </c>
    </row>
    <row r="14555" spans="1:5" x14ac:dyDescent="0.35">
      <c r="A14555" s="3">
        <v>46244</v>
      </c>
      <c r="B14555" s="5" t="s">
        <v>376</v>
      </c>
      <c r="C14555" s="5" t="s">
        <v>39</v>
      </c>
      <c r="D14555" s="5">
        <v>1</v>
      </c>
      <c r="E14555" s="5">
        <v>118123</v>
      </c>
    </row>
    <row r="14556" spans="1:5" x14ac:dyDescent="0.35">
      <c r="A14556" s="3">
        <v>46244</v>
      </c>
      <c r="B14556" s="5" t="s">
        <v>373</v>
      </c>
      <c r="C14556" s="5" t="s">
        <v>42</v>
      </c>
      <c r="D14556" s="5">
        <v>1</v>
      </c>
      <c r="E14556" s="5">
        <v>206759</v>
      </c>
    </row>
    <row r="14557" spans="1:5" x14ac:dyDescent="0.35">
      <c r="A14557" s="3">
        <v>46244</v>
      </c>
      <c r="B14557" s="5" t="s">
        <v>376</v>
      </c>
      <c r="C14557" s="5" t="s">
        <v>18</v>
      </c>
      <c r="D14557" s="5">
        <v>1</v>
      </c>
      <c r="E14557" s="5">
        <v>129941</v>
      </c>
    </row>
    <row r="14558" spans="1:5" x14ac:dyDescent="0.35">
      <c r="A14558" s="3">
        <v>46244</v>
      </c>
      <c r="B14558" s="5" t="s">
        <v>352</v>
      </c>
      <c r="C14558" s="5" t="s">
        <v>66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352</v>
      </c>
      <c r="C14559" s="5" t="s">
        <v>66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352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352</v>
      </c>
      <c r="C14561" s="5" t="s">
        <v>65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352</v>
      </c>
      <c r="C14562" s="5" t="s">
        <v>65</v>
      </c>
      <c r="D14562" s="5">
        <v>1</v>
      </c>
      <c r="E14562" s="5">
        <v>116305</v>
      </c>
    </row>
    <row r="14563" spans="1:5" x14ac:dyDescent="0.35">
      <c r="A14563" s="3">
        <v>46244</v>
      </c>
      <c r="B14563" s="5" t="s">
        <v>352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136</v>
      </c>
      <c r="C14564" s="5" t="s">
        <v>42</v>
      </c>
      <c r="D14564" s="5">
        <v>1</v>
      </c>
      <c r="E14564" s="5">
        <v>203578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373</v>
      </c>
      <c r="C14569" s="5" t="s">
        <v>18</v>
      </c>
      <c r="D14569" s="5">
        <v>1</v>
      </c>
      <c r="E14569" s="5">
        <v>129941</v>
      </c>
    </row>
    <row r="14570" spans="1:5" x14ac:dyDescent="0.35">
      <c r="A14570" s="3">
        <v>46244</v>
      </c>
      <c r="B14570" s="5" t="s">
        <v>244</v>
      </c>
      <c r="C14570" s="5" t="s">
        <v>18</v>
      </c>
      <c r="D14570" s="5">
        <v>1</v>
      </c>
      <c r="E14570" s="5">
        <v>129941</v>
      </c>
    </row>
    <row r="14571" spans="1:5" x14ac:dyDescent="0.35">
      <c r="A14571" s="3">
        <v>46244</v>
      </c>
      <c r="B14571" s="5" t="s">
        <v>351</v>
      </c>
      <c r="C14571" s="5" t="s">
        <v>66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352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352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352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352</v>
      </c>
      <c r="C14575" s="5" t="s">
        <v>65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352</v>
      </c>
      <c r="C14576" s="5" t="s">
        <v>67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352</v>
      </c>
      <c r="C14577" s="5" t="s">
        <v>67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237</v>
      </c>
      <c r="C14578" s="5" t="s">
        <v>18</v>
      </c>
      <c r="D14578" s="5">
        <v>1</v>
      </c>
      <c r="E14578" s="5">
        <v>127942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376</v>
      </c>
      <c r="C14581" s="5" t="s">
        <v>18</v>
      </c>
      <c r="D14581" s="5">
        <v>1</v>
      </c>
      <c r="E14581" s="5">
        <v>129941</v>
      </c>
    </row>
    <row r="14582" spans="1:5" x14ac:dyDescent="0.35">
      <c r="A14582" s="3">
        <v>46244</v>
      </c>
      <c r="B14582" s="5" t="s">
        <v>376</v>
      </c>
      <c r="C14582" s="5" t="s">
        <v>40</v>
      </c>
      <c r="D14582" s="5">
        <v>1</v>
      </c>
      <c r="E14582" s="5">
        <v>189032</v>
      </c>
    </row>
    <row r="14583" spans="1:5" x14ac:dyDescent="0.35">
      <c r="A14583" s="3">
        <v>46244</v>
      </c>
      <c r="B14583" s="5" t="s">
        <v>352</v>
      </c>
      <c r="C14583" s="5" t="s">
        <v>66</v>
      </c>
      <c r="D14583" s="5">
        <v>1</v>
      </c>
      <c r="E14583" s="5">
        <v>116305</v>
      </c>
    </row>
    <row r="14584" spans="1:5" x14ac:dyDescent="0.35">
      <c r="A14584" s="3">
        <v>46244</v>
      </c>
      <c r="B14584" s="5" t="s">
        <v>351</v>
      </c>
      <c r="C14584" s="5" t="s">
        <v>66</v>
      </c>
      <c r="D14584" s="5">
        <v>1</v>
      </c>
      <c r="E14584" s="5">
        <v>116305</v>
      </c>
    </row>
    <row r="14585" spans="1:5" x14ac:dyDescent="0.35">
      <c r="A14585" s="3">
        <v>46244</v>
      </c>
      <c r="B14585" s="5" t="s">
        <v>351</v>
      </c>
      <c r="C14585" s="5" t="s">
        <v>66</v>
      </c>
      <c r="D14585" s="5">
        <v>1</v>
      </c>
      <c r="E14585" s="5">
        <v>116305</v>
      </c>
    </row>
    <row r="14586" spans="1:5" x14ac:dyDescent="0.35">
      <c r="A14586" s="3">
        <v>46244</v>
      </c>
      <c r="B14586" s="5" t="s">
        <v>351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352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352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352</v>
      </c>
      <c r="C14589" s="5" t="s">
        <v>66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352</v>
      </c>
      <c r="C14590" s="5" t="s">
        <v>65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352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352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352</v>
      </c>
      <c r="C14593" s="5" t="s">
        <v>67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352</v>
      </c>
      <c r="C14594" s="5" t="s">
        <v>66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352</v>
      </c>
      <c r="C14595" s="5" t="s">
        <v>67</v>
      </c>
      <c r="D14595" s="5">
        <v>1</v>
      </c>
      <c r="E14595" s="5">
        <v>116305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373</v>
      </c>
      <c r="C14599" s="5" t="s">
        <v>18</v>
      </c>
      <c r="D14599" s="5">
        <v>1</v>
      </c>
      <c r="E14599" s="5">
        <v>129941</v>
      </c>
    </row>
    <row r="14600" spans="1:5" x14ac:dyDescent="0.35">
      <c r="A14600" s="3">
        <v>46244</v>
      </c>
      <c r="B14600" s="5" t="s">
        <v>352</v>
      </c>
      <c r="C14600" s="5" t="s">
        <v>66</v>
      </c>
      <c r="D14600" s="5">
        <v>1</v>
      </c>
      <c r="E14600" s="5">
        <v>116305</v>
      </c>
    </row>
    <row r="14601" spans="1:5" x14ac:dyDescent="0.35">
      <c r="A14601" s="3">
        <v>46244</v>
      </c>
      <c r="B14601" s="5" t="s">
        <v>352</v>
      </c>
      <c r="C14601" s="5" t="s">
        <v>66</v>
      </c>
      <c r="D14601" s="5">
        <v>1</v>
      </c>
      <c r="E14601" s="5">
        <v>116305</v>
      </c>
    </row>
    <row r="14602" spans="1:5" x14ac:dyDescent="0.35">
      <c r="A14602" s="3">
        <v>46244</v>
      </c>
      <c r="B14602" s="5" t="s">
        <v>352</v>
      </c>
      <c r="C14602" s="5" t="s">
        <v>66</v>
      </c>
      <c r="D14602" s="5">
        <v>1</v>
      </c>
      <c r="E14602" s="5">
        <v>116305</v>
      </c>
    </row>
    <row r="14603" spans="1:5" x14ac:dyDescent="0.35">
      <c r="A14603" s="3">
        <v>46244</v>
      </c>
      <c r="B14603" s="5" t="s">
        <v>352</v>
      </c>
      <c r="C14603" s="5" t="s">
        <v>66</v>
      </c>
      <c r="D14603" s="5">
        <v>1</v>
      </c>
      <c r="E14603" s="5">
        <v>116305</v>
      </c>
    </row>
    <row r="14604" spans="1:5" x14ac:dyDescent="0.35">
      <c r="A14604" s="3">
        <v>46244</v>
      </c>
      <c r="B14604" s="5" t="s">
        <v>351</v>
      </c>
      <c r="C14604" s="5" t="s">
        <v>66</v>
      </c>
      <c r="D14604" s="5">
        <v>1</v>
      </c>
      <c r="E14604" s="5">
        <v>116305</v>
      </c>
    </row>
    <row r="14605" spans="1:5" x14ac:dyDescent="0.35">
      <c r="A14605" s="3">
        <v>46244</v>
      </c>
      <c r="B14605" s="5" t="s">
        <v>352</v>
      </c>
      <c r="C14605" s="5" t="s">
        <v>66</v>
      </c>
      <c r="D14605" s="5">
        <v>1</v>
      </c>
      <c r="E14605" s="5">
        <v>116305</v>
      </c>
    </row>
    <row r="14606" spans="1:5" x14ac:dyDescent="0.35">
      <c r="A14606" s="3">
        <v>46244</v>
      </c>
      <c r="B14606" s="5" t="s">
        <v>352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352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352</v>
      </c>
      <c r="C14608" s="5" t="s">
        <v>67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352</v>
      </c>
      <c r="C14609" s="5" t="s">
        <v>67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352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352</v>
      </c>
      <c r="C14611" s="5" t="s">
        <v>67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136</v>
      </c>
      <c r="C14612" s="5" t="s">
        <v>42</v>
      </c>
      <c r="D14612" s="5">
        <v>1</v>
      </c>
      <c r="E14612" s="5">
        <v>203578</v>
      </c>
    </row>
    <row r="14613" spans="1:5" x14ac:dyDescent="0.35">
      <c r="A14613" s="3">
        <v>46244</v>
      </c>
      <c r="B14613" s="5" t="s">
        <v>352</v>
      </c>
      <c r="C14613" s="5" t="s">
        <v>67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352</v>
      </c>
      <c r="C14614" s="5" t="s">
        <v>67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133</v>
      </c>
      <c r="C14615" s="5" t="s">
        <v>18</v>
      </c>
      <c r="D14615" s="5">
        <v>1</v>
      </c>
      <c r="E14615" s="5">
        <v>127942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373</v>
      </c>
      <c r="C14620" s="5" t="s">
        <v>32</v>
      </c>
      <c r="D14620" s="5">
        <v>1</v>
      </c>
      <c r="E14620" s="5">
        <v>177214</v>
      </c>
    </row>
    <row r="14621" spans="1:5" x14ac:dyDescent="0.35">
      <c r="A14621" s="3">
        <v>46244</v>
      </c>
      <c r="B14621" s="5" t="s">
        <v>373</v>
      </c>
      <c r="C14621" s="5" t="s">
        <v>18</v>
      </c>
      <c r="D14621" s="5">
        <v>1</v>
      </c>
      <c r="E14621" s="5">
        <v>129941</v>
      </c>
    </row>
    <row r="14622" spans="1:5" x14ac:dyDescent="0.35">
      <c r="A14622" s="3">
        <v>46244</v>
      </c>
      <c r="B14622" s="5" t="s">
        <v>373</v>
      </c>
      <c r="C14622" s="5" t="s">
        <v>28</v>
      </c>
      <c r="D14622" s="5">
        <v>1</v>
      </c>
      <c r="E14622" s="5">
        <v>118123</v>
      </c>
    </row>
    <row r="14623" spans="1:5" x14ac:dyDescent="0.35">
      <c r="A14623" s="3">
        <v>46244</v>
      </c>
      <c r="B14623" s="5" t="s">
        <v>373</v>
      </c>
      <c r="C14623" s="5" t="s">
        <v>18</v>
      </c>
      <c r="D14623" s="5">
        <v>1</v>
      </c>
      <c r="E14623" s="5">
        <v>129941</v>
      </c>
    </row>
    <row r="14624" spans="1:5" x14ac:dyDescent="0.35">
      <c r="A14624" s="3">
        <v>46244</v>
      </c>
      <c r="B14624" s="5" t="s">
        <v>373</v>
      </c>
      <c r="C14624" s="5" t="s">
        <v>25</v>
      </c>
      <c r="D14624" s="5">
        <v>1</v>
      </c>
      <c r="E14624" s="5">
        <v>460318</v>
      </c>
    </row>
    <row r="14625" spans="1:5" x14ac:dyDescent="0.35">
      <c r="A14625" s="3">
        <v>46244</v>
      </c>
      <c r="B14625" s="5" t="s">
        <v>373</v>
      </c>
      <c r="C14625" s="5" t="s">
        <v>18</v>
      </c>
      <c r="D14625" s="5">
        <v>1</v>
      </c>
      <c r="E14625" s="5">
        <v>129941</v>
      </c>
    </row>
    <row r="14626" spans="1:5" x14ac:dyDescent="0.35">
      <c r="A14626" s="3">
        <v>46244</v>
      </c>
      <c r="B14626" s="5" t="s">
        <v>376</v>
      </c>
      <c r="C14626" s="5" t="s">
        <v>26</v>
      </c>
      <c r="D14626" s="5">
        <v>1</v>
      </c>
      <c r="E14626" s="5">
        <v>501682</v>
      </c>
    </row>
    <row r="14627" spans="1:5" x14ac:dyDescent="0.35">
      <c r="A14627" s="3">
        <v>46244</v>
      </c>
      <c r="B14627" s="5" t="s">
        <v>352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351</v>
      </c>
      <c r="C14628" s="5" t="s">
        <v>67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352</v>
      </c>
      <c r="C14629" s="5" t="s">
        <v>66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352</v>
      </c>
      <c r="C14630" s="5" t="s">
        <v>66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352</v>
      </c>
      <c r="C14631" s="5" t="s">
        <v>66</v>
      </c>
      <c r="D14631" s="5">
        <v>1</v>
      </c>
      <c r="E14631" s="5">
        <v>116305</v>
      </c>
    </row>
    <row r="14632" spans="1:5" x14ac:dyDescent="0.35">
      <c r="A14632" s="3">
        <v>46244</v>
      </c>
      <c r="B14632" s="5" t="s">
        <v>352</v>
      </c>
      <c r="C14632" s="5" t="s">
        <v>66</v>
      </c>
      <c r="D14632" s="5">
        <v>1</v>
      </c>
      <c r="E14632" s="5">
        <v>116305</v>
      </c>
    </row>
    <row r="14633" spans="1:5" x14ac:dyDescent="0.35">
      <c r="A14633" s="3">
        <v>46244</v>
      </c>
      <c r="B14633" s="5" t="s">
        <v>352</v>
      </c>
      <c r="C14633" s="5" t="s">
        <v>65</v>
      </c>
      <c r="D14633" s="5">
        <v>1</v>
      </c>
      <c r="E14633" s="5">
        <v>116305</v>
      </c>
    </row>
    <row r="14634" spans="1:5" x14ac:dyDescent="0.35">
      <c r="A14634" s="3">
        <v>46244</v>
      </c>
      <c r="B14634" s="5" t="s">
        <v>352</v>
      </c>
      <c r="C14634" s="5" t="s">
        <v>66</v>
      </c>
      <c r="D14634" s="5">
        <v>1</v>
      </c>
      <c r="E14634" s="5">
        <v>116305</v>
      </c>
    </row>
    <row r="14635" spans="1:5" x14ac:dyDescent="0.35">
      <c r="A14635" s="3">
        <v>46244</v>
      </c>
      <c r="B14635" s="5" t="s">
        <v>352</v>
      </c>
      <c r="C14635" s="5" t="s">
        <v>65</v>
      </c>
      <c r="D14635" s="5">
        <v>1</v>
      </c>
      <c r="E14635" s="5">
        <v>116305</v>
      </c>
    </row>
    <row r="14636" spans="1:5" x14ac:dyDescent="0.35">
      <c r="A14636" s="3">
        <v>46244</v>
      </c>
      <c r="B14636" s="5" t="s">
        <v>133</v>
      </c>
      <c r="C14636" s="5" t="s">
        <v>18</v>
      </c>
      <c r="D14636" s="5">
        <v>1</v>
      </c>
      <c r="E14636" s="5">
        <v>127942</v>
      </c>
    </row>
    <row r="14637" spans="1:5" x14ac:dyDescent="0.35">
      <c r="A14637" s="3">
        <v>46244</v>
      </c>
      <c r="B14637" s="5" t="s">
        <v>133</v>
      </c>
      <c r="C14637" s="5" t="s">
        <v>18</v>
      </c>
      <c r="D14637" s="5">
        <v>1</v>
      </c>
      <c r="E14637" s="5">
        <v>127942</v>
      </c>
    </row>
    <row r="14638" spans="1:5" x14ac:dyDescent="0.35">
      <c r="A14638" s="3">
        <v>46244</v>
      </c>
      <c r="B14638" s="5" t="s">
        <v>133</v>
      </c>
      <c r="C14638" s="5" t="s">
        <v>18</v>
      </c>
      <c r="D14638" s="5">
        <v>1</v>
      </c>
      <c r="E14638" s="5">
        <v>127942</v>
      </c>
    </row>
    <row r="14639" spans="1:5" x14ac:dyDescent="0.35">
      <c r="A14639" s="3">
        <v>46244</v>
      </c>
      <c r="B14639" s="5" t="s">
        <v>133</v>
      </c>
      <c r="C14639" s="5" t="s">
        <v>18</v>
      </c>
      <c r="D14639" s="5">
        <v>1</v>
      </c>
      <c r="E14639" s="5">
        <v>127942</v>
      </c>
    </row>
    <row r="14640" spans="1:5" x14ac:dyDescent="0.35">
      <c r="A14640" s="3">
        <v>46244</v>
      </c>
      <c r="B14640" s="5" t="s">
        <v>133</v>
      </c>
      <c r="C14640" s="5" t="s">
        <v>18</v>
      </c>
      <c r="D14640" s="5">
        <v>1</v>
      </c>
      <c r="E14640" s="5">
        <v>127942</v>
      </c>
    </row>
    <row r="14641" spans="1:5" x14ac:dyDescent="0.35">
      <c r="A14641" s="3">
        <v>46244</v>
      </c>
      <c r="B14641" s="5" t="s">
        <v>133</v>
      </c>
      <c r="C14641" s="5" t="s">
        <v>18</v>
      </c>
      <c r="D14641" s="5">
        <v>1</v>
      </c>
      <c r="E14641" s="5">
        <v>127942</v>
      </c>
    </row>
    <row r="14642" spans="1:5" x14ac:dyDescent="0.35">
      <c r="A14642" s="3">
        <v>46244</v>
      </c>
      <c r="B14642" s="5" t="s">
        <v>373</v>
      </c>
      <c r="C14642" s="5" t="s">
        <v>18</v>
      </c>
      <c r="D14642" s="5">
        <v>1</v>
      </c>
      <c r="E14642" s="5">
        <v>129941</v>
      </c>
    </row>
    <row r="14643" spans="1:5" x14ac:dyDescent="0.35">
      <c r="A14643" s="3">
        <v>46244</v>
      </c>
      <c r="B14643" s="5" t="s">
        <v>373</v>
      </c>
      <c r="C14643" s="5" t="s">
        <v>93</v>
      </c>
      <c r="D14643" s="5">
        <v>1</v>
      </c>
      <c r="E14643" s="5">
        <v>50168</v>
      </c>
    </row>
    <row r="14644" spans="1:5" x14ac:dyDescent="0.35">
      <c r="A14644" s="3">
        <v>46244</v>
      </c>
      <c r="B14644" s="5" t="s">
        <v>373</v>
      </c>
      <c r="C14644" s="5" t="s">
        <v>83</v>
      </c>
      <c r="D14644" s="5">
        <v>1</v>
      </c>
      <c r="E14644" s="5">
        <v>70850</v>
      </c>
    </row>
    <row r="14645" spans="1:5" x14ac:dyDescent="0.35">
      <c r="A14645" s="3">
        <v>46244</v>
      </c>
      <c r="B14645" s="5" t="s">
        <v>244</v>
      </c>
      <c r="C14645" s="5" t="s">
        <v>27</v>
      </c>
      <c r="D14645" s="5">
        <v>1</v>
      </c>
      <c r="E14645" s="5">
        <v>177214</v>
      </c>
    </row>
    <row r="14646" spans="1:5" x14ac:dyDescent="0.35">
      <c r="A14646" s="3">
        <v>46244</v>
      </c>
      <c r="B14646" s="5" t="s">
        <v>352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352</v>
      </c>
      <c r="C14647" s="5" t="s">
        <v>66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352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352</v>
      </c>
      <c r="C14649" s="5" t="s">
        <v>65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352</v>
      </c>
      <c r="C14650" s="5" t="s">
        <v>66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352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352</v>
      </c>
      <c r="C14652" s="5" t="s">
        <v>65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352</v>
      </c>
      <c r="C14653" s="5" t="s">
        <v>65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352</v>
      </c>
      <c r="C14654" s="5" t="s">
        <v>65</v>
      </c>
      <c r="D14654" s="5">
        <v>1</v>
      </c>
      <c r="E14654" s="5">
        <v>116305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133</v>
      </c>
      <c r="C14657" s="5" t="s">
        <v>18</v>
      </c>
      <c r="D14657" s="5">
        <v>1</v>
      </c>
      <c r="E14657" s="5">
        <v>127942</v>
      </c>
    </row>
    <row r="14658" spans="1:5" x14ac:dyDescent="0.35">
      <c r="A14658" s="3">
        <v>46244</v>
      </c>
      <c r="B14658" s="5" t="s">
        <v>133</v>
      </c>
      <c r="C14658" s="5" t="s">
        <v>18</v>
      </c>
      <c r="D14658" s="5">
        <v>1</v>
      </c>
      <c r="E14658" s="5">
        <v>127942</v>
      </c>
    </row>
    <row r="14659" spans="1:5" x14ac:dyDescent="0.35">
      <c r="A14659" s="3">
        <v>46244</v>
      </c>
      <c r="B14659" s="5" t="s">
        <v>133</v>
      </c>
      <c r="C14659" s="5" t="s">
        <v>18</v>
      </c>
      <c r="D14659" s="5">
        <v>1</v>
      </c>
      <c r="E14659" s="5">
        <v>127942</v>
      </c>
    </row>
    <row r="14660" spans="1:5" x14ac:dyDescent="0.35">
      <c r="A14660" s="3">
        <v>46244</v>
      </c>
      <c r="B14660" s="5" t="s">
        <v>133</v>
      </c>
      <c r="C14660" s="5" t="s">
        <v>18</v>
      </c>
      <c r="D14660" s="5">
        <v>1</v>
      </c>
      <c r="E14660" s="5">
        <v>127942</v>
      </c>
    </row>
    <row r="14661" spans="1:5" x14ac:dyDescent="0.35">
      <c r="A14661" s="3">
        <v>46244</v>
      </c>
      <c r="B14661" s="5" t="s">
        <v>133</v>
      </c>
      <c r="C14661" s="5" t="s">
        <v>18</v>
      </c>
      <c r="D14661" s="5">
        <v>1</v>
      </c>
      <c r="E14661" s="5">
        <v>127942</v>
      </c>
    </row>
    <row r="14662" spans="1:5" x14ac:dyDescent="0.35">
      <c r="A14662" s="3">
        <v>46244</v>
      </c>
      <c r="B14662" s="5" t="s">
        <v>133</v>
      </c>
      <c r="C14662" s="5" t="s">
        <v>18</v>
      </c>
      <c r="D14662" s="5">
        <v>1</v>
      </c>
      <c r="E14662" s="5">
        <v>127942</v>
      </c>
    </row>
    <row r="14663" spans="1:5" x14ac:dyDescent="0.35">
      <c r="A14663" s="3">
        <v>46244</v>
      </c>
      <c r="B14663" s="5" t="s">
        <v>133</v>
      </c>
      <c r="C14663" s="5" t="s">
        <v>18</v>
      </c>
      <c r="D14663" s="5">
        <v>1</v>
      </c>
      <c r="E14663" s="5">
        <v>127942</v>
      </c>
    </row>
    <row r="14664" spans="1:5" x14ac:dyDescent="0.35">
      <c r="A14664" s="3">
        <v>46244</v>
      </c>
      <c r="B14664" s="5" t="s">
        <v>133</v>
      </c>
      <c r="C14664" s="5" t="s">
        <v>18</v>
      </c>
      <c r="D14664" s="5">
        <v>1</v>
      </c>
      <c r="E14664" s="5">
        <v>127942</v>
      </c>
    </row>
    <row r="14665" spans="1:5" x14ac:dyDescent="0.35">
      <c r="A14665" s="3">
        <v>46244</v>
      </c>
      <c r="B14665" s="5" t="s">
        <v>373</v>
      </c>
      <c r="C14665" s="5" t="s">
        <v>35</v>
      </c>
      <c r="D14665" s="5">
        <v>1</v>
      </c>
      <c r="E14665" s="5">
        <v>324409</v>
      </c>
    </row>
    <row r="14666" spans="1:5" x14ac:dyDescent="0.35">
      <c r="A14666" s="3">
        <v>46244</v>
      </c>
      <c r="B14666" s="5" t="s">
        <v>373</v>
      </c>
      <c r="C14666" s="5" t="s">
        <v>25</v>
      </c>
      <c r="D14666" s="5">
        <v>1</v>
      </c>
      <c r="E14666" s="5">
        <v>460318</v>
      </c>
    </row>
    <row r="14667" spans="1:5" x14ac:dyDescent="0.35">
      <c r="A14667" s="3">
        <v>46244</v>
      </c>
      <c r="B14667" s="5" t="s">
        <v>244</v>
      </c>
      <c r="C14667" s="5" t="s">
        <v>18</v>
      </c>
      <c r="D14667" s="5">
        <v>1</v>
      </c>
      <c r="E14667" s="5">
        <v>129941</v>
      </c>
    </row>
    <row r="14668" spans="1:5" x14ac:dyDescent="0.35">
      <c r="A14668" s="3">
        <v>46244</v>
      </c>
      <c r="B14668" s="5" t="s">
        <v>351</v>
      </c>
      <c r="C14668" s="5" t="s">
        <v>66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352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352</v>
      </c>
      <c r="C14670" s="5" t="s">
        <v>65</v>
      </c>
      <c r="D14670" s="5">
        <v>1</v>
      </c>
      <c r="E14670" s="5">
        <v>116305</v>
      </c>
    </row>
    <row r="14671" spans="1:5" x14ac:dyDescent="0.35">
      <c r="A14671" s="3">
        <v>46244</v>
      </c>
      <c r="B14671" s="5" t="s">
        <v>352</v>
      </c>
      <c r="C14671" s="5" t="s">
        <v>66</v>
      </c>
      <c r="D14671" s="5">
        <v>1</v>
      </c>
      <c r="E14671" s="5">
        <v>116305</v>
      </c>
    </row>
    <row r="14672" spans="1:5" x14ac:dyDescent="0.35">
      <c r="A14672" s="3">
        <v>46244</v>
      </c>
      <c r="B14672" s="5" t="s">
        <v>351</v>
      </c>
      <c r="C14672" s="5" t="s">
        <v>66</v>
      </c>
      <c r="D14672" s="5">
        <v>1</v>
      </c>
      <c r="E14672" s="5">
        <v>116305</v>
      </c>
    </row>
    <row r="14673" spans="1:5" x14ac:dyDescent="0.35">
      <c r="A14673" s="3">
        <v>46244</v>
      </c>
      <c r="B14673" s="5" t="s">
        <v>352</v>
      </c>
      <c r="C14673" s="5" t="s">
        <v>65</v>
      </c>
      <c r="D14673" s="5">
        <v>1</v>
      </c>
      <c r="E14673" s="5">
        <v>116305</v>
      </c>
    </row>
    <row r="14674" spans="1:5" x14ac:dyDescent="0.35">
      <c r="A14674" s="3">
        <v>46244</v>
      </c>
      <c r="B14674" s="5" t="s">
        <v>352</v>
      </c>
      <c r="C14674" s="5" t="s">
        <v>66</v>
      </c>
      <c r="D14674" s="5">
        <v>1</v>
      </c>
      <c r="E14674" s="5">
        <v>116305</v>
      </c>
    </row>
    <row r="14675" spans="1:5" x14ac:dyDescent="0.35">
      <c r="A14675" s="3">
        <v>46244</v>
      </c>
      <c r="B14675" s="5" t="s">
        <v>352</v>
      </c>
      <c r="C14675" s="5" t="s">
        <v>65</v>
      </c>
      <c r="D14675" s="5">
        <v>1</v>
      </c>
      <c r="E14675" s="5">
        <v>116305</v>
      </c>
    </row>
    <row r="14676" spans="1:5" x14ac:dyDescent="0.35">
      <c r="A14676" s="3">
        <v>46244</v>
      </c>
      <c r="B14676" s="5" t="s">
        <v>352</v>
      </c>
      <c r="C14676" s="5" t="s">
        <v>65</v>
      </c>
      <c r="D14676" s="5">
        <v>1</v>
      </c>
      <c r="E14676" s="5">
        <v>116305</v>
      </c>
    </row>
    <row r="14677" spans="1:5" x14ac:dyDescent="0.35">
      <c r="A14677" s="3">
        <v>46244</v>
      </c>
      <c r="B14677" s="5" t="s">
        <v>352</v>
      </c>
      <c r="C14677" s="5" t="s">
        <v>67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133</v>
      </c>
      <c r="C14678" s="5" t="s">
        <v>18</v>
      </c>
      <c r="D14678" s="5">
        <v>1</v>
      </c>
      <c r="E14678" s="5">
        <v>127942</v>
      </c>
    </row>
    <row r="14679" spans="1:5" x14ac:dyDescent="0.35">
      <c r="A14679" s="3">
        <v>46244</v>
      </c>
      <c r="B14679" s="5" t="s">
        <v>133</v>
      </c>
      <c r="C14679" s="5" t="s">
        <v>18</v>
      </c>
      <c r="D14679" s="5">
        <v>1</v>
      </c>
      <c r="E14679" s="5">
        <v>127942</v>
      </c>
    </row>
    <row r="14680" spans="1:5" x14ac:dyDescent="0.35">
      <c r="A14680" s="3">
        <v>46244</v>
      </c>
      <c r="B14680" s="5" t="s">
        <v>133</v>
      </c>
      <c r="C14680" s="5" t="s">
        <v>18</v>
      </c>
      <c r="D14680" s="5">
        <v>1</v>
      </c>
      <c r="E14680" s="5">
        <v>127942</v>
      </c>
    </row>
    <row r="14681" spans="1:5" x14ac:dyDescent="0.35">
      <c r="A14681" s="3">
        <v>46244</v>
      </c>
      <c r="B14681" s="5" t="s">
        <v>133</v>
      </c>
      <c r="C14681" s="5" t="s">
        <v>18</v>
      </c>
      <c r="D14681" s="5">
        <v>1</v>
      </c>
      <c r="E14681" s="5">
        <v>127942</v>
      </c>
    </row>
    <row r="14682" spans="1:5" x14ac:dyDescent="0.35">
      <c r="A14682" s="3">
        <v>46244</v>
      </c>
      <c r="B14682" s="5" t="s">
        <v>133</v>
      </c>
      <c r="C14682" s="5" t="s">
        <v>18</v>
      </c>
      <c r="D14682" s="5">
        <v>1</v>
      </c>
      <c r="E14682" s="5">
        <v>127942</v>
      </c>
    </row>
    <row r="14683" spans="1:5" x14ac:dyDescent="0.35">
      <c r="A14683" s="3">
        <v>46244</v>
      </c>
      <c r="B14683" s="5" t="s">
        <v>133</v>
      </c>
      <c r="C14683" s="5" t="s">
        <v>18</v>
      </c>
      <c r="D14683" s="5">
        <v>1</v>
      </c>
      <c r="E14683" s="5">
        <v>127942</v>
      </c>
    </row>
    <row r="14684" spans="1:5" x14ac:dyDescent="0.35">
      <c r="A14684" s="3">
        <v>46244</v>
      </c>
      <c r="B14684" s="5" t="s">
        <v>373</v>
      </c>
      <c r="C14684" s="5" t="s">
        <v>18</v>
      </c>
      <c r="D14684" s="5">
        <v>1</v>
      </c>
      <c r="E14684" s="5">
        <v>129941</v>
      </c>
    </row>
    <row r="14685" spans="1:5" x14ac:dyDescent="0.35">
      <c r="A14685" s="3">
        <v>46244</v>
      </c>
      <c r="B14685" s="5" t="s">
        <v>352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352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352</v>
      </c>
      <c r="C14687" s="5" t="s">
        <v>67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352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133</v>
      </c>
      <c r="C14689" s="5" t="s">
        <v>18</v>
      </c>
      <c r="D14689" s="5">
        <v>1</v>
      </c>
      <c r="E14689" s="5">
        <v>127942</v>
      </c>
    </row>
    <row r="14690" spans="1:5" x14ac:dyDescent="0.35">
      <c r="A14690" s="3">
        <v>46244</v>
      </c>
      <c r="B14690" s="5" t="s">
        <v>373</v>
      </c>
      <c r="C14690" s="5" t="s">
        <v>42</v>
      </c>
      <c r="D14690" s="5">
        <v>1</v>
      </c>
      <c r="E14690" s="5">
        <v>206759</v>
      </c>
    </row>
    <row r="14691" spans="1:5" x14ac:dyDescent="0.35">
      <c r="A14691" s="3">
        <v>46244</v>
      </c>
      <c r="B14691" s="5" t="s">
        <v>373</v>
      </c>
      <c r="C14691" s="5" t="s">
        <v>18</v>
      </c>
      <c r="D14691" s="5">
        <v>1</v>
      </c>
      <c r="E14691" s="5">
        <v>129941</v>
      </c>
    </row>
    <row r="14692" spans="1:5" x14ac:dyDescent="0.35">
      <c r="A14692" s="3">
        <v>46244</v>
      </c>
      <c r="B14692" s="5" t="s">
        <v>373</v>
      </c>
      <c r="C14692" s="5" t="s">
        <v>42</v>
      </c>
      <c r="D14692" s="5">
        <v>1</v>
      </c>
      <c r="E14692" s="5">
        <v>206759</v>
      </c>
    </row>
    <row r="14693" spans="1:5" x14ac:dyDescent="0.35">
      <c r="A14693" s="3">
        <v>46244</v>
      </c>
      <c r="B14693" s="5" t="s">
        <v>373</v>
      </c>
      <c r="C14693" s="5" t="s">
        <v>18</v>
      </c>
      <c r="D14693" s="5">
        <v>1</v>
      </c>
      <c r="E14693" s="5">
        <v>129941</v>
      </c>
    </row>
    <row r="14694" spans="1:5" x14ac:dyDescent="0.35">
      <c r="A14694" s="3">
        <v>46244</v>
      </c>
      <c r="B14694" s="5" t="s">
        <v>376</v>
      </c>
      <c r="C14694" s="5" t="s">
        <v>18</v>
      </c>
      <c r="D14694" s="5">
        <v>1</v>
      </c>
      <c r="E14694" s="5">
        <v>129941</v>
      </c>
    </row>
    <row r="14695" spans="1:5" x14ac:dyDescent="0.35">
      <c r="A14695" s="3">
        <v>46244</v>
      </c>
      <c r="B14695" s="5" t="s">
        <v>376</v>
      </c>
      <c r="C14695" s="5" t="s">
        <v>18</v>
      </c>
      <c r="D14695" s="5">
        <v>1</v>
      </c>
      <c r="E14695" s="5">
        <v>129941</v>
      </c>
    </row>
    <row r="14696" spans="1:5" x14ac:dyDescent="0.35">
      <c r="A14696" s="3">
        <v>46244</v>
      </c>
      <c r="B14696" s="5" t="s">
        <v>352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352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352</v>
      </c>
      <c r="C14698" s="5" t="s">
        <v>65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352</v>
      </c>
      <c r="C14699" s="5" t="s">
        <v>67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133</v>
      </c>
      <c r="C14700" s="5" t="s">
        <v>18</v>
      </c>
      <c r="D14700" s="5">
        <v>1</v>
      </c>
      <c r="E14700" s="5">
        <v>127942</v>
      </c>
    </row>
    <row r="14701" spans="1:5" x14ac:dyDescent="0.35">
      <c r="A14701" s="3">
        <v>46244</v>
      </c>
      <c r="B14701" s="5" t="s">
        <v>133</v>
      </c>
      <c r="C14701" s="5" t="s">
        <v>18</v>
      </c>
      <c r="D14701" s="5">
        <v>1</v>
      </c>
      <c r="E14701" s="5">
        <v>127942</v>
      </c>
    </row>
    <row r="14702" spans="1:5" x14ac:dyDescent="0.35">
      <c r="A14702" s="3">
        <v>46244</v>
      </c>
      <c r="B14702" s="5" t="s">
        <v>133</v>
      </c>
      <c r="C14702" s="5" t="s">
        <v>18</v>
      </c>
      <c r="D14702" s="5">
        <v>1</v>
      </c>
      <c r="E14702" s="5">
        <v>127942</v>
      </c>
    </row>
    <row r="14703" spans="1:5" x14ac:dyDescent="0.35">
      <c r="A14703" s="3">
        <v>46244</v>
      </c>
      <c r="B14703" s="5" t="s">
        <v>133</v>
      </c>
      <c r="C14703" s="5" t="s">
        <v>18</v>
      </c>
      <c r="D14703" s="5">
        <v>1</v>
      </c>
      <c r="E14703" s="5">
        <v>127942</v>
      </c>
    </row>
    <row r="14704" spans="1:5" x14ac:dyDescent="0.35">
      <c r="A14704" s="3">
        <v>46244</v>
      </c>
      <c r="B14704" s="5" t="s">
        <v>133</v>
      </c>
      <c r="C14704" s="5" t="s">
        <v>18</v>
      </c>
      <c r="D14704" s="5">
        <v>1</v>
      </c>
      <c r="E14704" s="5">
        <v>127942</v>
      </c>
    </row>
    <row r="14705" spans="1:5" x14ac:dyDescent="0.35">
      <c r="A14705" s="3">
        <v>46244</v>
      </c>
      <c r="B14705" s="5" t="s">
        <v>244</v>
      </c>
      <c r="C14705" s="5" t="s">
        <v>18</v>
      </c>
      <c r="D14705" s="5">
        <v>1</v>
      </c>
      <c r="E14705" s="5">
        <v>129941</v>
      </c>
    </row>
    <row r="14706" spans="1:5" x14ac:dyDescent="0.35">
      <c r="A14706" s="3">
        <v>46244</v>
      </c>
      <c r="B14706" s="5" t="s">
        <v>376</v>
      </c>
      <c r="C14706" s="5" t="s">
        <v>38</v>
      </c>
      <c r="D14706" s="5">
        <v>1</v>
      </c>
      <c r="E14706" s="5">
        <v>236305</v>
      </c>
    </row>
    <row r="14707" spans="1:5" x14ac:dyDescent="0.35">
      <c r="A14707" s="3">
        <v>46244</v>
      </c>
      <c r="B14707" s="5" t="s">
        <v>352</v>
      </c>
      <c r="C14707" s="5" t="s">
        <v>66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352</v>
      </c>
      <c r="C14708" s="5" t="s">
        <v>66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352</v>
      </c>
      <c r="C14709" s="5" t="s">
        <v>66</v>
      </c>
      <c r="D14709" s="5">
        <v>1</v>
      </c>
      <c r="E14709" s="5">
        <v>116305</v>
      </c>
    </row>
    <row r="14710" spans="1:5" x14ac:dyDescent="0.35">
      <c r="A14710" s="3">
        <v>46244</v>
      </c>
      <c r="B14710" s="5" t="s">
        <v>352</v>
      </c>
      <c r="C14710" s="5" t="s">
        <v>66</v>
      </c>
      <c r="D14710" s="5">
        <v>1</v>
      </c>
      <c r="E14710" s="5">
        <v>116305</v>
      </c>
    </row>
    <row r="14711" spans="1:5" x14ac:dyDescent="0.35">
      <c r="A14711" s="3">
        <v>46244</v>
      </c>
      <c r="B14711" s="5" t="s">
        <v>352</v>
      </c>
      <c r="C14711" s="5" t="s">
        <v>66</v>
      </c>
      <c r="D14711" s="5">
        <v>1</v>
      </c>
      <c r="E14711" s="5">
        <v>116305</v>
      </c>
    </row>
    <row r="14712" spans="1:5" x14ac:dyDescent="0.35">
      <c r="A14712" s="3">
        <v>46244</v>
      </c>
      <c r="B14712" s="5" t="s">
        <v>352</v>
      </c>
      <c r="C14712" s="5" t="s">
        <v>66</v>
      </c>
      <c r="D14712" s="5">
        <v>1</v>
      </c>
      <c r="E14712" s="5">
        <v>116305</v>
      </c>
    </row>
    <row r="14713" spans="1:5" x14ac:dyDescent="0.35">
      <c r="A14713" s="3">
        <v>46244</v>
      </c>
      <c r="B14713" s="5" t="s">
        <v>352</v>
      </c>
      <c r="C14713" s="5" t="s">
        <v>65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352</v>
      </c>
      <c r="C14714" s="5" t="s">
        <v>65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352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352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352</v>
      </c>
      <c r="C14717" s="5" t="s">
        <v>67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352</v>
      </c>
      <c r="C14718" s="5" t="s">
        <v>66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352</v>
      </c>
      <c r="C14719" s="5" t="s">
        <v>67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352</v>
      </c>
      <c r="C14720" s="5" t="s">
        <v>67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352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352</v>
      </c>
      <c r="C14722" s="5" t="s">
        <v>67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352</v>
      </c>
      <c r="C14723" s="5" t="s">
        <v>66</v>
      </c>
      <c r="D14723" s="5">
        <v>1</v>
      </c>
      <c r="E14723" s="5">
        <v>116305</v>
      </c>
    </row>
    <row r="14724" spans="1:5" x14ac:dyDescent="0.35">
      <c r="A14724" s="3">
        <v>46244</v>
      </c>
      <c r="B14724" s="5" t="s">
        <v>237</v>
      </c>
      <c r="C14724" s="5" t="s">
        <v>18</v>
      </c>
      <c r="D14724" s="5">
        <v>1</v>
      </c>
      <c r="E14724" s="5">
        <v>127942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373</v>
      </c>
      <c r="C14727" s="5" t="s">
        <v>93</v>
      </c>
      <c r="D14727" s="5">
        <v>1</v>
      </c>
      <c r="E14727" s="5">
        <v>50168</v>
      </c>
    </row>
    <row r="14728" spans="1:5" x14ac:dyDescent="0.35">
      <c r="A14728" s="3">
        <v>46244</v>
      </c>
      <c r="B14728" s="5" t="s">
        <v>373</v>
      </c>
      <c r="C14728" s="5" t="s">
        <v>49</v>
      </c>
      <c r="D14728" s="5">
        <v>1</v>
      </c>
      <c r="E14728" s="5">
        <v>64941</v>
      </c>
    </row>
    <row r="14729" spans="1:5" x14ac:dyDescent="0.35">
      <c r="A14729" s="3">
        <v>46244</v>
      </c>
      <c r="B14729" s="5" t="s">
        <v>373</v>
      </c>
      <c r="C14729" s="5" t="s">
        <v>18</v>
      </c>
      <c r="D14729" s="5">
        <v>1</v>
      </c>
      <c r="E14729" s="5">
        <v>129941</v>
      </c>
    </row>
    <row r="14730" spans="1:5" x14ac:dyDescent="0.35">
      <c r="A14730" s="3">
        <v>46244</v>
      </c>
      <c r="B14730" s="5" t="s">
        <v>376</v>
      </c>
      <c r="C14730" s="5" t="s">
        <v>18</v>
      </c>
      <c r="D14730" s="5">
        <v>1</v>
      </c>
      <c r="E14730" s="5">
        <v>129941</v>
      </c>
    </row>
    <row r="14731" spans="1:5" x14ac:dyDescent="0.35">
      <c r="A14731" s="3">
        <v>46244</v>
      </c>
      <c r="B14731" s="5" t="s">
        <v>244</v>
      </c>
      <c r="C14731" s="5" t="s">
        <v>18</v>
      </c>
      <c r="D14731" s="5">
        <v>1</v>
      </c>
      <c r="E14731" s="5">
        <v>129941</v>
      </c>
    </row>
    <row r="14732" spans="1:5" x14ac:dyDescent="0.35">
      <c r="A14732" s="3">
        <v>46244</v>
      </c>
      <c r="B14732" s="5" t="s">
        <v>244</v>
      </c>
      <c r="C14732" s="5" t="s">
        <v>85</v>
      </c>
      <c r="D14732" s="5">
        <v>1</v>
      </c>
      <c r="E14732" s="5">
        <v>189032</v>
      </c>
    </row>
    <row r="14733" spans="1:5" x14ac:dyDescent="0.35">
      <c r="A14733" s="3">
        <v>46244</v>
      </c>
      <c r="B14733" s="5" t="s">
        <v>351</v>
      </c>
      <c r="C14733" s="5" t="s">
        <v>65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351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352</v>
      </c>
      <c r="C14735" s="5" t="s">
        <v>66</v>
      </c>
      <c r="D14735" s="5">
        <v>1</v>
      </c>
      <c r="E14735" s="5">
        <v>116305</v>
      </c>
    </row>
    <row r="14736" spans="1:5" x14ac:dyDescent="0.35">
      <c r="A14736" s="3">
        <v>46244</v>
      </c>
      <c r="B14736" s="5" t="s">
        <v>352</v>
      </c>
      <c r="C14736" s="5" t="s">
        <v>66</v>
      </c>
      <c r="D14736" s="5">
        <v>1</v>
      </c>
      <c r="E14736" s="5">
        <v>116305</v>
      </c>
    </row>
    <row r="14737" spans="1:5" x14ac:dyDescent="0.35">
      <c r="A14737" s="3">
        <v>46244</v>
      </c>
      <c r="B14737" s="5" t="s">
        <v>352</v>
      </c>
      <c r="C14737" s="5" t="s">
        <v>66</v>
      </c>
      <c r="D14737" s="5">
        <v>1</v>
      </c>
      <c r="E14737" s="5">
        <v>116305</v>
      </c>
    </row>
    <row r="14738" spans="1:5" x14ac:dyDescent="0.35">
      <c r="A14738" s="3">
        <v>46244</v>
      </c>
      <c r="B14738" s="5" t="s">
        <v>352</v>
      </c>
      <c r="C14738" s="5" t="s">
        <v>66</v>
      </c>
      <c r="D14738" s="5">
        <v>1</v>
      </c>
      <c r="E14738" s="5">
        <v>116305</v>
      </c>
    </row>
    <row r="14739" spans="1:5" x14ac:dyDescent="0.35">
      <c r="A14739" s="3">
        <v>46244</v>
      </c>
      <c r="B14739" s="5" t="s">
        <v>352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352</v>
      </c>
      <c r="C14740" s="5" t="s">
        <v>67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136</v>
      </c>
      <c r="C14741" s="5" t="s">
        <v>33</v>
      </c>
      <c r="D14741" s="5">
        <v>1</v>
      </c>
      <c r="E14741" s="5">
        <v>203578</v>
      </c>
    </row>
    <row r="14742" spans="1:5" x14ac:dyDescent="0.35">
      <c r="A14742" s="3">
        <v>46244</v>
      </c>
      <c r="B14742" s="5" t="s">
        <v>352</v>
      </c>
      <c r="C14742" s="5" t="s">
        <v>65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352</v>
      </c>
      <c r="C14743" s="5" t="s">
        <v>66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136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353</v>
      </c>
      <c r="C14745" s="5" t="s">
        <v>42</v>
      </c>
      <c r="D14745" s="5">
        <v>1</v>
      </c>
      <c r="E14745" s="5">
        <v>203578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376</v>
      </c>
      <c r="C14749" s="5" t="s">
        <v>18</v>
      </c>
      <c r="D14749" s="5">
        <v>1</v>
      </c>
      <c r="E14749" s="5">
        <v>129941</v>
      </c>
    </row>
    <row r="14750" spans="1:5" x14ac:dyDescent="0.35">
      <c r="A14750" s="3">
        <v>46244</v>
      </c>
      <c r="B14750" s="5" t="s">
        <v>244</v>
      </c>
      <c r="C14750" s="5" t="s">
        <v>32</v>
      </c>
      <c r="D14750" s="5">
        <v>1</v>
      </c>
      <c r="E14750" s="5">
        <v>177214</v>
      </c>
    </row>
    <row r="14751" spans="1:5" x14ac:dyDescent="0.35">
      <c r="A14751" s="3">
        <v>46244</v>
      </c>
      <c r="B14751" s="5" t="s">
        <v>376</v>
      </c>
      <c r="C14751" s="5" t="s">
        <v>108</v>
      </c>
      <c r="D14751" s="5">
        <v>1</v>
      </c>
      <c r="E14751" s="5">
        <v>106305</v>
      </c>
    </row>
    <row r="14752" spans="1:5" x14ac:dyDescent="0.35">
      <c r="A14752" s="3">
        <v>46244</v>
      </c>
      <c r="B14752" s="5" t="s">
        <v>244</v>
      </c>
      <c r="C14752" s="5" t="s">
        <v>39</v>
      </c>
      <c r="D14752" s="5">
        <v>1</v>
      </c>
      <c r="E14752" s="5">
        <v>118123</v>
      </c>
    </row>
    <row r="14753" spans="1:5" x14ac:dyDescent="0.35">
      <c r="A14753" s="3">
        <v>46244</v>
      </c>
      <c r="B14753" s="5" t="s">
        <v>376</v>
      </c>
      <c r="C14753" s="5" t="s">
        <v>18</v>
      </c>
      <c r="D14753" s="5">
        <v>1</v>
      </c>
      <c r="E14753" s="5">
        <v>129941</v>
      </c>
    </row>
    <row r="14754" spans="1:5" x14ac:dyDescent="0.35">
      <c r="A14754" s="3">
        <v>46244</v>
      </c>
      <c r="B14754" s="5" t="s">
        <v>352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351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352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352</v>
      </c>
      <c r="C14757" s="5" t="s">
        <v>66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352</v>
      </c>
      <c r="C14758" s="5" t="s">
        <v>66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352</v>
      </c>
      <c r="C14759" s="5" t="s">
        <v>66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352</v>
      </c>
      <c r="C14760" s="5" t="s">
        <v>66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352</v>
      </c>
      <c r="C14761" s="5" t="s">
        <v>66</v>
      </c>
      <c r="D14761" s="5">
        <v>1</v>
      </c>
      <c r="E14761" s="5">
        <v>116305</v>
      </c>
    </row>
    <row r="14762" spans="1:5" x14ac:dyDescent="0.35">
      <c r="A14762" s="3">
        <v>46244</v>
      </c>
      <c r="B14762" s="5" t="s">
        <v>352</v>
      </c>
      <c r="C14762" s="5" t="s">
        <v>66</v>
      </c>
      <c r="D14762" s="5">
        <v>1</v>
      </c>
      <c r="E14762" s="5">
        <v>116305</v>
      </c>
    </row>
    <row r="14763" spans="1:5" x14ac:dyDescent="0.35">
      <c r="A14763" s="3">
        <v>46244</v>
      </c>
      <c r="B14763" s="5" t="s">
        <v>352</v>
      </c>
      <c r="C14763" s="5" t="s">
        <v>66</v>
      </c>
      <c r="D14763" s="5">
        <v>1</v>
      </c>
      <c r="E14763" s="5">
        <v>116305</v>
      </c>
    </row>
    <row r="14764" spans="1:5" x14ac:dyDescent="0.35">
      <c r="A14764" s="3">
        <v>46244</v>
      </c>
      <c r="B14764" s="5" t="s">
        <v>352</v>
      </c>
      <c r="C14764" s="5" t="s">
        <v>66</v>
      </c>
      <c r="D14764" s="5">
        <v>1</v>
      </c>
      <c r="E14764" s="5">
        <v>116305</v>
      </c>
    </row>
    <row r="14765" spans="1:5" x14ac:dyDescent="0.35">
      <c r="A14765" s="3">
        <v>46244</v>
      </c>
      <c r="B14765" s="5" t="s">
        <v>352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352</v>
      </c>
      <c r="C14766" s="5" t="s">
        <v>67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133</v>
      </c>
      <c r="C14767" s="5" t="s">
        <v>18</v>
      </c>
      <c r="D14767" s="5">
        <v>1</v>
      </c>
      <c r="E14767" s="5">
        <v>127942</v>
      </c>
    </row>
    <row r="14768" spans="1:5" x14ac:dyDescent="0.35">
      <c r="A14768" s="3">
        <v>46244</v>
      </c>
      <c r="B14768" s="5" t="s">
        <v>133</v>
      </c>
      <c r="C14768" s="5" t="s">
        <v>18</v>
      </c>
      <c r="D14768" s="5">
        <v>1</v>
      </c>
      <c r="E14768" s="5">
        <v>127942</v>
      </c>
    </row>
    <row r="14769" spans="1:5" x14ac:dyDescent="0.35">
      <c r="A14769" s="3">
        <v>46244</v>
      </c>
      <c r="B14769" s="5" t="s">
        <v>133</v>
      </c>
      <c r="C14769" s="5" t="s">
        <v>18</v>
      </c>
      <c r="D14769" s="5">
        <v>1</v>
      </c>
      <c r="E14769" s="5">
        <v>127942</v>
      </c>
    </row>
    <row r="14770" spans="1:5" x14ac:dyDescent="0.35">
      <c r="A14770" s="3">
        <v>46244</v>
      </c>
      <c r="B14770" s="5" t="s">
        <v>373</v>
      </c>
      <c r="C14770" s="5" t="s">
        <v>93</v>
      </c>
      <c r="D14770" s="5">
        <v>1</v>
      </c>
      <c r="E14770" s="5">
        <v>50168</v>
      </c>
    </row>
    <row r="14771" spans="1:5" x14ac:dyDescent="0.35">
      <c r="A14771" s="3">
        <v>46244</v>
      </c>
      <c r="B14771" s="5" t="s">
        <v>373</v>
      </c>
      <c r="C14771" s="5" t="s">
        <v>83</v>
      </c>
      <c r="D14771" s="5">
        <v>1</v>
      </c>
      <c r="E14771" s="5">
        <v>70850</v>
      </c>
    </row>
    <row r="14772" spans="1:5" x14ac:dyDescent="0.35">
      <c r="A14772" s="3">
        <v>46244</v>
      </c>
      <c r="B14772" s="5" t="s">
        <v>373</v>
      </c>
      <c r="C14772" s="5" t="s">
        <v>93</v>
      </c>
      <c r="D14772" s="5">
        <v>1</v>
      </c>
      <c r="E14772" s="5">
        <v>50168</v>
      </c>
    </row>
    <row r="14773" spans="1:5" x14ac:dyDescent="0.35">
      <c r="A14773" s="3">
        <v>46244</v>
      </c>
      <c r="B14773" s="5" t="s">
        <v>376</v>
      </c>
      <c r="C14773" s="5" t="s">
        <v>18</v>
      </c>
      <c r="D14773" s="5">
        <v>1</v>
      </c>
      <c r="E14773" s="5">
        <v>129941</v>
      </c>
    </row>
    <row r="14774" spans="1:5" x14ac:dyDescent="0.35">
      <c r="A14774" s="3">
        <v>46244</v>
      </c>
      <c r="B14774" s="5" t="s">
        <v>352</v>
      </c>
      <c r="C14774" s="5" t="s">
        <v>66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352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352</v>
      </c>
      <c r="C14776" s="5" t="s">
        <v>66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352</v>
      </c>
      <c r="C14777" s="5" t="s">
        <v>66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352</v>
      </c>
      <c r="C14778" s="5" t="s">
        <v>66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352</v>
      </c>
      <c r="C14779" s="5" t="s">
        <v>66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352</v>
      </c>
      <c r="C14780" s="5" t="s">
        <v>65</v>
      </c>
      <c r="D14780" s="5">
        <v>1</v>
      </c>
      <c r="E14780" s="5">
        <v>116305</v>
      </c>
    </row>
    <row r="14781" spans="1:5" x14ac:dyDescent="0.35">
      <c r="A14781" s="3">
        <v>46244</v>
      </c>
      <c r="B14781" s="5" t="s">
        <v>352</v>
      </c>
      <c r="C14781" s="5" t="s">
        <v>66</v>
      </c>
      <c r="D14781" s="5">
        <v>1</v>
      </c>
      <c r="E14781" s="5">
        <v>116305</v>
      </c>
    </row>
    <row r="14782" spans="1:5" x14ac:dyDescent="0.35">
      <c r="A14782" s="3">
        <v>46244</v>
      </c>
      <c r="B14782" s="5" t="s">
        <v>352</v>
      </c>
      <c r="C14782" s="5" t="s">
        <v>65</v>
      </c>
      <c r="D14782" s="5">
        <v>1</v>
      </c>
      <c r="E14782" s="5">
        <v>116305</v>
      </c>
    </row>
    <row r="14783" spans="1:5" x14ac:dyDescent="0.35">
      <c r="A14783" s="3">
        <v>46244</v>
      </c>
      <c r="B14783" s="5" t="s">
        <v>352</v>
      </c>
      <c r="C14783" s="5" t="s">
        <v>65</v>
      </c>
      <c r="D14783" s="5">
        <v>1</v>
      </c>
      <c r="E14783" s="5">
        <v>116305</v>
      </c>
    </row>
    <row r="14784" spans="1:5" x14ac:dyDescent="0.35">
      <c r="A14784" s="3">
        <v>46244</v>
      </c>
      <c r="B14784" s="5" t="s">
        <v>352</v>
      </c>
      <c r="C14784" s="5" t="s">
        <v>65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352</v>
      </c>
      <c r="C14785" s="5" t="s">
        <v>65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352</v>
      </c>
      <c r="C14786" s="5" t="s">
        <v>65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352</v>
      </c>
      <c r="C14787" s="5" t="s">
        <v>67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352</v>
      </c>
      <c r="C14788" s="5" t="s">
        <v>67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352</v>
      </c>
      <c r="C14789" s="5" t="s">
        <v>65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133</v>
      </c>
      <c r="C14790" s="5" t="s">
        <v>18</v>
      </c>
      <c r="D14790" s="5">
        <v>1</v>
      </c>
      <c r="E14790" s="5">
        <v>127942</v>
      </c>
    </row>
    <row r="14791" spans="1:5" x14ac:dyDescent="0.35">
      <c r="A14791" s="3">
        <v>46244</v>
      </c>
      <c r="B14791" s="5" t="s">
        <v>133</v>
      </c>
      <c r="C14791" s="5" t="s">
        <v>18</v>
      </c>
      <c r="D14791" s="5">
        <v>1</v>
      </c>
      <c r="E14791" s="5">
        <v>127942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244</v>
      </c>
      <c r="C14793" s="5" t="s">
        <v>18</v>
      </c>
      <c r="D14793" s="5">
        <v>1</v>
      </c>
      <c r="E14793" s="5">
        <v>129941</v>
      </c>
    </row>
    <row r="14794" spans="1:5" x14ac:dyDescent="0.35">
      <c r="A14794" s="3">
        <v>46244</v>
      </c>
      <c r="B14794" s="5" t="s">
        <v>351</v>
      </c>
      <c r="C14794" s="5" t="s">
        <v>66</v>
      </c>
      <c r="D14794" s="5">
        <v>1</v>
      </c>
      <c r="E14794" s="5">
        <v>116305</v>
      </c>
    </row>
    <row r="14795" spans="1:5" x14ac:dyDescent="0.35">
      <c r="A14795" s="3">
        <v>46244</v>
      </c>
      <c r="B14795" s="5" t="s">
        <v>351</v>
      </c>
      <c r="C14795" s="5" t="s">
        <v>67</v>
      </c>
      <c r="D14795" s="5">
        <v>1</v>
      </c>
      <c r="E14795" s="5">
        <v>116305</v>
      </c>
    </row>
    <row r="14796" spans="1:5" x14ac:dyDescent="0.35">
      <c r="A14796" s="3">
        <v>46244</v>
      </c>
      <c r="B14796" s="5" t="s">
        <v>352</v>
      </c>
      <c r="C14796" s="5" t="s">
        <v>66</v>
      </c>
      <c r="D14796" s="5">
        <v>1</v>
      </c>
      <c r="E14796" s="5">
        <v>116305</v>
      </c>
    </row>
    <row r="14797" spans="1:5" x14ac:dyDescent="0.35">
      <c r="A14797" s="3">
        <v>46244</v>
      </c>
      <c r="B14797" s="5" t="s">
        <v>352</v>
      </c>
      <c r="C14797" s="5" t="s">
        <v>66</v>
      </c>
      <c r="D14797" s="5">
        <v>1</v>
      </c>
      <c r="E14797" s="5">
        <v>116305</v>
      </c>
    </row>
    <row r="14798" spans="1:5" x14ac:dyDescent="0.35">
      <c r="A14798" s="3">
        <v>46244</v>
      </c>
      <c r="B14798" s="5" t="s">
        <v>351</v>
      </c>
      <c r="C14798" s="5" t="s">
        <v>65</v>
      </c>
      <c r="D14798" s="5">
        <v>1</v>
      </c>
      <c r="E14798" s="5">
        <v>116305</v>
      </c>
    </row>
    <row r="14799" spans="1:5" x14ac:dyDescent="0.35">
      <c r="A14799" s="3">
        <v>46244</v>
      </c>
      <c r="B14799" s="5" t="s">
        <v>352</v>
      </c>
      <c r="C14799" s="5" t="s">
        <v>67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352</v>
      </c>
      <c r="C14800" s="5" t="s">
        <v>66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352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352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352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136</v>
      </c>
      <c r="C14804" s="5" t="s">
        <v>42</v>
      </c>
      <c r="D14804" s="5">
        <v>1</v>
      </c>
      <c r="E14804" s="5">
        <v>203578</v>
      </c>
    </row>
    <row r="14805" spans="1:5" x14ac:dyDescent="0.35">
      <c r="A14805" s="3">
        <v>46244</v>
      </c>
      <c r="B14805" s="5" t="s">
        <v>352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133</v>
      </c>
      <c r="C14806" s="5" t="s">
        <v>18</v>
      </c>
      <c r="D14806" s="5">
        <v>1</v>
      </c>
      <c r="E14806" s="5">
        <v>127942</v>
      </c>
    </row>
    <row r="14807" spans="1:5" x14ac:dyDescent="0.35">
      <c r="A14807" s="3">
        <v>46244</v>
      </c>
      <c r="B14807" s="5" t="s">
        <v>133</v>
      </c>
      <c r="C14807" s="5" t="s">
        <v>18</v>
      </c>
      <c r="D14807" s="5">
        <v>1</v>
      </c>
      <c r="E14807" s="5">
        <v>127942</v>
      </c>
    </row>
    <row r="14808" spans="1:5" x14ac:dyDescent="0.35">
      <c r="A14808" s="3">
        <v>46244</v>
      </c>
      <c r="B14808" s="5" t="s">
        <v>133</v>
      </c>
      <c r="C14808" s="5" t="s">
        <v>18</v>
      </c>
      <c r="D14808" s="5">
        <v>1</v>
      </c>
      <c r="E14808" s="5">
        <v>127942</v>
      </c>
    </row>
    <row r="14809" spans="1:5" x14ac:dyDescent="0.35">
      <c r="A14809" s="3">
        <v>46244</v>
      </c>
      <c r="B14809" s="5" t="s">
        <v>373</v>
      </c>
      <c r="C14809" s="5" t="s">
        <v>18</v>
      </c>
      <c r="D14809" s="5">
        <v>1</v>
      </c>
      <c r="E14809" s="5">
        <v>129941</v>
      </c>
    </row>
    <row r="14810" spans="1:5" x14ac:dyDescent="0.35">
      <c r="A14810" s="3">
        <v>46244</v>
      </c>
      <c r="B14810" s="5" t="s">
        <v>376</v>
      </c>
      <c r="C14810" s="5" t="s">
        <v>18</v>
      </c>
      <c r="D14810" s="5">
        <v>1</v>
      </c>
      <c r="E14810" s="5">
        <v>129941</v>
      </c>
    </row>
    <row r="14811" spans="1:5" x14ac:dyDescent="0.35">
      <c r="A14811" s="3">
        <v>46244</v>
      </c>
      <c r="B14811" s="5" t="s">
        <v>352</v>
      </c>
      <c r="C14811" s="5" t="s">
        <v>66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352</v>
      </c>
      <c r="C14812" s="5" t="s">
        <v>66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352</v>
      </c>
      <c r="C14813" s="5" t="s">
        <v>65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352</v>
      </c>
      <c r="C14814" s="5" t="s">
        <v>66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352</v>
      </c>
      <c r="C14815" s="5" t="s">
        <v>66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352</v>
      </c>
      <c r="C14816" s="5" t="s">
        <v>67</v>
      </c>
      <c r="D14816" s="5">
        <v>1</v>
      </c>
      <c r="E14816" s="5">
        <v>116305</v>
      </c>
    </row>
    <row r="14817" spans="1:5" x14ac:dyDescent="0.35">
      <c r="A14817" s="3">
        <v>46244</v>
      </c>
      <c r="B14817" s="5" t="s">
        <v>352</v>
      </c>
      <c r="C14817" s="5" t="s">
        <v>65</v>
      </c>
      <c r="D14817" s="5">
        <v>1</v>
      </c>
      <c r="E14817" s="5">
        <v>116305</v>
      </c>
    </row>
    <row r="14818" spans="1:5" x14ac:dyDescent="0.35">
      <c r="A14818" s="3">
        <v>46244</v>
      </c>
      <c r="B14818" s="5" t="s">
        <v>133</v>
      </c>
      <c r="C14818" s="5" t="s">
        <v>18</v>
      </c>
      <c r="D14818" s="5">
        <v>1</v>
      </c>
      <c r="E14818" s="5">
        <v>127942</v>
      </c>
    </row>
    <row r="14819" spans="1:5" x14ac:dyDescent="0.35">
      <c r="A14819" s="3">
        <v>46244</v>
      </c>
      <c r="B14819" s="5" t="s">
        <v>133</v>
      </c>
      <c r="C14819" s="5" t="s">
        <v>18</v>
      </c>
      <c r="D14819" s="5">
        <v>1</v>
      </c>
      <c r="E14819" s="5">
        <v>127942</v>
      </c>
    </row>
    <row r="14820" spans="1:5" x14ac:dyDescent="0.35">
      <c r="A14820" s="3">
        <v>46244</v>
      </c>
      <c r="B14820" s="5" t="s">
        <v>133</v>
      </c>
      <c r="C14820" s="5" t="s">
        <v>18</v>
      </c>
      <c r="D14820" s="5">
        <v>1</v>
      </c>
      <c r="E14820" s="5">
        <v>127942</v>
      </c>
    </row>
    <row r="14821" spans="1:5" x14ac:dyDescent="0.35">
      <c r="A14821" s="3">
        <v>46244</v>
      </c>
      <c r="B14821" s="5" t="s">
        <v>373</v>
      </c>
      <c r="C14821" s="5" t="s">
        <v>38</v>
      </c>
      <c r="D14821" s="5">
        <v>1</v>
      </c>
      <c r="E14821" s="5">
        <v>236305</v>
      </c>
    </row>
    <row r="14822" spans="1:5" x14ac:dyDescent="0.35">
      <c r="A14822" s="3">
        <v>46244</v>
      </c>
      <c r="B14822" s="5" t="s">
        <v>376</v>
      </c>
      <c r="C14822" s="5" t="s">
        <v>39</v>
      </c>
      <c r="D14822" s="5">
        <v>1</v>
      </c>
      <c r="E14822" s="5">
        <v>118123</v>
      </c>
    </row>
    <row r="14823" spans="1:5" x14ac:dyDescent="0.35">
      <c r="A14823" s="3">
        <v>46244</v>
      </c>
      <c r="B14823" s="5" t="s">
        <v>373</v>
      </c>
      <c r="C14823" s="5" t="s">
        <v>18</v>
      </c>
      <c r="D14823" s="5">
        <v>1</v>
      </c>
      <c r="E14823" s="5">
        <v>129941</v>
      </c>
    </row>
    <row r="14824" spans="1:5" x14ac:dyDescent="0.35">
      <c r="A14824" s="3">
        <v>46244</v>
      </c>
      <c r="B14824" s="5" t="s">
        <v>244</v>
      </c>
      <c r="C14824" s="5" t="s">
        <v>42</v>
      </c>
      <c r="D14824" s="5">
        <v>1</v>
      </c>
      <c r="E14824" s="5">
        <v>206759</v>
      </c>
    </row>
    <row r="14825" spans="1:5" x14ac:dyDescent="0.35">
      <c r="A14825" s="3">
        <v>46244</v>
      </c>
      <c r="B14825" s="5" t="s">
        <v>373</v>
      </c>
      <c r="C14825" s="5" t="s">
        <v>36</v>
      </c>
      <c r="D14825" s="5">
        <v>1</v>
      </c>
      <c r="E14825" s="5">
        <v>236305</v>
      </c>
    </row>
    <row r="14826" spans="1:5" x14ac:dyDescent="0.35">
      <c r="A14826" s="3">
        <v>46244</v>
      </c>
      <c r="B14826" s="5" t="s">
        <v>352</v>
      </c>
      <c r="C14826" s="5" t="s">
        <v>66</v>
      </c>
      <c r="D14826" s="5">
        <v>1</v>
      </c>
      <c r="E14826" s="5">
        <v>116305</v>
      </c>
    </row>
    <row r="14827" spans="1:5" x14ac:dyDescent="0.35">
      <c r="A14827" s="3">
        <v>46244</v>
      </c>
      <c r="B14827" s="5" t="s">
        <v>352</v>
      </c>
      <c r="C14827" s="5" t="s">
        <v>66</v>
      </c>
      <c r="D14827" s="5">
        <v>1</v>
      </c>
      <c r="E14827" s="5">
        <v>116305</v>
      </c>
    </row>
    <row r="14828" spans="1:5" x14ac:dyDescent="0.35">
      <c r="A14828" s="3">
        <v>46244</v>
      </c>
      <c r="B14828" s="5" t="s">
        <v>352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352</v>
      </c>
      <c r="C14829" s="5" t="s">
        <v>67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352</v>
      </c>
      <c r="C14830" s="5" t="s">
        <v>67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353</v>
      </c>
      <c r="C14831" s="5" t="s">
        <v>42</v>
      </c>
      <c r="D14831" s="5">
        <v>1</v>
      </c>
      <c r="E14831" s="5">
        <v>203578</v>
      </c>
    </row>
    <row r="14832" spans="1:5" x14ac:dyDescent="0.35">
      <c r="A14832" s="3">
        <v>46244</v>
      </c>
      <c r="B14832" s="5" t="s">
        <v>133</v>
      </c>
      <c r="C14832" s="5" t="s">
        <v>18</v>
      </c>
      <c r="D14832" s="5">
        <v>1</v>
      </c>
      <c r="E14832" s="5">
        <v>127942</v>
      </c>
    </row>
    <row r="14833" spans="1:5" x14ac:dyDescent="0.35">
      <c r="A14833" s="3">
        <v>46244</v>
      </c>
      <c r="B14833" s="5" t="s">
        <v>133</v>
      </c>
      <c r="C14833" s="5" t="s">
        <v>18</v>
      </c>
      <c r="D14833" s="5">
        <v>1</v>
      </c>
      <c r="E14833" s="5">
        <v>127942</v>
      </c>
    </row>
    <row r="14834" spans="1:5" x14ac:dyDescent="0.35">
      <c r="A14834" s="3">
        <v>46244</v>
      </c>
      <c r="B14834" s="5" t="s">
        <v>133</v>
      </c>
      <c r="C14834" s="5" t="s">
        <v>18</v>
      </c>
      <c r="D14834" s="5">
        <v>1</v>
      </c>
      <c r="E14834" s="5">
        <v>127942</v>
      </c>
    </row>
    <row r="14835" spans="1:5" x14ac:dyDescent="0.35">
      <c r="A14835" s="3">
        <v>46244</v>
      </c>
      <c r="B14835" s="5" t="s">
        <v>133</v>
      </c>
      <c r="C14835" s="5" t="s">
        <v>18</v>
      </c>
      <c r="D14835" s="5">
        <v>1</v>
      </c>
      <c r="E14835" s="5">
        <v>127942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133</v>
      </c>
      <c r="C14837" s="5" t="s">
        <v>18</v>
      </c>
      <c r="D14837" s="5">
        <v>1</v>
      </c>
      <c r="E14837" s="5">
        <v>127942</v>
      </c>
    </row>
    <row r="14838" spans="1:5" x14ac:dyDescent="0.35">
      <c r="A14838" s="3">
        <v>46244</v>
      </c>
      <c r="B14838" s="5" t="s">
        <v>373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373</v>
      </c>
      <c r="C14839" s="5" t="s">
        <v>38</v>
      </c>
      <c r="D14839" s="5">
        <v>1</v>
      </c>
      <c r="E14839" s="5">
        <v>236305</v>
      </c>
    </row>
    <row r="14840" spans="1:5" x14ac:dyDescent="0.35">
      <c r="A14840" s="3">
        <v>46244</v>
      </c>
      <c r="B14840" s="5" t="s">
        <v>376</v>
      </c>
      <c r="C14840" s="5" t="s">
        <v>26</v>
      </c>
      <c r="D14840" s="5">
        <v>1</v>
      </c>
      <c r="E14840" s="5">
        <v>501682</v>
      </c>
    </row>
    <row r="14841" spans="1:5" x14ac:dyDescent="0.35">
      <c r="A14841" s="3">
        <v>46244</v>
      </c>
      <c r="B14841" s="5" t="s">
        <v>373</v>
      </c>
      <c r="C14841" s="5" t="s">
        <v>18</v>
      </c>
      <c r="D14841" s="5">
        <v>1</v>
      </c>
      <c r="E14841" s="5">
        <v>129941</v>
      </c>
    </row>
    <row r="14842" spans="1:5" x14ac:dyDescent="0.35">
      <c r="A14842" s="3">
        <v>46244</v>
      </c>
      <c r="B14842" s="5" t="s">
        <v>376</v>
      </c>
      <c r="C14842" s="5" t="s">
        <v>18</v>
      </c>
      <c r="D14842" s="5">
        <v>1</v>
      </c>
      <c r="E14842" s="5">
        <v>129941</v>
      </c>
    </row>
    <row r="14843" spans="1:5" x14ac:dyDescent="0.35">
      <c r="A14843" s="3">
        <v>46244</v>
      </c>
      <c r="B14843" s="5" t="s">
        <v>244</v>
      </c>
      <c r="C14843" s="5" t="s">
        <v>41</v>
      </c>
      <c r="D14843" s="5">
        <v>1</v>
      </c>
      <c r="E14843" s="5">
        <v>159486</v>
      </c>
    </row>
    <row r="14844" spans="1:5" x14ac:dyDescent="0.35">
      <c r="A14844" s="3">
        <v>46244</v>
      </c>
      <c r="B14844" s="5" t="s">
        <v>376</v>
      </c>
      <c r="C14844" s="5" t="s">
        <v>50</v>
      </c>
      <c r="D14844" s="5">
        <v>1</v>
      </c>
      <c r="E14844" s="5">
        <v>106305</v>
      </c>
    </row>
    <row r="14845" spans="1:5" x14ac:dyDescent="0.35">
      <c r="A14845" s="3">
        <v>46244</v>
      </c>
      <c r="B14845" s="5" t="s">
        <v>351</v>
      </c>
      <c r="C14845" s="5" t="s">
        <v>66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352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352</v>
      </c>
      <c r="C14847" s="5" t="s">
        <v>66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352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352</v>
      </c>
      <c r="C14849" s="5" t="s">
        <v>66</v>
      </c>
      <c r="D14849" s="5">
        <v>1</v>
      </c>
      <c r="E14849" s="5">
        <v>116305</v>
      </c>
    </row>
    <row r="14850" spans="1:5" x14ac:dyDescent="0.35">
      <c r="A14850" s="3">
        <v>46244</v>
      </c>
      <c r="B14850" s="5" t="s">
        <v>352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352</v>
      </c>
      <c r="C14851" s="5" t="s">
        <v>65</v>
      </c>
      <c r="D14851" s="5">
        <v>1</v>
      </c>
      <c r="E14851" s="5">
        <v>116305</v>
      </c>
    </row>
    <row r="14852" spans="1:5" x14ac:dyDescent="0.35">
      <c r="A14852" s="3">
        <v>46244</v>
      </c>
      <c r="B14852" s="5" t="s">
        <v>352</v>
      </c>
      <c r="C14852" s="5" t="s">
        <v>65</v>
      </c>
      <c r="D14852" s="5">
        <v>1</v>
      </c>
      <c r="E14852" s="5">
        <v>116305</v>
      </c>
    </row>
    <row r="14853" spans="1:5" x14ac:dyDescent="0.35">
      <c r="A14853" s="3">
        <v>46244</v>
      </c>
      <c r="B14853" s="5" t="s">
        <v>352</v>
      </c>
      <c r="C14853" s="5" t="s">
        <v>65</v>
      </c>
      <c r="D14853" s="5">
        <v>1</v>
      </c>
      <c r="E14853" s="5">
        <v>116305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244</v>
      </c>
      <c r="C14857" s="5" t="s">
        <v>26</v>
      </c>
      <c r="D14857" s="5">
        <v>1</v>
      </c>
      <c r="E14857" s="5">
        <v>501682</v>
      </c>
    </row>
    <row r="14858" spans="1:5" x14ac:dyDescent="0.35">
      <c r="A14858" s="3">
        <v>46244</v>
      </c>
      <c r="B14858" s="5" t="s">
        <v>373</v>
      </c>
      <c r="C14858" s="5" t="s">
        <v>41</v>
      </c>
      <c r="D14858" s="5">
        <v>1</v>
      </c>
      <c r="E14858" s="5">
        <v>159486</v>
      </c>
    </row>
    <row r="14859" spans="1:5" x14ac:dyDescent="0.35">
      <c r="A14859" s="3">
        <v>46244</v>
      </c>
      <c r="B14859" s="5" t="s">
        <v>376</v>
      </c>
      <c r="C14859" s="5" t="s">
        <v>18</v>
      </c>
      <c r="D14859" s="5">
        <v>1</v>
      </c>
      <c r="E14859" s="5">
        <v>129941</v>
      </c>
    </row>
    <row r="14860" spans="1:5" x14ac:dyDescent="0.35">
      <c r="A14860" s="3">
        <v>46244</v>
      </c>
      <c r="B14860" s="5" t="s">
        <v>351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352</v>
      </c>
      <c r="C14861" s="5" t="s">
        <v>66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352</v>
      </c>
      <c r="C14862" s="5" t="s">
        <v>66</v>
      </c>
      <c r="D14862" s="5">
        <v>1</v>
      </c>
      <c r="E14862" s="5">
        <v>116305</v>
      </c>
    </row>
    <row r="14863" spans="1:5" x14ac:dyDescent="0.35">
      <c r="A14863" s="3">
        <v>46244</v>
      </c>
      <c r="B14863" s="5" t="s">
        <v>352</v>
      </c>
      <c r="C14863" s="5" t="s">
        <v>66</v>
      </c>
      <c r="D14863" s="5">
        <v>1</v>
      </c>
      <c r="E14863" s="5">
        <v>116305</v>
      </c>
    </row>
    <row r="14864" spans="1:5" x14ac:dyDescent="0.35">
      <c r="A14864" s="3">
        <v>46244</v>
      </c>
      <c r="B14864" s="5" t="s">
        <v>352</v>
      </c>
      <c r="C14864" s="5" t="s">
        <v>66</v>
      </c>
      <c r="D14864" s="5">
        <v>1</v>
      </c>
      <c r="E14864" s="5">
        <v>116305</v>
      </c>
    </row>
    <row r="14865" spans="1:5" x14ac:dyDescent="0.35">
      <c r="A14865" s="3">
        <v>46244</v>
      </c>
      <c r="B14865" s="5" t="s">
        <v>352</v>
      </c>
      <c r="C14865" s="5" t="s">
        <v>65</v>
      </c>
      <c r="D14865" s="5">
        <v>1</v>
      </c>
      <c r="E14865" s="5">
        <v>116305</v>
      </c>
    </row>
    <row r="14866" spans="1:5" x14ac:dyDescent="0.35">
      <c r="A14866" s="3">
        <v>46244</v>
      </c>
      <c r="B14866" s="5" t="s">
        <v>352</v>
      </c>
      <c r="C14866" s="5" t="s">
        <v>66</v>
      </c>
      <c r="D14866" s="5">
        <v>1</v>
      </c>
      <c r="E14866" s="5">
        <v>116305</v>
      </c>
    </row>
    <row r="14867" spans="1:5" x14ac:dyDescent="0.35">
      <c r="A14867" s="3">
        <v>46244</v>
      </c>
      <c r="B14867" s="5" t="s">
        <v>352</v>
      </c>
      <c r="C14867" s="5" t="s">
        <v>66</v>
      </c>
      <c r="D14867" s="5">
        <v>1</v>
      </c>
      <c r="E14867" s="5">
        <v>116305</v>
      </c>
    </row>
    <row r="14868" spans="1:5" x14ac:dyDescent="0.35">
      <c r="A14868" s="3">
        <v>46244</v>
      </c>
      <c r="B14868" s="5" t="s">
        <v>352</v>
      </c>
      <c r="C14868" s="5" t="s">
        <v>66</v>
      </c>
      <c r="D14868" s="5">
        <v>1</v>
      </c>
      <c r="E14868" s="5">
        <v>116305</v>
      </c>
    </row>
    <row r="14869" spans="1:5" x14ac:dyDescent="0.35">
      <c r="A14869" s="3">
        <v>46244</v>
      </c>
      <c r="B14869" s="5" t="s">
        <v>352</v>
      </c>
      <c r="C14869" s="5" t="s">
        <v>65</v>
      </c>
      <c r="D14869" s="5">
        <v>1</v>
      </c>
      <c r="E14869" s="5">
        <v>116305</v>
      </c>
    </row>
    <row r="14870" spans="1:5" x14ac:dyDescent="0.35">
      <c r="A14870" s="3">
        <v>46244</v>
      </c>
      <c r="B14870" s="5" t="s">
        <v>352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352</v>
      </c>
      <c r="C14871" s="5" t="s">
        <v>67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352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352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352</v>
      </c>
      <c r="C14874" s="5" t="s">
        <v>65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133</v>
      </c>
      <c r="C14875" s="5" t="s">
        <v>18</v>
      </c>
      <c r="D14875" s="5">
        <v>1</v>
      </c>
      <c r="E14875" s="5">
        <v>127942</v>
      </c>
    </row>
    <row r="14876" spans="1:5" x14ac:dyDescent="0.35">
      <c r="A14876" s="3">
        <v>46244</v>
      </c>
      <c r="B14876" s="5" t="s">
        <v>252</v>
      </c>
      <c r="C14876" s="5" t="s">
        <v>19</v>
      </c>
      <c r="D14876" s="5">
        <v>1</v>
      </c>
      <c r="E14876" s="5">
        <v>127942</v>
      </c>
    </row>
    <row r="14877" spans="1:5" x14ac:dyDescent="0.35">
      <c r="A14877" s="3">
        <v>46244</v>
      </c>
      <c r="B14877" s="5" t="s">
        <v>133</v>
      </c>
      <c r="C14877" s="5" t="s">
        <v>18</v>
      </c>
      <c r="D14877" s="5">
        <v>1</v>
      </c>
      <c r="E14877" s="5">
        <v>127942</v>
      </c>
    </row>
    <row r="14878" spans="1:5" x14ac:dyDescent="0.35">
      <c r="A14878" s="3">
        <v>46244</v>
      </c>
      <c r="B14878" s="5" t="s">
        <v>373</v>
      </c>
      <c r="C14878" s="5" t="s">
        <v>48</v>
      </c>
      <c r="D14878" s="5">
        <v>1</v>
      </c>
      <c r="E14878" s="5">
        <v>501682</v>
      </c>
    </row>
    <row r="14879" spans="1:5" x14ac:dyDescent="0.35">
      <c r="A14879" s="3">
        <v>46244</v>
      </c>
      <c r="B14879" s="5" t="s">
        <v>244</v>
      </c>
      <c r="C14879" s="5" t="s">
        <v>62</v>
      </c>
      <c r="D14879" s="5">
        <v>1</v>
      </c>
      <c r="E14879" s="5">
        <v>177214</v>
      </c>
    </row>
    <row r="14880" spans="1:5" x14ac:dyDescent="0.35">
      <c r="A14880" s="3">
        <v>46244</v>
      </c>
      <c r="B14880" s="5" t="s">
        <v>373</v>
      </c>
      <c r="C14880" s="5" t="s">
        <v>106</v>
      </c>
      <c r="D14880" s="5">
        <v>1</v>
      </c>
      <c r="E14880" s="5">
        <v>206759</v>
      </c>
    </row>
    <row r="14881" spans="1:5" x14ac:dyDescent="0.35">
      <c r="A14881" s="3">
        <v>46244</v>
      </c>
      <c r="B14881" s="5" t="s">
        <v>373</v>
      </c>
      <c r="C14881" s="5" t="s">
        <v>83</v>
      </c>
      <c r="D14881" s="5">
        <v>1</v>
      </c>
      <c r="E14881" s="5">
        <v>70850</v>
      </c>
    </row>
    <row r="14882" spans="1:5" x14ac:dyDescent="0.35">
      <c r="A14882" s="3">
        <v>46244</v>
      </c>
      <c r="B14882" s="5" t="s">
        <v>373</v>
      </c>
      <c r="C14882" s="5" t="s">
        <v>18</v>
      </c>
      <c r="D14882" s="5">
        <v>1</v>
      </c>
      <c r="E14882" s="5">
        <v>129941</v>
      </c>
    </row>
    <row r="14883" spans="1:5" x14ac:dyDescent="0.35">
      <c r="A14883" s="3">
        <v>46244</v>
      </c>
      <c r="B14883" s="5" t="s">
        <v>373</v>
      </c>
      <c r="C14883" s="5" t="s">
        <v>25</v>
      </c>
      <c r="D14883" s="5">
        <v>1</v>
      </c>
      <c r="E14883" s="5">
        <v>460318</v>
      </c>
    </row>
    <row r="14884" spans="1:5" x14ac:dyDescent="0.35">
      <c r="A14884" s="3">
        <v>46244</v>
      </c>
      <c r="B14884" s="5" t="s">
        <v>352</v>
      </c>
      <c r="C14884" s="5" t="s">
        <v>66</v>
      </c>
      <c r="D14884" s="5">
        <v>1</v>
      </c>
      <c r="E14884" s="5">
        <v>116305</v>
      </c>
    </row>
    <row r="14885" spans="1:5" x14ac:dyDescent="0.35">
      <c r="A14885" s="3">
        <v>46244</v>
      </c>
      <c r="B14885" s="5" t="s">
        <v>352</v>
      </c>
      <c r="C14885" s="5" t="s">
        <v>66</v>
      </c>
      <c r="D14885" s="5">
        <v>1</v>
      </c>
      <c r="E14885" s="5">
        <v>116305</v>
      </c>
    </row>
    <row r="14886" spans="1:5" x14ac:dyDescent="0.35">
      <c r="A14886" s="3">
        <v>46244</v>
      </c>
      <c r="B14886" s="5" t="s">
        <v>352</v>
      </c>
      <c r="C14886" s="5" t="s">
        <v>66</v>
      </c>
      <c r="D14886" s="5">
        <v>1</v>
      </c>
      <c r="E14886" s="5">
        <v>116305</v>
      </c>
    </row>
    <row r="14887" spans="1:5" x14ac:dyDescent="0.35">
      <c r="A14887" s="3">
        <v>46244</v>
      </c>
      <c r="B14887" s="5" t="s">
        <v>352</v>
      </c>
      <c r="C14887" s="5" t="s">
        <v>66</v>
      </c>
      <c r="D14887" s="5">
        <v>1</v>
      </c>
      <c r="E14887" s="5">
        <v>116305</v>
      </c>
    </row>
    <row r="14888" spans="1:5" x14ac:dyDescent="0.35">
      <c r="A14888" s="3">
        <v>46244</v>
      </c>
      <c r="B14888" s="5" t="s">
        <v>352</v>
      </c>
      <c r="C14888" s="5" t="s">
        <v>66</v>
      </c>
      <c r="D14888" s="5">
        <v>1</v>
      </c>
      <c r="E14888" s="5">
        <v>116305</v>
      </c>
    </row>
    <row r="14889" spans="1:5" x14ac:dyDescent="0.35">
      <c r="A14889" s="3">
        <v>46244</v>
      </c>
      <c r="B14889" s="5" t="s">
        <v>352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352</v>
      </c>
      <c r="C14890" s="5" t="s">
        <v>65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352</v>
      </c>
      <c r="C14891" s="5" t="s">
        <v>65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133</v>
      </c>
      <c r="C14892" s="5" t="s">
        <v>18</v>
      </c>
      <c r="D14892" s="5">
        <v>1</v>
      </c>
      <c r="E14892" s="5">
        <v>127942</v>
      </c>
    </row>
    <row r="14893" spans="1:5" x14ac:dyDescent="0.35">
      <c r="A14893" s="3">
        <v>46244</v>
      </c>
      <c r="B14893" s="5" t="s">
        <v>133</v>
      </c>
      <c r="C14893" s="5" t="s">
        <v>18</v>
      </c>
      <c r="D14893" s="5">
        <v>1</v>
      </c>
      <c r="E14893" s="5">
        <v>127942</v>
      </c>
    </row>
    <row r="14894" spans="1:5" x14ac:dyDescent="0.35">
      <c r="A14894" s="3">
        <v>46244</v>
      </c>
      <c r="B14894" s="5" t="s">
        <v>133</v>
      </c>
      <c r="C14894" s="5" t="s">
        <v>18</v>
      </c>
      <c r="D14894" s="5">
        <v>1</v>
      </c>
      <c r="E14894" s="5">
        <v>127942</v>
      </c>
    </row>
    <row r="14895" spans="1:5" x14ac:dyDescent="0.35">
      <c r="A14895" s="3">
        <v>46244</v>
      </c>
      <c r="B14895" s="5" t="s">
        <v>133</v>
      </c>
      <c r="C14895" s="5" t="s">
        <v>18</v>
      </c>
      <c r="D14895" s="5">
        <v>1</v>
      </c>
      <c r="E14895" s="5">
        <v>127942</v>
      </c>
    </row>
    <row r="14896" spans="1:5" x14ac:dyDescent="0.35">
      <c r="A14896" s="3">
        <v>46244</v>
      </c>
      <c r="B14896" s="5" t="s">
        <v>133</v>
      </c>
      <c r="C14896" s="5" t="s">
        <v>18</v>
      </c>
      <c r="D14896" s="5">
        <v>1</v>
      </c>
      <c r="E14896" s="5">
        <v>127942</v>
      </c>
    </row>
    <row r="14897" spans="1:5" x14ac:dyDescent="0.35">
      <c r="A14897" s="3">
        <v>46244</v>
      </c>
      <c r="B14897" s="5" t="s">
        <v>133</v>
      </c>
      <c r="C14897" s="5" t="s">
        <v>18</v>
      </c>
      <c r="D14897" s="5">
        <v>1</v>
      </c>
      <c r="E14897" s="5">
        <v>127942</v>
      </c>
    </row>
    <row r="14898" spans="1:5" x14ac:dyDescent="0.35">
      <c r="A14898" s="3">
        <v>46244</v>
      </c>
      <c r="B14898" s="5" t="s">
        <v>133</v>
      </c>
      <c r="C14898" s="5" t="s">
        <v>18</v>
      </c>
      <c r="D14898" s="5">
        <v>1</v>
      </c>
      <c r="E14898" s="5">
        <v>127942</v>
      </c>
    </row>
    <row r="14899" spans="1:5" x14ac:dyDescent="0.35">
      <c r="A14899" s="3">
        <v>46244</v>
      </c>
      <c r="B14899" s="5" t="s">
        <v>373</v>
      </c>
      <c r="C14899" s="5" t="s">
        <v>93</v>
      </c>
      <c r="D14899" s="5">
        <v>1</v>
      </c>
      <c r="E14899" s="5">
        <v>50168</v>
      </c>
    </row>
    <row r="14900" spans="1:5" x14ac:dyDescent="0.35">
      <c r="A14900" s="3">
        <v>46244</v>
      </c>
      <c r="B14900" s="5" t="s">
        <v>373</v>
      </c>
      <c r="C14900" s="5" t="s">
        <v>93</v>
      </c>
      <c r="D14900" s="5">
        <v>1</v>
      </c>
      <c r="E14900" s="5">
        <v>50168</v>
      </c>
    </row>
    <row r="14901" spans="1:5" x14ac:dyDescent="0.35">
      <c r="A14901" s="3">
        <v>46244</v>
      </c>
      <c r="B14901" s="5" t="s">
        <v>373</v>
      </c>
      <c r="C14901" s="5" t="s">
        <v>93</v>
      </c>
      <c r="D14901" s="5">
        <v>1</v>
      </c>
      <c r="E14901" s="5">
        <v>50168</v>
      </c>
    </row>
    <row r="14902" spans="1:5" x14ac:dyDescent="0.35">
      <c r="A14902" s="3">
        <v>46244</v>
      </c>
      <c r="B14902" s="5" t="s">
        <v>352</v>
      </c>
      <c r="C14902" s="5" t="s">
        <v>66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351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352</v>
      </c>
      <c r="C14904" s="5" t="s">
        <v>66</v>
      </c>
      <c r="D14904" s="5">
        <v>1</v>
      </c>
      <c r="E14904" s="5">
        <v>116305</v>
      </c>
    </row>
    <row r="14905" spans="1:5" x14ac:dyDescent="0.35">
      <c r="A14905" s="3">
        <v>46244</v>
      </c>
      <c r="B14905" s="5" t="s">
        <v>352</v>
      </c>
      <c r="C14905" s="5" t="s">
        <v>66</v>
      </c>
      <c r="D14905" s="5">
        <v>1</v>
      </c>
      <c r="E14905" s="5">
        <v>116305</v>
      </c>
    </row>
    <row r="14906" spans="1:5" x14ac:dyDescent="0.35">
      <c r="A14906" s="3">
        <v>46244</v>
      </c>
      <c r="B14906" s="5" t="s">
        <v>352</v>
      </c>
      <c r="C14906" s="5" t="s">
        <v>66</v>
      </c>
      <c r="D14906" s="5">
        <v>1</v>
      </c>
      <c r="E14906" s="5">
        <v>116305</v>
      </c>
    </row>
    <row r="14907" spans="1:5" x14ac:dyDescent="0.35">
      <c r="A14907" s="3">
        <v>46244</v>
      </c>
      <c r="B14907" s="5" t="s">
        <v>352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352</v>
      </c>
      <c r="C14908" s="5" t="s">
        <v>65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352</v>
      </c>
      <c r="C14909" s="5" t="s">
        <v>65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352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352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352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352</v>
      </c>
      <c r="C14913" s="5" t="s">
        <v>65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352</v>
      </c>
      <c r="C14914" s="5" t="s">
        <v>65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352</v>
      </c>
      <c r="C14915" s="5" t="s">
        <v>65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352</v>
      </c>
      <c r="C14916" s="5" t="s">
        <v>67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352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352</v>
      </c>
      <c r="C14918" s="5" t="s">
        <v>67</v>
      </c>
      <c r="D14918" s="5">
        <v>1</v>
      </c>
      <c r="E14918" s="5">
        <v>116305</v>
      </c>
    </row>
    <row r="14919" spans="1:5" x14ac:dyDescent="0.35">
      <c r="A14919" s="3">
        <v>46244</v>
      </c>
      <c r="B14919" s="5" t="s">
        <v>133</v>
      </c>
      <c r="C14919" s="5" t="s">
        <v>18</v>
      </c>
      <c r="D14919" s="5">
        <v>1</v>
      </c>
      <c r="E14919" s="5">
        <v>127942</v>
      </c>
    </row>
    <row r="14920" spans="1:5" x14ac:dyDescent="0.35">
      <c r="A14920" s="3">
        <v>46244</v>
      </c>
      <c r="B14920" s="5" t="s">
        <v>133</v>
      </c>
      <c r="C14920" s="5" t="s">
        <v>18</v>
      </c>
      <c r="D14920" s="5">
        <v>1</v>
      </c>
      <c r="E14920" s="5">
        <v>127942</v>
      </c>
    </row>
    <row r="14921" spans="1:5" x14ac:dyDescent="0.35">
      <c r="A14921" s="3">
        <v>46244</v>
      </c>
      <c r="B14921" s="5" t="s">
        <v>244</v>
      </c>
      <c r="C14921" s="5" t="s">
        <v>39</v>
      </c>
      <c r="D14921" s="5">
        <v>1</v>
      </c>
      <c r="E14921" s="5">
        <v>118123</v>
      </c>
    </row>
    <row r="14922" spans="1:5" x14ac:dyDescent="0.35">
      <c r="A14922" s="3">
        <v>46244</v>
      </c>
      <c r="B14922" s="5" t="s">
        <v>376</v>
      </c>
      <c r="C14922" s="5" t="s">
        <v>18</v>
      </c>
      <c r="D14922" s="5">
        <v>1</v>
      </c>
      <c r="E14922" s="5">
        <v>129941</v>
      </c>
    </row>
    <row r="14923" spans="1:5" x14ac:dyDescent="0.35">
      <c r="A14923" s="3">
        <v>46244</v>
      </c>
      <c r="B14923" s="5" t="s">
        <v>244</v>
      </c>
      <c r="C14923" s="5" t="s">
        <v>39</v>
      </c>
      <c r="D14923" s="5">
        <v>1</v>
      </c>
      <c r="E14923" s="5">
        <v>118123</v>
      </c>
    </row>
    <row r="14924" spans="1:5" x14ac:dyDescent="0.35">
      <c r="A14924" s="3">
        <v>46244</v>
      </c>
      <c r="B14924" s="5" t="s">
        <v>376</v>
      </c>
      <c r="C14924" s="5" t="s">
        <v>39</v>
      </c>
      <c r="D14924" s="5">
        <v>1</v>
      </c>
      <c r="E14924" s="5">
        <v>118123</v>
      </c>
    </row>
    <row r="14925" spans="1:5" x14ac:dyDescent="0.35">
      <c r="A14925" s="3">
        <v>46244</v>
      </c>
      <c r="B14925" s="5" t="s">
        <v>351</v>
      </c>
      <c r="C14925" s="5" t="s">
        <v>67</v>
      </c>
      <c r="D14925" s="5">
        <v>1</v>
      </c>
      <c r="E14925" s="5">
        <v>116305</v>
      </c>
    </row>
    <row r="14926" spans="1:5" x14ac:dyDescent="0.35">
      <c r="A14926" s="3">
        <v>46244</v>
      </c>
      <c r="B14926" s="5" t="s">
        <v>351</v>
      </c>
      <c r="C14926" s="5" t="s">
        <v>66</v>
      </c>
      <c r="D14926" s="5">
        <v>1</v>
      </c>
      <c r="E14926" s="5">
        <v>116305</v>
      </c>
    </row>
    <row r="14927" spans="1:5" x14ac:dyDescent="0.35">
      <c r="A14927" s="3">
        <v>46244</v>
      </c>
      <c r="B14927" s="5" t="s">
        <v>352</v>
      </c>
      <c r="C14927" s="5" t="s">
        <v>66</v>
      </c>
      <c r="D14927" s="5">
        <v>1</v>
      </c>
      <c r="E14927" s="5">
        <v>116305</v>
      </c>
    </row>
    <row r="14928" spans="1:5" x14ac:dyDescent="0.35">
      <c r="A14928" s="3">
        <v>46244</v>
      </c>
      <c r="B14928" s="5" t="s">
        <v>352</v>
      </c>
      <c r="C14928" s="5" t="s">
        <v>66</v>
      </c>
      <c r="D14928" s="5">
        <v>1</v>
      </c>
      <c r="E14928" s="5">
        <v>116305</v>
      </c>
    </row>
    <row r="14929" spans="1:5" x14ac:dyDescent="0.35">
      <c r="A14929" s="3">
        <v>46244</v>
      </c>
      <c r="B14929" s="5" t="s">
        <v>352</v>
      </c>
      <c r="C14929" s="5" t="s">
        <v>66</v>
      </c>
      <c r="D14929" s="5">
        <v>1</v>
      </c>
      <c r="E14929" s="5">
        <v>116305</v>
      </c>
    </row>
    <row r="14930" spans="1:5" x14ac:dyDescent="0.35">
      <c r="A14930" s="3">
        <v>46244</v>
      </c>
      <c r="B14930" s="5" t="s">
        <v>352</v>
      </c>
      <c r="C14930" s="5" t="s">
        <v>67</v>
      </c>
      <c r="D14930" s="5">
        <v>1</v>
      </c>
      <c r="E14930" s="5">
        <v>116305</v>
      </c>
    </row>
    <row r="14931" spans="1:5" x14ac:dyDescent="0.35">
      <c r="A14931" s="3">
        <v>46244</v>
      </c>
      <c r="B14931" s="5" t="s">
        <v>353</v>
      </c>
      <c r="C14931" s="5" t="s">
        <v>42</v>
      </c>
      <c r="D14931" s="5">
        <v>1</v>
      </c>
      <c r="E14931" s="5">
        <v>203578</v>
      </c>
    </row>
    <row r="14932" spans="1:5" x14ac:dyDescent="0.35">
      <c r="A14932" s="3">
        <v>46244</v>
      </c>
      <c r="B14932" s="5" t="s">
        <v>133</v>
      </c>
      <c r="C14932" s="5" t="s">
        <v>18</v>
      </c>
      <c r="D14932" s="5">
        <v>1</v>
      </c>
      <c r="E14932" s="5">
        <v>127942</v>
      </c>
    </row>
    <row r="14933" spans="1:5" x14ac:dyDescent="0.35">
      <c r="A14933" s="3">
        <v>46244</v>
      </c>
      <c r="B14933" s="5" t="s">
        <v>352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46244</v>
      </c>
      <c r="B14934" s="5" t="s">
        <v>352</v>
      </c>
      <c r="C14934" s="5" t="s">
        <v>66</v>
      </c>
      <c r="D14934" s="5">
        <v>1</v>
      </c>
      <c r="E14934" s="5">
        <v>116305</v>
      </c>
    </row>
    <row r="14935" spans="1:5" x14ac:dyDescent="0.35">
      <c r="A14935" s="3">
        <v>46244</v>
      </c>
      <c r="B14935" s="5" t="s">
        <v>352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46244</v>
      </c>
      <c r="B14936" s="5" t="s">
        <v>352</v>
      </c>
      <c r="C14936" s="5" t="s">
        <v>66</v>
      </c>
      <c r="D14936" s="5">
        <v>1</v>
      </c>
      <c r="E14936" s="5">
        <v>116305</v>
      </c>
    </row>
    <row r="14937" spans="1:5" x14ac:dyDescent="0.35">
      <c r="A14937" s="3">
        <v>46244</v>
      </c>
      <c r="B14937" s="5" t="s">
        <v>352</v>
      </c>
      <c r="C14937" s="5" t="s">
        <v>66</v>
      </c>
      <c r="D14937" s="5">
        <v>1</v>
      </c>
      <c r="E14937" s="5">
        <v>116305</v>
      </c>
    </row>
    <row r="14938" spans="1:5" x14ac:dyDescent="0.35">
      <c r="A14938" s="3">
        <v>46244</v>
      </c>
      <c r="B14938" s="5" t="s">
        <v>352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46244</v>
      </c>
      <c r="B14939" s="5" t="s">
        <v>352</v>
      </c>
      <c r="C14939" s="5" t="s">
        <v>65</v>
      </c>
      <c r="D14939" s="5">
        <v>1</v>
      </c>
      <c r="E14939" s="5">
        <v>116305</v>
      </c>
    </row>
    <row r="14940" spans="1:5" x14ac:dyDescent="0.35">
      <c r="A14940" s="3">
        <v>46244</v>
      </c>
      <c r="B14940" s="5" t="s">
        <v>352</v>
      </c>
      <c r="C14940" s="5" t="s">
        <v>65</v>
      </c>
      <c r="D14940" s="5">
        <v>1</v>
      </c>
      <c r="E14940" s="5">
        <v>116305</v>
      </c>
    </row>
    <row r="14941" spans="1:5" x14ac:dyDescent="0.35">
      <c r="A14941" s="3">
        <v>46244</v>
      </c>
      <c r="B14941" s="5" t="s">
        <v>133</v>
      </c>
      <c r="C14941" s="5" t="s">
        <v>18</v>
      </c>
      <c r="D14941" s="5">
        <v>1</v>
      </c>
      <c r="E14941" s="5">
        <v>127942</v>
      </c>
    </row>
    <row r="14942" spans="1:5" x14ac:dyDescent="0.35">
      <c r="A14942" s="3">
        <v>46244</v>
      </c>
      <c r="B14942" s="5" t="s">
        <v>244</v>
      </c>
      <c r="C14942" s="5" t="s">
        <v>26</v>
      </c>
      <c r="D14942" s="5">
        <v>1</v>
      </c>
      <c r="E14942" s="5">
        <v>501682</v>
      </c>
    </row>
    <row r="14943" spans="1:5" x14ac:dyDescent="0.35">
      <c r="A14943" s="3">
        <v>46244</v>
      </c>
      <c r="B14943" s="5" t="s">
        <v>373</v>
      </c>
      <c r="C14943" s="5" t="s">
        <v>18</v>
      </c>
      <c r="D14943" s="5">
        <v>1</v>
      </c>
      <c r="E14943" s="5">
        <v>129941</v>
      </c>
    </row>
    <row r="14944" spans="1:5" x14ac:dyDescent="0.35">
      <c r="A14944" s="3">
        <v>46244</v>
      </c>
      <c r="B14944" s="5" t="s">
        <v>244</v>
      </c>
      <c r="C14944" s="5" t="s">
        <v>18</v>
      </c>
      <c r="D14944" s="5">
        <v>1</v>
      </c>
      <c r="E14944" s="5">
        <v>129941</v>
      </c>
    </row>
    <row r="14945" spans="1:5" x14ac:dyDescent="0.35">
      <c r="A14945" s="3">
        <v>46244</v>
      </c>
      <c r="B14945" s="5" t="s">
        <v>351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46244</v>
      </c>
      <c r="B14946" s="5" t="s">
        <v>351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46244</v>
      </c>
      <c r="B14947" s="5" t="s">
        <v>352</v>
      </c>
      <c r="C14947" s="5" t="s">
        <v>66</v>
      </c>
      <c r="D14947" s="5">
        <v>1</v>
      </c>
      <c r="E14947" s="5">
        <v>116305</v>
      </c>
    </row>
    <row r="14948" spans="1:5" x14ac:dyDescent="0.35">
      <c r="A14948" s="3">
        <v>46244</v>
      </c>
      <c r="B14948" s="5" t="s">
        <v>352</v>
      </c>
      <c r="C14948" s="5" t="s">
        <v>66</v>
      </c>
      <c r="D14948" s="5">
        <v>1</v>
      </c>
      <c r="E14948" s="5">
        <v>116305</v>
      </c>
    </row>
    <row r="14949" spans="1:5" x14ac:dyDescent="0.35">
      <c r="A14949" s="3">
        <v>46244</v>
      </c>
      <c r="B14949" s="5" t="s">
        <v>352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46244</v>
      </c>
      <c r="B14950" s="5" t="s">
        <v>352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46244</v>
      </c>
      <c r="B14951" s="5" t="s">
        <v>352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46244</v>
      </c>
      <c r="B14952" s="5" t="s">
        <v>352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46244</v>
      </c>
      <c r="B14953" s="5" t="s">
        <v>352</v>
      </c>
      <c r="C14953" s="5" t="s">
        <v>67</v>
      </c>
      <c r="D14953" s="5">
        <v>1</v>
      </c>
      <c r="E14953" s="5">
        <v>116305</v>
      </c>
    </row>
    <row r="14954" spans="1:5" x14ac:dyDescent="0.35">
      <c r="A14954" s="3">
        <v>46244</v>
      </c>
      <c r="B14954" s="5" t="s">
        <v>352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46244</v>
      </c>
      <c r="B14955" s="5" t="s">
        <v>136</v>
      </c>
      <c r="C14955" s="5" t="s">
        <v>42</v>
      </c>
      <c r="D14955" s="5">
        <v>1</v>
      </c>
      <c r="E14955" s="5">
        <v>203578</v>
      </c>
    </row>
    <row r="14956" spans="1:5" x14ac:dyDescent="0.35">
      <c r="A14956" s="3">
        <v>46244</v>
      </c>
      <c r="B14956" s="5" t="s">
        <v>352</v>
      </c>
      <c r="C14956" s="5" t="s">
        <v>67</v>
      </c>
      <c r="D14956" s="5">
        <v>1</v>
      </c>
      <c r="E14956" s="5">
        <v>116305</v>
      </c>
    </row>
    <row r="14957" spans="1:5" x14ac:dyDescent="0.35">
      <c r="A14957" s="3">
        <v>46244</v>
      </c>
      <c r="B14957" s="5" t="s">
        <v>133</v>
      </c>
      <c r="C14957" s="5" t="s">
        <v>18</v>
      </c>
      <c r="D14957" s="5">
        <v>1</v>
      </c>
      <c r="E14957" s="5">
        <v>127942</v>
      </c>
    </row>
    <row r="14958" spans="1:5" x14ac:dyDescent="0.35">
      <c r="A14958" s="3">
        <v>46244</v>
      </c>
      <c r="B14958" s="5" t="s">
        <v>133</v>
      </c>
      <c r="C14958" s="5" t="s">
        <v>18</v>
      </c>
      <c r="D14958" s="5">
        <v>1</v>
      </c>
      <c r="E14958" s="5">
        <v>127942</v>
      </c>
    </row>
    <row r="14959" spans="1:5" x14ac:dyDescent="0.35">
      <c r="A14959" s="3">
        <v>46244</v>
      </c>
      <c r="B14959" s="5" t="s">
        <v>133</v>
      </c>
      <c r="C14959" s="5" t="s">
        <v>18</v>
      </c>
      <c r="D14959" s="5">
        <v>1</v>
      </c>
      <c r="E14959" s="5">
        <v>127942</v>
      </c>
    </row>
    <row r="14960" spans="1:5" x14ac:dyDescent="0.35">
      <c r="A14960" s="3">
        <v>46244</v>
      </c>
      <c r="B14960" s="5" t="s">
        <v>133</v>
      </c>
      <c r="C14960" s="5" t="s">
        <v>18</v>
      </c>
      <c r="D14960" s="5">
        <v>1</v>
      </c>
      <c r="E14960" s="5">
        <v>127942</v>
      </c>
    </row>
    <row r="14961" spans="1:5" x14ac:dyDescent="0.35">
      <c r="A14961" s="3">
        <v>46244</v>
      </c>
      <c r="B14961" s="5" t="s">
        <v>133</v>
      </c>
      <c r="C14961" s="5" t="s">
        <v>18</v>
      </c>
      <c r="D14961" s="5">
        <v>1</v>
      </c>
      <c r="E14961" s="5">
        <v>127942</v>
      </c>
    </row>
    <row r="14962" spans="1:5" x14ac:dyDescent="0.35">
      <c r="A14962" s="3">
        <v>46244</v>
      </c>
      <c r="B14962" s="5" t="s">
        <v>133</v>
      </c>
      <c r="C14962" s="5" t="s">
        <v>18</v>
      </c>
      <c r="D14962" s="5">
        <v>1</v>
      </c>
      <c r="E14962" s="5">
        <v>127942</v>
      </c>
    </row>
    <row r="14963" spans="1:5" x14ac:dyDescent="0.35">
      <c r="A14963" s="3">
        <v>46244</v>
      </c>
      <c r="B14963" s="5" t="s">
        <v>373</v>
      </c>
      <c r="C14963" s="5" t="s">
        <v>42</v>
      </c>
      <c r="D14963" s="5">
        <v>1</v>
      </c>
      <c r="E14963" s="5">
        <v>206759</v>
      </c>
    </row>
    <row r="14964" spans="1:5" x14ac:dyDescent="0.35">
      <c r="A14964" s="3">
        <v>46244</v>
      </c>
      <c r="B14964" s="5" t="s">
        <v>373</v>
      </c>
      <c r="C14964" s="5" t="s">
        <v>28</v>
      </c>
      <c r="D14964" s="5">
        <v>1</v>
      </c>
      <c r="E14964" s="5">
        <v>118123</v>
      </c>
    </row>
    <row r="14965" spans="1:5" x14ac:dyDescent="0.35">
      <c r="A14965" s="3">
        <v>46244</v>
      </c>
      <c r="B14965" s="5" t="s">
        <v>373</v>
      </c>
      <c r="C14965" s="5" t="s">
        <v>18</v>
      </c>
      <c r="D14965" s="5">
        <v>1</v>
      </c>
      <c r="E14965" s="5">
        <v>129941</v>
      </c>
    </row>
    <row r="14966" spans="1:5" x14ac:dyDescent="0.35">
      <c r="A14966" s="3">
        <v>46244</v>
      </c>
      <c r="B14966" s="5" t="s">
        <v>373</v>
      </c>
      <c r="C14966" s="5" t="s">
        <v>108</v>
      </c>
      <c r="D14966" s="5">
        <v>1</v>
      </c>
      <c r="E14966" s="5">
        <v>106305</v>
      </c>
    </row>
    <row r="14967" spans="1:5" x14ac:dyDescent="0.35">
      <c r="A14967" s="3">
        <v>46244</v>
      </c>
      <c r="B14967" s="5" t="s">
        <v>373</v>
      </c>
      <c r="C14967" s="5" t="s">
        <v>18</v>
      </c>
      <c r="D14967" s="5">
        <v>1</v>
      </c>
      <c r="E14967" s="5">
        <v>129941</v>
      </c>
    </row>
    <row r="14968" spans="1:5" x14ac:dyDescent="0.35">
      <c r="A14968" s="3">
        <v>46244</v>
      </c>
      <c r="B14968" s="5" t="s">
        <v>373</v>
      </c>
      <c r="C14968" s="5" t="s">
        <v>43</v>
      </c>
      <c r="D14968" s="5">
        <v>1</v>
      </c>
      <c r="E14968" s="5">
        <v>442591</v>
      </c>
    </row>
    <row r="14969" spans="1:5" x14ac:dyDescent="0.35">
      <c r="A14969" s="3">
        <v>46244</v>
      </c>
      <c r="B14969" s="5" t="s">
        <v>373</v>
      </c>
      <c r="C14969" s="5" t="s">
        <v>26</v>
      </c>
      <c r="D14969" s="5">
        <v>1</v>
      </c>
      <c r="E14969" s="5">
        <v>501682</v>
      </c>
    </row>
    <row r="14970" spans="1:5" x14ac:dyDescent="0.35">
      <c r="A14970" s="3">
        <v>46244</v>
      </c>
      <c r="B14970" s="5" t="s">
        <v>373</v>
      </c>
      <c r="C14970" s="5" t="s">
        <v>107</v>
      </c>
      <c r="D14970" s="5">
        <v>1</v>
      </c>
      <c r="E14970" s="5">
        <v>442591</v>
      </c>
    </row>
    <row r="14971" spans="1:5" x14ac:dyDescent="0.35">
      <c r="A14971" s="3">
        <v>46244</v>
      </c>
      <c r="B14971" s="5" t="s">
        <v>352</v>
      </c>
      <c r="C14971" s="5" t="s">
        <v>66</v>
      </c>
      <c r="D14971" s="5">
        <v>1</v>
      </c>
      <c r="E14971" s="5">
        <v>116305</v>
      </c>
    </row>
    <row r="14972" spans="1:5" x14ac:dyDescent="0.35">
      <c r="A14972" s="3">
        <v>46244</v>
      </c>
      <c r="B14972" s="5" t="s">
        <v>352</v>
      </c>
      <c r="C14972" s="5" t="s">
        <v>65</v>
      </c>
      <c r="D14972" s="5">
        <v>1</v>
      </c>
      <c r="E14972" s="5">
        <v>116305</v>
      </c>
    </row>
    <row r="14973" spans="1:5" x14ac:dyDescent="0.35">
      <c r="A14973" s="3">
        <v>46244</v>
      </c>
      <c r="B14973" s="5" t="s">
        <v>352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46244</v>
      </c>
      <c r="B14974" s="5" t="s">
        <v>352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46244</v>
      </c>
      <c r="B14975" s="5" t="s">
        <v>352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46244</v>
      </c>
      <c r="B14976" s="5" t="s">
        <v>133</v>
      </c>
      <c r="C14976" s="5" t="s">
        <v>18</v>
      </c>
      <c r="D14976" s="5">
        <v>1</v>
      </c>
      <c r="E14976" s="5">
        <v>127942</v>
      </c>
    </row>
    <row r="14977" spans="1:5" x14ac:dyDescent="0.35">
      <c r="A14977" s="3">
        <v>46244</v>
      </c>
      <c r="B14977" s="5" t="s">
        <v>133</v>
      </c>
      <c r="C14977" s="5" t="s">
        <v>18</v>
      </c>
      <c r="D14977" s="5">
        <v>1</v>
      </c>
      <c r="E14977" s="5">
        <v>127942</v>
      </c>
    </row>
    <row r="14978" spans="1:5" x14ac:dyDescent="0.35">
      <c r="A14978" s="3">
        <v>46244</v>
      </c>
      <c r="B14978" s="5" t="s">
        <v>133</v>
      </c>
      <c r="C14978" s="5" t="s">
        <v>18</v>
      </c>
      <c r="D14978" s="5">
        <v>1</v>
      </c>
      <c r="E14978" s="5">
        <v>127942</v>
      </c>
    </row>
    <row r="14979" spans="1:5" x14ac:dyDescent="0.35">
      <c r="A14979" s="3">
        <v>46244</v>
      </c>
      <c r="B14979" s="5" t="s">
        <v>133</v>
      </c>
      <c r="C14979" s="5" t="s">
        <v>18</v>
      </c>
      <c r="D14979" s="5">
        <v>1</v>
      </c>
      <c r="E14979" s="5">
        <v>127942</v>
      </c>
    </row>
    <row r="14980" spans="1:5" x14ac:dyDescent="0.35">
      <c r="A14980" s="3">
        <v>46244</v>
      </c>
      <c r="B14980" s="5" t="s">
        <v>133</v>
      </c>
      <c r="C14980" s="5" t="s">
        <v>18</v>
      </c>
      <c r="D14980" s="5">
        <v>1</v>
      </c>
      <c r="E14980" s="5">
        <v>127942</v>
      </c>
    </row>
    <row r="14981" spans="1:5" x14ac:dyDescent="0.35">
      <c r="A14981" s="3">
        <v>46244</v>
      </c>
      <c r="B14981" s="5" t="s">
        <v>133</v>
      </c>
      <c r="C14981" s="5" t="s">
        <v>18</v>
      </c>
      <c r="D14981" s="5">
        <v>1</v>
      </c>
      <c r="E14981" s="5">
        <v>127942</v>
      </c>
    </row>
    <row r="14982" spans="1:5" x14ac:dyDescent="0.35">
      <c r="A14982" s="3">
        <v>46244</v>
      </c>
      <c r="B14982" s="5" t="s">
        <v>133</v>
      </c>
      <c r="C14982" s="5" t="s">
        <v>18</v>
      </c>
      <c r="D14982" s="5">
        <v>1</v>
      </c>
      <c r="E14982" s="5">
        <v>127942</v>
      </c>
    </row>
    <row r="14983" spans="1:5" x14ac:dyDescent="0.35">
      <c r="A14983" s="3">
        <v>46244</v>
      </c>
      <c r="B14983" s="5" t="s">
        <v>133</v>
      </c>
      <c r="C14983" s="5" t="s">
        <v>18</v>
      </c>
      <c r="D14983" s="5">
        <v>1</v>
      </c>
      <c r="E14983" s="5">
        <v>127942</v>
      </c>
    </row>
    <row r="14984" spans="1:5" x14ac:dyDescent="0.35">
      <c r="A14984" s="3">
        <v>46244</v>
      </c>
      <c r="B14984" s="5" t="s">
        <v>373</v>
      </c>
      <c r="C14984" s="5" t="s">
        <v>109</v>
      </c>
      <c r="D14984" s="5">
        <v>1</v>
      </c>
      <c r="E14984" s="5">
        <v>129941</v>
      </c>
    </row>
    <row r="14985" spans="1:5" x14ac:dyDescent="0.35">
      <c r="A14985" s="3">
        <v>46244</v>
      </c>
      <c r="B14985" s="5" t="s">
        <v>376</v>
      </c>
      <c r="C14985" s="5" t="s">
        <v>18</v>
      </c>
      <c r="D14985" s="5">
        <v>1</v>
      </c>
      <c r="E14985" s="5">
        <v>129941</v>
      </c>
    </row>
    <row r="14986" spans="1:5" x14ac:dyDescent="0.35">
      <c r="A14986" s="3">
        <v>46244</v>
      </c>
      <c r="B14986" s="5" t="s">
        <v>352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46244</v>
      </c>
      <c r="B14987" s="5" t="s">
        <v>352</v>
      </c>
      <c r="C14987" s="5" t="s">
        <v>66</v>
      </c>
      <c r="D14987" s="5">
        <v>1</v>
      </c>
      <c r="E14987" s="5">
        <v>116305</v>
      </c>
    </row>
    <row r="14988" spans="1:5" x14ac:dyDescent="0.35">
      <c r="A14988" s="3">
        <v>46244</v>
      </c>
      <c r="B14988" s="5" t="s">
        <v>352</v>
      </c>
      <c r="C14988" s="5" t="s">
        <v>65</v>
      </c>
      <c r="D14988" s="5">
        <v>1</v>
      </c>
      <c r="E14988" s="5">
        <v>116305</v>
      </c>
    </row>
    <row r="14989" spans="1:5" x14ac:dyDescent="0.35">
      <c r="A14989" s="3">
        <v>46244</v>
      </c>
      <c r="B14989" s="5" t="s">
        <v>352</v>
      </c>
      <c r="C14989" s="5" t="s">
        <v>65</v>
      </c>
      <c r="D14989" s="5">
        <v>1</v>
      </c>
      <c r="E14989" s="5">
        <v>116305</v>
      </c>
    </row>
    <row r="14990" spans="1:5" x14ac:dyDescent="0.35">
      <c r="A14990" s="3">
        <v>46244</v>
      </c>
      <c r="B14990" s="5" t="s">
        <v>352</v>
      </c>
      <c r="C14990" s="5" t="s">
        <v>66</v>
      </c>
      <c r="D14990" s="5">
        <v>1</v>
      </c>
      <c r="E14990" s="5">
        <v>116305</v>
      </c>
    </row>
    <row r="14991" spans="1:5" x14ac:dyDescent="0.35">
      <c r="A14991" s="3">
        <v>46244</v>
      </c>
      <c r="B14991" s="5" t="s">
        <v>352</v>
      </c>
      <c r="C14991" s="5" t="s">
        <v>65</v>
      </c>
      <c r="D14991" s="5">
        <v>1</v>
      </c>
      <c r="E14991" s="5">
        <v>116305</v>
      </c>
    </row>
    <row r="14992" spans="1:5" x14ac:dyDescent="0.35">
      <c r="A14992" s="3">
        <v>46244</v>
      </c>
      <c r="B14992" s="5" t="s">
        <v>352</v>
      </c>
      <c r="C14992" s="5" t="s">
        <v>65</v>
      </c>
      <c r="D14992" s="5">
        <v>1</v>
      </c>
      <c r="E14992" s="5">
        <v>116305</v>
      </c>
    </row>
    <row r="14993" spans="1:5" x14ac:dyDescent="0.35">
      <c r="A14993" s="3">
        <v>46244</v>
      </c>
      <c r="B14993" s="5" t="s">
        <v>352</v>
      </c>
      <c r="C14993" s="5" t="s">
        <v>65</v>
      </c>
      <c r="D14993" s="5">
        <v>1</v>
      </c>
      <c r="E14993" s="5">
        <v>116305</v>
      </c>
    </row>
    <row r="14994" spans="1:5" x14ac:dyDescent="0.35">
      <c r="A14994" s="3">
        <v>46244</v>
      </c>
      <c r="B14994" s="5" t="s">
        <v>352</v>
      </c>
      <c r="C14994" s="5" t="s">
        <v>67</v>
      </c>
      <c r="D14994" s="5">
        <v>1</v>
      </c>
      <c r="E14994" s="5">
        <v>116305</v>
      </c>
    </row>
    <row r="14995" spans="1:5" x14ac:dyDescent="0.35">
      <c r="A14995" s="3">
        <v>46244</v>
      </c>
      <c r="B14995" s="5" t="s">
        <v>352</v>
      </c>
      <c r="C14995" s="5" t="s">
        <v>65</v>
      </c>
      <c r="D14995" s="5">
        <v>1</v>
      </c>
      <c r="E14995" s="5">
        <v>116305</v>
      </c>
    </row>
    <row r="14996" spans="1:5" x14ac:dyDescent="0.35">
      <c r="A14996" s="3">
        <v>46244</v>
      </c>
      <c r="B14996" s="5" t="s">
        <v>133</v>
      </c>
      <c r="C14996" s="5" t="s">
        <v>18</v>
      </c>
      <c r="D14996" s="5">
        <v>1</v>
      </c>
      <c r="E14996" s="5">
        <v>127942</v>
      </c>
    </row>
    <row r="14997" spans="1:5" x14ac:dyDescent="0.35">
      <c r="A14997" s="3">
        <v>46244</v>
      </c>
      <c r="B14997" s="5" t="s">
        <v>133</v>
      </c>
      <c r="C14997" s="5" t="s">
        <v>18</v>
      </c>
      <c r="D14997" s="5">
        <v>1</v>
      </c>
      <c r="E14997" s="5">
        <v>127942</v>
      </c>
    </row>
    <row r="14998" spans="1:5" x14ac:dyDescent="0.35">
      <c r="A14998" s="3">
        <v>46244</v>
      </c>
      <c r="B14998" s="5" t="s">
        <v>133</v>
      </c>
      <c r="C14998" s="5" t="s">
        <v>18</v>
      </c>
      <c r="D14998" s="5">
        <v>1</v>
      </c>
      <c r="E14998" s="5">
        <v>127942</v>
      </c>
    </row>
    <row r="14999" spans="1:5" x14ac:dyDescent="0.35">
      <c r="A14999" s="3">
        <v>46244</v>
      </c>
      <c r="B14999" s="5" t="s">
        <v>133</v>
      </c>
      <c r="C14999" s="5" t="s">
        <v>18</v>
      </c>
      <c r="D14999" s="5">
        <v>1</v>
      </c>
      <c r="E14999" s="5">
        <v>127942</v>
      </c>
    </row>
    <row r="15000" spans="1:5" x14ac:dyDescent="0.35">
      <c r="A15000" s="3">
        <v>46244</v>
      </c>
      <c r="B15000" s="5" t="s">
        <v>133</v>
      </c>
      <c r="C15000" s="5" t="s">
        <v>18</v>
      </c>
      <c r="D15000" s="5">
        <v>1</v>
      </c>
      <c r="E15000" s="5">
        <v>127942</v>
      </c>
    </row>
    <row r="15001" spans="1:5" x14ac:dyDescent="0.35">
      <c r="A15001" s="3">
        <v>46244</v>
      </c>
      <c r="B15001" s="5" t="s">
        <v>133</v>
      </c>
      <c r="C15001" s="5" t="s">
        <v>18</v>
      </c>
      <c r="D15001" s="5">
        <v>1</v>
      </c>
      <c r="E15001" s="5">
        <v>127942</v>
      </c>
    </row>
    <row r="15002" spans="1:5" x14ac:dyDescent="0.35">
      <c r="A15002" s="3">
        <v>46244</v>
      </c>
      <c r="B15002" s="5" t="s">
        <v>133</v>
      </c>
      <c r="C15002" s="5" t="s">
        <v>18</v>
      </c>
      <c r="D15002" s="5">
        <v>1</v>
      </c>
      <c r="E15002" s="5">
        <v>127942</v>
      </c>
    </row>
    <row r="15003" spans="1:5" x14ac:dyDescent="0.35">
      <c r="A15003" s="3">
        <v>46244</v>
      </c>
      <c r="B15003" s="5" t="s">
        <v>133</v>
      </c>
      <c r="C15003" s="5" t="s">
        <v>18</v>
      </c>
      <c r="D15003" s="5">
        <v>1</v>
      </c>
      <c r="E15003" s="5">
        <v>127942</v>
      </c>
    </row>
    <row r="15004" spans="1:5" x14ac:dyDescent="0.35">
      <c r="A15004" s="3">
        <v>46244</v>
      </c>
      <c r="B15004" s="5" t="s">
        <v>133</v>
      </c>
      <c r="C15004" s="5" t="s">
        <v>18</v>
      </c>
      <c r="D15004" s="5">
        <v>1</v>
      </c>
      <c r="E15004" s="5">
        <v>127942</v>
      </c>
    </row>
    <row r="15005" spans="1:5" x14ac:dyDescent="0.35">
      <c r="A15005" s="3">
        <v>46244</v>
      </c>
      <c r="B15005" s="5" t="s">
        <v>376</v>
      </c>
      <c r="C15005" s="5" t="s">
        <v>18</v>
      </c>
      <c r="D15005" s="5">
        <v>1</v>
      </c>
      <c r="E15005" s="5">
        <v>129941</v>
      </c>
    </row>
    <row r="15006" spans="1:5" x14ac:dyDescent="0.35">
      <c r="A15006" s="3">
        <v>46244</v>
      </c>
      <c r="B15006" s="5" t="s">
        <v>373</v>
      </c>
      <c r="C15006" s="5" t="s">
        <v>83</v>
      </c>
      <c r="D15006" s="5">
        <v>1</v>
      </c>
      <c r="E15006" s="5">
        <v>70850</v>
      </c>
    </row>
    <row r="15007" spans="1:5" x14ac:dyDescent="0.35">
      <c r="A15007" s="3">
        <v>46244</v>
      </c>
      <c r="B15007" s="5" t="s">
        <v>376</v>
      </c>
      <c r="C15007" s="5" t="s">
        <v>18</v>
      </c>
      <c r="D15007" s="5">
        <v>1</v>
      </c>
      <c r="E15007" s="5">
        <v>129941</v>
      </c>
    </row>
    <row r="15008" spans="1:5" x14ac:dyDescent="0.35">
      <c r="A15008" s="3">
        <v>46244</v>
      </c>
      <c r="B15008" s="5" t="s">
        <v>376</v>
      </c>
      <c r="C15008" s="5" t="s">
        <v>26</v>
      </c>
      <c r="D15008" s="5">
        <v>1</v>
      </c>
      <c r="E15008" s="5">
        <v>501682</v>
      </c>
    </row>
    <row r="15009" spans="1:5" x14ac:dyDescent="0.35">
      <c r="A15009" s="3">
        <v>46244</v>
      </c>
      <c r="B15009" s="5" t="s">
        <v>352</v>
      </c>
      <c r="C15009" s="5" t="s">
        <v>66</v>
      </c>
      <c r="D15009" s="5">
        <v>1</v>
      </c>
      <c r="E15009" s="5">
        <v>116305</v>
      </c>
    </row>
    <row r="15010" spans="1:5" x14ac:dyDescent="0.35">
      <c r="A15010" s="3">
        <v>46244</v>
      </c>
      <c r="B15010" s="5" t="s">
        <v>352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46244</v>
      </c>
      <c r="B15011" s="5" t="s">
        <v>352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46244</v>
      </c>
      <c r="B15012" s="5" t="s">
        <v>352</v>
      </c>
      <c r="C15012" s="5" t="s">
        <v>66</v>
      </c>
      <c r="D15012" s="5">
        <v>1</v>
      </c>
      <c r="E15012" s="5">
        <v>116305</v>
      </c>
    </row>
    <row r="15013" spans="1:5" x14ac:dyDescent="0.35">
      <c r="A15013" s="3">
        <v>46244</v>
      </c>
      <c r="B15013" s="5" t="s">
        <v>352</v>
      </c>
      <c r="C15013" s="5" t="s">
        <v>66</v>
      </c>
      <c r="D15013" s="5">
        <v>1</v>
      </c>
      <c r="E15013" s="5">
        <v>116305</v>
      </c>
    </row>
    <row r="15014" spans="1:5" x14ac:dyDescent="0.35">
      <c r="A15014" s="3">
        <v>46244</v>
      </c>
      <c r="B15014" s="5" t="s">
        <v>352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46244</v>
      </c>
      <c r="B15015" s="5" t="s">
        <v>352</v>
      </c>
      <c r="C15015" s="5" t="s">
        <v>67</v>
      </c>
      <c r="D15015" s="5">
        <v>1</v>
      </c>
      <c r="E15015" s="5">
        <v>116305</v>
      </c>
    </row>
    <row r="15016" spans="1:5" x14ac:dyDescent="0.35">
      <c r="A15016" s="3">
        <v>46244</v>
      </c>
      <c r="B15016" s="5" t="s">
        <v>352</v>
      </c>
      <c r="C15016" s="5" t="s">
        <v>66</v>
      </c>
      <c r="D15016" s="5">
        <v>1</v>
      </c>
      <c r="E15016" s="5">
        <v>116305</v>
      </c>
    </row>
    <row r="15017" spans="1:5" x14ac:dyDescent="0.35">
      <c r="A15017" s="3">
        <v>46244</v>
      </c>
      <c r="B15017" s="5" t="s">
        <v>352</v>
      </c>
      <c r="C15017" s="5" t="s">
        <v>66</v>
      </c>
      <c r="D15017" s="5">
        <v>1</v>
      </c>
      <c r="E15017" s="5">
        <v>116305</v>
      </c>
    </row>
    <row r="15018" spans="1:5" x14ac:dyDescent="0.35">
      <c r="A15018" s="3">
        <v>46244</v>
      </c>
      <c r="B15018" s="5" t="s">
        <v>352</v>
      </c>
      <c r="C15018" s="5" t="s">
        <v>66</v>
      </c>
      <c r="D15018" s="5">
        <v>1</v>
      </c>
      <c r="E15018" s="5">
        <v>116305</v>
      </c>
    </row>
    <row r="15019" spans="1:5" x14ac:dyDescent="0.35">
      <c r="A15019" s="3">
        <v>46244</v>
      </c>
      <c r="B15019" s="5" t="s">
        <v>352</v>
      </c>
      <c r="C15019" s="5" t="s">
        <v>65</v>
      </c>
      <c r="D15019" s="5">
        <v>1</v>
      </c>
      <c r="E15019" s="5">
        <v>116305</v>
      </c>
    </row>
    <row r="15020" spans="1:5" x14ac:dyDescent="0.35">
      <c r="A15020" s="3">
        <v>46244</v>
      </c>
      <c r="B15020" s="5" t="s">
        <v>352</v>
      </c>
      <c r="C15020" s="5" t="s">
        <v>67</v>
      </c>
      <c r="D15020" s="5">
        <v>1</v>
      </c>
      <c r="E15020" s="5">
        <v>116305</v>
      </c>
    </row>
    <row r="15021" spans="1:5" x14ac:dyDescent="0.35">
      <c r="A15021" s="3">
        <v>46244</v>
      </c>
      <c r="B15021" s="5" t="s">
        <v>352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46244</v>
      </c>
      <c r="B15022" s="5" t="s">
        <v>352</v>
      </c>
      <c r="C15022" s="5" t="s">
        <v>67</v>
      </c>
      <c r="D15022" s="5">
        <v>1</v>
      </c>
      <c r="E15022" s="5">
        <v>116305</v>
      </c>
    </row>
    <row r="15023" spans="1:5" x14ac:dyDescent="0.35">
      <c r="A15023" s="3">
        <v>46244</v>
      </c>
      <c r="B15023" s="5" t="s">
        <v>352</v>
      </c>
      <c r="C15023" s="5" t="s">
        <v>67</v>
      </c>
      <c r="D15023" s="5">
        <v>1</v>
      </c>
      <c r="E15023" s="5">
        <v>116305</v>
      </c>
    </row>
    <row r="15024" spans="1:5" x14ac:dyDescent="0.35">
      <c r="A15024" s="3">
        <v>46244</v>
      </c>
      <c r="B15024" s="5" t="s">
        <v>133</v>
      </c>
      <c r="C15024" s="5" t="s">
        <v>18</v>
      </c>
      <c r="D15024" s="5">
        <v>1</v>
      </c>
      <c r="E15024" s="5">
        <v>127942</v>
      </c>
    </row>
    <row r="15025" spans="1:5" x14ac:dyDescent="0.35">
      <c r="A15025" s="3">
        <v>46244</v>
      </c>
      <c r="B15025" s="5" t="s">
        <v>133</v>
      </c>
      <c r="C15025" s="5" t="s">
        <v>18</v>
      </c>
      <c r="D15025" s="5">
        <v>1</v>
      </c>
      <c r="E15025" s="5">
        <v>127942</v>
      </c>
    </row>
    <row r="15026" spans="1:5" x14ac:dyDescent="0.35">
      <c r="A15026" s="3">
        <v>46244</v>
      </c>
      <c r="B15026" s="5" t="s">
        <v>133</v>
      </c>
      <c r="C15026" s="5" t="s">
        <v>18</v>
      </c>
      <c r="D15026" s="5">
        <v>1</v>
      </c>
      <c r="E15026" s="5">
        <v>127942</v>
      </c>
    </row>
    <row r="15027" spans="1:5" x14ac:dyDescent="0.35">
      <c r="A15027" s="3">
        <v>46244</v>
      </c>
      <c r="B15027" s="5" t="s">
        <v>373</v>
      </c>
      <c r="C15027" s="5" t="s">
        <v>82</v>
      </c>
      <c r="D15027" s="5">
        <v>1</v>
      </c>
      <c r="E15027" s="5">
        <v>70850</v>
      </c>
    </row>
    <row r="15028" spans="1:5" x14ac:dyDescent="0.35">
      <c r="A15028" s="3">
        <v>46244</v>
      </c>
      <c r="B15028" s="5" t="s">
        <v>352</v>
      </c>
      <c r="C15028" s="5" t="s">
        <v>66</v>
      </c>
      <c r="D15028" s="5">
        <v>1</v>
      </c>
      <c r="E15028" s="5">
        <v>116305</v>
      </c>
    </row>
    <row r="15029" spans="1:5" x14ac:dyDescent="0.35">
      <c r="A15029" s="3">
        <v>46244</v>
      </c>
      <c r="B15029" s="5" t="s">
        <v>352</v>
      </c>
      <c r="C15029" s="5" t="s">
        <v>66</v>
      </c>
      <c r="D15029" s="5">
        <v>1</v>
      </c>
      <c r="E15029" s="5">
        <v>116305</v>
      </c>
    </row>
    <row r="15030" spans="1:5" x14ac:dyDescent="0.35">
      <c r="A15030" s="3">
        <v>46244</v>
      </c>
      <c r="B15030" s="5" t="s">
        <v>352</v>
      </c>
      <c r="C15030" s="5" t="s">
        <v>66</v>
      </c>
      <c r="D15030" s="5">
        <v>1</v>
      </c>
      <c r="E15030" s="5">
        <v>116305</v>
      </c>
    </row>
    <row r="15031" spans="1:5" x14ac:dyDescent="0.35">
      <c r="A15031" s="3">
        <v>46244</v>
      </c>
      <c r="B15031" s="5" t="s">
        <v>352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46244</v>
      </c>
      <c r="B15032" s="5" t="s">
        <v>352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46244</v>
      </c>
      <c r="B15033" s="5" t="s">
        <v>352</v>
      </c>
      <c r="C15033" s="5" t="s">
        <v>65</v>
      </c>
      <c r="D15033" s="5">
        <v>1</v>
      </c>
      <c r="E15033" s="5">
        <v>116305</v>
      </c>
    </row>
    <row r="15034" spans="1:5" x14ac:dyDescent="0.35">
      <c r="A15034" s="3">
        <v>46244</v>
      </c>
      <c r="B15034" s="5" t="s">
        <v>352</v>
      </c>
      <c r="C15034" s="5" t="s">
        <v>66</v>
      </c>
      <c r="D15034" s="5">
        <v>1</v>
      </c>
      <c r="E15034" s="5">
        <v>116305</v>
      </c>
    </row>
    <row r="15035" spans="1:5" x14ac:dyDescent="0.35">
      <c r="A15035" s="3">
        <v>46244</v>
      </c>
      <c r="B15035" s="5" t="s">
        <v>352</v>
      </c>
      <c r="C15035" s="5" t="s">
        <v>66</v>
      </c>
      <c r="D15035" s="5">
        <v>1</v>
      </c>
      <c r="E15035" s="5">
        <v>116305</v>
      </c>
    </row>
    <row r="15036" spans="1:5" x14ac:dyDescent="0.35">
      <c r="A15036" s="3">
        <v>46244</v>
      </c>
      <c r="B15036" s="5" t="s">
        <v>352</v>
      </c>
      <c r="C15036" s="5" t="s">
        <v>67</v>
      </c>
      <c r="D15036" s="5">
        <v>1</v>
      </c>
      <c r="E15036" s="5">
        <v>116305</v>
      </c>
    </row>
    <row r="15037" spans="1:5" x14ac:dyDescent="0.35">
      <c r="A15037" s="3">
        <v>46244</v>
      </c>
      <c r="B15037" s="5" t="s">
        <v>352</v>
      </c>
      <c r="C15037" s="5" t="s">
        <v>65</v>
      </c>
      <c r="D15037" s="5">
        <v>1</v>
      </c>
      <c r="E15037" s="5">
        <v>116305</v>
      </c>
    </row>
    <row r="15038" spans="1:5" x14ac:dyDescent="0.35">
      <c r="A15038" s="3">
        <v>46244</v>
      </c>
      <c r="B15038" s="5" t="s">
        <v>352</v>
      </c>
      <c r="C15038" s="5" t="s">
        <v>65</v>
      </c>
      <c r="D15038" s="5">
        <v>1</v>
      </c>
      <c r="E15038" s="5">
        <v>116305</v>
      </c>
    </row>
    <row r="15039" spans="1:5" x14ac:dyDescent="0.35">
      <c r="A15039" s="3">
        <v>46244</v>
      </c>
      <c r="B15039" s="5" t="s">
        <v>133</v>
      </c>
      <c r="C15039" s="5" t="s">
        <v>18</v>
      </c>
      <c r="D15039" s="5">
        <v>1</v>
      </c>
      <c r="E15039" s="5">
        <v>127942</v>
      </c>
    </row>
    <row r="15040" spans="1:5" x14ac:dyDescent="0.35">
      <c r="A15040" s="3">
        <v>46244</v>
      </c>
      <c r="B15040" s="5" t="s">
        <v>373</v>
      </c>
      <c r="C15040" s="5" t="s">
        <v>93</v>
      </c>
      <c r="D15040" s="5">
        <v>1</v>
      </c>
      <c r="E15040" s="5">
        <v>50168</v>
      </c>
    </row>
    <row r="15041" spans="1:5" x14ac:dyDescent="0.35">
      <c r="A15041" s="3">
        <v>46244</v>
      </c>
      <c r="B15041" s="5" t="s">
        <v>352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46244</v>
      </c>
      <c r="B15042" s="5" t="s">
        <v>352</v>
      </c>
      <c r="C15042" s="5" t="s">
        <v>66</v>
      </c>
      <c r="D15042" s="5">
        <v>1</v>
      </c>
      <c r="E15042" s="5">
        <v>116305</v>
      </c>
    </row>
    <row r="15043" spans="1:5" x14ac:dyDescent="0.35">
      <c r="A15043" s="3">
        <v>46244</v>
      </c>
      <c r="B15043" s="5" t="s">
        <v>352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46244</v>
      </c>
      <c r="B15044" s="5" t="s">
        <v>352</v>
      </c>
      <c r="C15044" s="5" t="s">
        <v>65</v>
      </c>
      <c r="D15044" s="5">
        <v>1</v>
      </c>
      <c r="E15044" s="5">
        <v>116305</v>
      </c>
    </row>
    <row r="15045" spans="1:5" x14ac:dyDescent="0.35">
      <c r="A15045" s="3">
        <v>46244</v>
      </c>
      <c r="B15045" s="5" t="s">
        <v>352</v>
      </c>
      <c r="C15045" s="5" t="s">
        <v>65</v>
      </c>
      <c r="D15045" s="5">
        <v>1</v>
      </c>
      <c r="E15045" s="5">
        <v>116305</v>
      </c>
    </row>
    <row r="15046" spans="1:5" x14ac:dyDescent="0.35">
      <c r="A15046" s="3">
        <v>46244</v>
      </c>
      <c r="B15046" s="5" t="s">
        <v>133</v>
      </c>
      <c r="C15046" s="5" t="s">
        <v>18</v>
      </c>
      <c r="D15046" s="5">
        <v>1</v>
      </c>
      <c r="E15046" s="5">
        <v>127942</v>
      </c>
    </row>
    <row r="15047" spans="1:5" x14ac:dyDescent="0.35">
      <c r="A15047" s="3">
        <v>46245</v>
      </c>
      <c r="B15047" s="5" t="s">
        <v>237</v>
      </c>
      <c r="C15047" s="5" t="s">
        <v>38</v>
      </c>
      <c r="D15047" s="5">
        <v>1</v>
      </c>
      <c r="E15047" s="5">
        <v>203578</v>
      </c>
    </row>
    <row r="15048" spans="1:5" x14ac:dyDescent="0.35">
      <c r="A15048" s="3">
        <v>46245</v>
      </c>
      <c r="B15048" s="5" t="s">
        <v>362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362</v>
      </c>
      <c r="C15049" s="5" t="s">
        <v>65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121</v>
      </c>
      <c r="C15050" s="5" t="s">
        <v>42</v>
      </c>
      <c r="D15050" s="5">
        <v>1</v>
      </c>
      <c r="E15050" s="5">
        <v>203578</v>
      </c>
    </row>
    <row r="15051" spans="1:5" x14ac:dyDescent="0.35">
      <c r="A15051" s="3">
        <v>46245</v>
      </c>
      <c r="B15051" s="5" t="s">
        <v>237</v>
      </c>
      <c r="C15051" s="5" t="s">
        <v>38</v>
      </c>
      <c r="D15051" s="5">
        <v>1</v>
      </c>
      <c r="E15051" s="5">
        <v>203578</v>
      </c>
    </row>
    <row r="15052" spans="1:5" x14ac:dyDescent="0.35">
      <c r="A15052" s="3">
        <v>46245</v>
      </c>
      <c r="B15052" s="5" t="s">
        <v>362</v>
      </c>
      <c r="C15052" s="5" t="s">
        <v>66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362</v>
      </c>
      <c r="C15053" s="5" t="s">
        <v>66</v>
      </c>
      <c r="D15053" s="5">
        <v>1</v>
      </c>
      <c r="E15053" s="5">
        <v>116305</v>
      </c>
    </row>
    <row r="15054" spans="1:5" x14ac:dyDescent="0.35">
      <c r="A15054" s="3">
        <v>46245</v>
      </c>
      <c r="B15054" s="5" t="s">
        <v>362</v>
      </c>
      <c r="C15054" s="5" t="s">
        <v>65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362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237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362</v>
      </c>
      <c r="C15057" s="5" t="s">
        <v>66</v>
      </c>
      <c r="D15057" s="5">
        <v>1</v>
      </c>
      <c r="E15057" s="5">
        <v>116305</v>
      </c>
    </row>
    <row r="15058" spans="1:5" x14ac:dyDescent="0.35">
      <c r="A15058" s="3">
        <v>46245</v>
      </c>
      <c r="B15058" s="5" t="s">
        <v>237</v>
      </c>
      <c r="C15058" s="5" t="s">
        <v>38</v>
      </c>
      <c r="D15058" s="5">
        <v>1</v>
      </c>
      <c r="E15058" s="5">
        <v>203578</v>
      </c>
    </row>
    <row r="15059" spans="1:5" x14ac:dyDescent="0.35">
      <c r="A15059" s="3">
        <v>46245</v>
      </c>
      <c r="B15059" s="5" t="s">
        <v>362</v>
      </c>
      <c r="C15059" s="5" t="s">
        <v>65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362</v>
      </c>
      <c r="C15060" s="5" t="s">
        <v>65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362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362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362</v>
      </c>
      <c r="C15063" s="5" t="s">
        <v>66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244</v>
      </c>
      <c r="C15064" s="5" t="s">
        <v>39</v>
      </c>
      <c r="D15064" s="5">
        <v>1</v>
      </c>
      <c r="E15064" s="5">
        <v>118123</v>
      </c>
    </row>
    <row r="15065" spans="1:5" x14ac:dyDescent="0.35">
      <c r="A15065" s="3">
        <v>46245</v>
      </c>
      <c r="B15065" s="5" t="s">
        <v>362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237</v>
      </c>
      <c r="C15066" s="5" t="s">
        <v>38</v>
      </c>
      <c r="D15066" s="5">
        <v>1</v>
      </c>
      <c r="E15066" s="5">
        <v>203578</v>
      </c>
    </row>
    <row r="15067" spans="1:5" x14ac:dyDescent="0.35">
      <c r="A15067" s="3">
        <v>46245</v>
      </c>
      <c r="B15067" s="5" t="s">
        <v>362</v>
      </c>
      <c r="C15067" s="5" t="s">
        <v>66</v>
      </c>
      <c r="D15067" s="5">
        <v>1</v>
      </c>
      <c r="E15067" s="5">
        <v>116305</v>
      </c>
    </row>
    <row r="15068" spans="1:5" x14ac:dyDescent="0.35">
      <c r="A15068" s="3">
        <v>46245</v>
      </c>
      <c r="B15068" s="5" t="s">
        <v>362</v>
      </c>
      <c r="C15068" s="5" t="s">
        <v>66</v>
      </c>
      <c r="D15068" s="5">
        <v>1</v>
      </c>
      <c r="E15068" s="5">
        <v>116305</v>
      </c>
    </row>
    <row r="15069" spans="1:5" x14ac:dyDescent="0.35">
      <c r="A15069" s="3">
        <v>46245</v>
      </c>
      <c r="B15069" s="5" t="s">
        <v>376</v>
      </c>
      <c r="C15069" s="5" t="s">
        <v>18</v>
      </c>
      <c r="D15069" s="5">
        <v>1</v>
      </c>
      <c r="E15069" s="5">
        <v>129941</v>
      </c>
    </row>
    <row r="15070" spans="1:5" x14ac:dyDescent="0.35">
      <c r="A15070" s="3">
        <v>46245</v>
      </c>
      <c r="B15070" s="5" t="s">
        <v>352</v>
      </c>
      <c r="C15070" s="5" t="s">
        <v>67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237</v>
      </c>
      <c r="C15071" s="5" t="s">
        <v>38</v>
      </c>
      <c r="D15071" s="5">
        <v>1</v>
      </c>
      <c r="E15071" s="5">
        <v>203578</v>
      </c>
    </row>
    <row r="15072" spans="1:5" x14ac:dyDescent="0.35">
      <c r="A15072" s="3">
        <v>46245</v>
      </c>
      <c r="B15072" s="5" t="s">
        <v>362</v>
      </c>
      <c r="C15072" s="5" t="s">
        <v>66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362</v>
      </c>
      <c r="C15073" s="5" t="s">
        <v>66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362</v>
      </c>
      <c r="C15074" s="5" t="s">
        <v>65</v>
      </c>
      <c r="D15074" s="5">
        <v>1</v>
      </c>
      <c r="E15074" s="5">
        <v>116305</v>
      </c>
    </row>
    <row r="15075" spans="1:5" x14ac:dyDescent="0.35">
      <c r="A15075" s="3">
        <v>46245</v>
      </c>
      <c r="B15075" s="5" t="s">
        <v>362</v>
      </c>
      <c r="C15075" s="5" t="s">
        <v>66</v>
      </c>
      <c r="D15075" s="5">
        <v>1</v>
      </c>
      <c r="E15075" s="5">
        <v>116305</v>
      </c>
    </row>
    <row r="15076" spans="1:5" x14ac:dyDescent="0.35">
      <c r="A15076" s="3">
        <v>46245</v>
      </c>
      <c r="B15076" s="5" t="s">
        <v>362</v>
      </c>
      <c r="C15076" s="5" t="s">
        <v>66</v>
      </c>
      <c r="D15076" s="5">
        <v>1</v>
      </c>
      <c r="E15076" s="5">
        <v>116305</v>
      </c>
    </row>
    <row r="15077" spans="1:5" x14ac:dyDescent="0.35">
      <c r="A15077" s="3">
        <v>46245</v>
      </c>
      <c r="B15077" s="5" t="s">
        <v>362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362</v>
      </c>
      <c r="C15078" s="5" t="s">
        <v>65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362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362</v>
      </c>
      <c r="C15080" s="5" t="s">
        <v>67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237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362</v>
      </c>
      <c r="C15082" s="5" t="s">
        <v>66</v>
      </c>
      <c r="D15082" s="5">
        <v>1</v>
      </c>
      <c r="E15082" s="5">
        <v>116305</v>
      </c>
    </row>
    <row r="15083" spans="1:5" x14ac:dyDescent="0.35">
      <c r="A15083" s="3">
        <v>46245</v>
      </c>
      <c r="B15083" s="5" t="s">
        <v>362</v>
      </c>
      <c r="C15083" s="5" t="s">
        <v>66</v>
      </c>
      <c r="D15083" s="5">
        <v>1</v>
      </c>
      <c r="E15083" s="5">
        <v>116305</v>
      </c>
    </row>
    <row r="15084" spans="1:5" x14ac:dyDescent="0.35">
      <c r="A15084" s="3">
        <v>46245</v>
      </c>
      <c r="B15084" s="5" t="s">
        <v>237</v>
      </c>
      <c r="C15084" s="5" t="s">
        <v>38</v>
      </c>
      <c r="D15084" s="5">
        <v>1</v>
      </c>
      <c r="E15084" s="5">
        <v>203578</v>
      </c>
    </row>
    <row r="15085" spans="1:5" x14ac:dyDescent="0.35">
      <c r="A15085" s="3">
        <v>46245</v>
      </c>
      <c r="B15085" s="5" t="s">
        <v>362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362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237</v>
      </c>
      <c r="C15087" s="5" t="s">
        <v>38</v>
      </c>
      <c r="D15087" s="5">
        <v>1</v>
      </c>
      <c r="E15087" s="5">
        <v>203578</v>
      </c>
    </row>
    <row r="15088" spans="1:5" x14ac:dyDescent="0.35">
      <c r="A15088" s="3">
        <v>46245</v>
      </c>
      <c r="B15088" s="5" t="s">
        <v>362</v>
      </c>
      <c r="C15088" s="5" t="s">
        <v>66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362</v>
      </c>
      <c r="C15089" s="5" t="s">
        <v>67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362</v>
      </c>
      <c r="C15090" s="5" t="s">
        <v>66</v>
      </c>
      <c r="D15090" s="5">
        <v>1</v>
      </c>
      <c r="E15090" s="5">
        <v>116305</v>
      </c>
    </row>
    <row r="15091" spans="1:5" x14ac:dyDescent="0.35">
      <c r="A15091" s="3">
        <v>46245</v>
      </c>
      <c r="B15091" s="5" t="s">
        <v>362</v>
      </c>
      <c r="C15091" s="5" t="s">
        <v>67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237</v>
      </c>
      <c r="C15092" s="5" t="s">
        <v>38</v>
      </c>
      <c r="D15092" s="5">
        <v>1</v>
      </c>
      <c r="E15092" s="5">
        <v>203578</v>
      </c>
    </row>
    <row r="15093" spans="1:5" x14ac:dyDescent="0.35">
      <c r="A15093" s="3">
        <v>46245</v>
      </c>
      <c r="B15093" s="5" t="s">
        <v>362</v>
      </c>
      <c r="C15093" s="5" t="s">
        <v>66</v>
      </c>
      <c r="D15093" s="5">
        <v>1</v>
      </c>
      <c r="E15093" s="5">
        <v>116305</v>
      </c>
    </row>
    <row r="15094" spans="1:5" x14ac:dyDescent="0.35">
      <c r="A15094" s="3">
        <v>46245</v>
      </c>
      <c r="B15094" s="5" t="s">
        <v>362</v>
      </c>
      <c r="C15094" s="5" t="s">
        <v>65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362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362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362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362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121</v>
      </c>
      <c r="C15099" s="5" t="s">
        <v>33</v>
      </c>
      <c r="D15099" s="5">
        <v>1</v>
      </c>
      <c r="E15099" s="5">
        <v>203578</v>
      </c>
    </row>
    <row r="15100" spans="1:5" x14ac:dyDescent="0.35">
      <c r="A15100" s="3">
        <v>46245</v>
      </c>
      <c r="B15100" s="5" t="s">
        <v>362</v>
      </c>
      <c r="C15100" s="5" t="s">
        <v>65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362</v>
      </c>
      <c r="C15101" s="5" t="s">
        <v>67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362</v>
      </c>
      <c r="C15102" s="5" t="s">
        <v>65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237</v>
      </c>
      <c r="C15103" s="5" t="s">
        <v>38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362</v>
      </c>
      <c r="C15104" s="5" t="s">
        <v>65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362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362</v>
      </c>
      <c r="C15106" s="5" t="s">
        <v>65</v>
      </c>
      <c r="D15106" s="5">
        <v>1</v>
      </c>
      <c r="E15106" s="5">
        <v>116305</v>
      </c>
    </row>
    <row r="15107" spans="1:5" x14ac:dyDescent="0.35">
      <c r="A15107" s="3">
        <v>46245</v>
      </c>
      <c r="B15107" s="5" t="s">
        <v>362</v>
      </c>
      <c r="C15107" s="5" t="s">
        <v>66</v>
      </c>
      <c r="D15107" s="5">
        <v>1</v>
      </c>
      <c r="E15107" s="5">
        <v>116305</v>
      </c>
    </row>
    <row r="15108" spans="1:5" x14ac:dyDescent="0.35">
      <c r="A15108" s="3">
        <v>46245</v>
      </c>
      <c r="B15108" s="5" t="s">
        <v>362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362</v>
      </c>
      <c r="C15109" s="5" t="s">
        <v>66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237</v>
      </c>
      <c r="C15110" s="5" t="s">
        <v>38</v>
      </c>
      <c r="D15110" s="5">
        <v>1</v>
      </c>
      <c r="E15110" s="5">
        <v>203578</v>
      </c>
    </row>
    <row r="15111" spans="1:5" x14ac:dyDescent="0.35">
      <c r="A15111" s="3">
        <v>46245</v>
      </c>
      <c r="B15111" s="5" t="s">
        <v>362</v>
      </c>
      <c r="C15111" s="5" t="s">
        <v>66</v>
      </c>
      <c r="D15111" s="5">
        <v>1</v>
      </c>
      <c r="E15111" s="5">
        <v>116305</v>
      </c>
    </row>
    <row r="15112" spans="1:5" x14ac:dyDescent="0.35">
      <c r="A15112" s="3">
        <v>46245</v>
      </c>
      <c r="B15112" s="5" t="s">
        <v>362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362</v>
      </c>
      <c r="C15113" s="5" t="s">
        <v>65</v>
      </c>
      <c r="D15113" s="5">
        <v>1</v>
      </c>
      <c r="E15113" s="5">
        <v>116305</v>
      </c>
    </row>
    <row r="15114" spans="1:5" x14ac:dyDescent="0.35">
      <c r="A15114" s="3">
        <v>46245</v>
      </c>
      <c r="B15114" s="5" t="s">
        <v>362</v>
      </c>
      <c r="C15114" s="5" t="s">
        <v>66</v>
      </c>
      <c r="D15114" s="5">
        <v>1</v>
      </c>
      <c r="E15114" s="5">
        <v>116305</v>
      </c>
    </row>
    <row r="15115" spans="1:5" x14ac:dyDescent="0.35">
      <c r="A15115" s="3">
        <v>46245</v>
      </c>
      <c r="B15115" s="5" t="s">
        <v>362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362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362</v>
      </c>
      <c r="C15117" s="5" t="s">
        <v>65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362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237</v>
      </c>
      <c r="C15119" s="5" t="s">
        <v>38</v>
      </c>
      <c r="D15119" s="5">
        <v>1</v>
      </c>
      <c r="E15119" s="5">
        <v>203578</v>
      </c>
    </row>
    <row r="15120" spans="1:5" x14ac:dyDescent="0.35">
      <c r="A15120" s="3">
        <v>46245</v>
      </c>
      <c r="B15120" s="5" t="s">
        <v>237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362</v>
      </c>
      <c r="C15121" s="5" t="s">
        <v>66</v>
      </c>
      <c r="D15121" s="5">
        <v>1</v>
      </c>
      <c r="E15121" s="5">
        <v>116305</v>
      </c>
    </row>
    <row r="15122" spans="1:5" x14ac:dyDescent="0.35">
      <c r="A15122" s="3">
        <v>46245</v>
      </c>
      <c r="B15122" s="5" t="s">
        <v>362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362</v>
      </c>
      <c r="C15123" s="5" t="s">
        <v>67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373</v>
      </c>
      <c r="C15124" s="5" t="s">
        <v>27</v>
      </c>
      <c r="D15124" s="5">
        <v>1</v>
      </c>
      <c r="E15124" s="5">
        <v>177214</v>
      </c>
    </row>
    <row r="15125" spans="1:5" x14ac:dyDescent="0.35">
      <c r="A15125" s="3">
        <v>46245</v>
      </c>
      <c r="B15125" s="5" t="s">
        <v>362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362</v>
      </c>
      <c r="C15126" s="5" t="s">
        <v>65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362</v>
      </c>
      <c r="C15127" s="5" t="s">
        <v>67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362</v>
      </c>
      <c r="C15128" s="5" t="s">
        <v>66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237</v>
      </c>
      <c r="C15129" s="5" t="s">
        <v>38</v>
      </c>
      <c r="D15129" s="5">
        <v>1</v>
      </c>
      <c r="E15129" s="5">
        <v>203578</v>
      </c>
    </row>
    <row r="15130" spans="1:5" x14ac:dyDescent="0.35">
      <c r="A15130" s="3">
        <v>46245</v>
      </c>
      <c r="B15130" s="5" t="s">
        <v>362</v>
      </c>
      <c r="C15130" s="5" t="s">
        <v>66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362</v>
      </c>
      <c r="C15131" s="5" t="s">
        <v>66</v>
      </c>
      <c r="D15131" s="5">
        <v>1</v>
      </c>
      <c r="E15131" s="5">
        <v>116305</v>
      </c>
    </row>
    <row r="15132" spans="1:5" x14ac:dyDescent="0.35">
      <c r="A15132" s="3">
        <v>46245</v>
      </c>
      <c r="B15132" s="5" t="s">
        <v>362</v>
      </c>
      <c r="C15132" s="5" t="s">
        <v>66</v>
      </c>
      <c r="D15132" s="5">
        <v>1</v>
      </c>
      <c r="E15132" s="5">
        <v>116305</v>
      </c>
    </row>
    <row r="15133" spans="1:5" x14ac:dyDescent="0.35">
      <c r="A15133" s="3">
        <v>46245</v>
      </c>
      <c r="B15133" s="5" t="s">
        <v>237</v>
      </c>
      <c r="C15133" s="5" t="s">
        <v>38</v>
      </c>
      <c r="D15133" s="5">
        <v>1</v>
      </c>
      <c r="E15133" s="5">
        <v>203578</v>
      </c>
    </row>
    <row r="15134" spans="1:5" x14ac:dyDescent="0.35">
      <c r="A15134" s="3">
        <v>46245</v>
      </c>
      <c r="B15134" s="5" t="s">
        <v>362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362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362</v>
      </c>
      <c r="C15136" s="5" t="s">
        <v>65</v>
      </c>
      <c r="D15136" s="5">
        <v>1</v>
      </c>
      <c r="E15136" s="5">
        <v>116305</v>
      </c>
    </row>
    <row r="15137" spans="1:5" x14ac:dyDescent="0.35">
      <c r="A15137" s="3">
        <v>46245</v>
      </c>
      <c r="B15137" s="5" t="s">
        <v>376</v>
      </c>
      <c r="C15137" s="5" t="s">
        <v>85</v>
      </c>
      <c r="D15137" s="5">
        <v>1</v>
      </c>
      <c r="E15137" s="5">
        <v>189032</v>
      </c>
    </row>
    <row r="15138" spans="1:5" x14ac:dyDescent="0.35">
      <c r="A15138" s="3">
        <v>46245</v>
      </c>
      <c r="B15138" s="5" t="s">
        <v>237</v>
      </c>
      <c r="C15138" s="5" t="s">
        <v>38</v>
      </c>
      <c r="D15138" s="5">
        <v>1</v>
      </c>
      <c r="E15138" s="5">
        <v>203578</v>
      </c>
    </row>
    <row r="15139" spans="1:5" x14ac:dyDescent="0.35">
      <c r="A15139" s="3">
        <v>46245</v>
      </c>
      <c r="B15139" s="5" t="s">
        <v>362</v>
      </c>
      <c r="C15139" s="5" t="s">
        <v>66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362</v>
      </c>
      <c r="C15140" s="5" t="s">
        <v>66</v>
      </c>
      <c r="D15140" s="5">
        <v>1</v>
      </c>
      <c r="E15140" s="5">
        <v>116305</v>
      </c>
    </row>
    <row r="15141" spans="1:5" x14ac:dyDescent="0.35">
      <c r="A15141" s="3">
        <v>46245</v>
      </c>
      <c r="B15141" s="5" t="s">
        <v>362</v>
      </c>
      <c r="C15141" s="5" t="s">
        <v>65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244</v>
      </c>
      <c r="C15142" s="5" t="s">
        <v>39</v>
      </c>
      <c r="D15142" s="5">
        <v>1</v>
      </c>
      <c r="E15142" s="5">
        <v>118123</v>
      </c>
    </row>
    <row r="15143" spans="1:5" x14ac:dyDescent="0.35">
      <c r="A15143" s="3">
        <v>46245</v>
      </c>
      <c r="B15143" s="5" t="s">
        <v>362</v>
      </c>
      <c r="C15143" s="5" t="s">
        <v>65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362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362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362</v>
      </c>
      <c r="C15146" s="5" t="s">
        <v>65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362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362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237</v>
      </c>
      <c r="C15149" s="5" t="s">
        <v>38</v>
      </c>
      <c r="D15149" s="5">
        <v>1</v>
      </c>
      <c r="E15149" s="5">
        <v>203578</v>
      </c>
    </row>
    <row r="15150" spans="1:5" x14ac:dyDescent="0.35">
      <c r="A15150" s="3">
        <v>46245</v>
      </c>
      <c r="B15150" s="5" t="s">
        <v>237</v>
      </c>
      <c r="C15150" s="5" t="s">
        <v>38</v>
      </c>
      <c r="D15150" s="5">
        <v>1</v>
      </c>
      <c r="E15150" s="5">
        <v>203578</v>
      </c>
    </row>
    <row r="15151" spans="1:5" x14ac:dyDescent="0.35">
      <c r="A15151" s="3">
        <v>46245</v>
      </c>
      <c r="B15151" s="5" t="s">
        <v>362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362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237</v>
      </c>
      <c r="C15153" s="5" t="s">
        <v>38</v>
      </c>
      <c r="D15153" s="5">
        <v>1</v>
      </c>
      <c r="E15153" s="5">
        <v>203578</v>
      </c>
    </row>
    <row r="15154" spans="1:5" x14ac:dyDescent="0.35">
      <c r="A15154" s="3">
        <v>46245</v>
      </c>
      <c r="B15154" s="5" t="s">
        <v>237</v>
      </c>
      <c r="C15154" s="5" t="s">
        <v>38</v>
      </c>
      <c r="D15154" s="5">
        <v>1</v>
      </c>
      <c r="E15154" s="5">
        <v>203578</v>
      </c>
    </row>
    <row r="15155" spans="1:5" x14ac:dyDescent="0.35">
      <c r="A15155" s="3">
        <v>46245</v>
      </c>
      <c r="B15155" s="5" t="s">
        <v>362</v>
      </c>
      <c r="C15155" s="5" t="s">
        <v>65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362</v>
      </c>
      <c r="C15156" s="5" t="s">
        <v>66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362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237</v>
      </c>
      <c r="C15158" s="5" t="s">
        <v>38</v>
      </c>
      <c r="D15158" s="5">
        <v>1</v>
      </c>
      <c r="E15158" s="5">
        <v>203578</v>
      </c>
    </row>
    <row r="15159" spans="1:5" x14ac:dyDescent="0.35">
      <c r="A15159" s="3">
        <v>46245</v>
      </c>
      <c r="B15159" s="5" t="s">
        <v>237</v>
      </c>
      <c r="C15159" s="5" t="s">
        <v>38</v>
      </c>
      <c r="D15159" s="5">
        <v>1</v>
      </c>
      <c r="E15159" s="5">
        <v>203578</v>
      </c>
    </row>
    <row r="15160" spans="1:5" x14ac:dyDescent="0.35">
      <c r="A15160" s="3">
        <v>46245</v>
      </c>
      <c r="B15160" s="5" t="s">
        <v>237</v>
      </c>
      <c r="C15160" s="5" t="s">
        <v>38</v>
      </c>
      <c r="D15160" s="5">
        <v>1</v>
      </c>
      <c r="E15160" s="5">
        <v>203578</v>
      </c>
    </row>
    <row r="15161" spans="1:5" x14ac:dyDescent="0.35">
      <c r="A15161" s="3">
        <v>46245</v>
      </c>
      <c r="B15161" s="5" t="s">
        <v>362</v>
      </c>
      <c r="C15161" s="5" t="s">
        <v>66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362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362</v>
      </c>
      <c r="C15163" s="5" t="s">
        <v>66</v>
      </c>
      <c r="D15163" s="5">
        <v>1</v>
      </c>
      <c r="E15163" s="5">
        <v>116305</v>
      </c>
    </row>
    <row r="15164" spans="1:5" x14ac:dyDescent="0.35">
      <c r="A15164" s="3">
        <v>46245</v>
      </c>
      <c r="B15164" s="5" t="s">
        <v>362</v>
      </c>
      <c r="C15164" s="5" t="s">
        <v>66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121</v>
      </c>
      <c r="C15165" s="5" t="s">
        <v>42</v>
      </c>
      <c r="D15165" s="5">
        <v>1</v>
      </c>
      <c r="E15165" s="5">
        <v>203578</v>
      </c>
    </row>
    <row r="15166" spans="1:5" x14ac:dyDescent="0.35">
      <c r="A15166" s="3">
        <v>46245</v>
      </c>
      <c r="B15166" s="5" t="s">
        <v>362</v>
      </c>
      <c r="C15166" s="5" t="s">
        <v>66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237</v>
      </c>
      <c r="C15167" s="5" t="s">
        <v>38</v>
      </c>
      <c r="D15167" s="5">
        <v>1</v>
      </c>
      <c r="E15167" s="5">
        <v>203578</v>
      </c>
    </row>
    <row r="15168" spans="1:5" x14ac:dyDescent="0.35">
      <c r="A15168" s="3">
        <v>46245</v>
      </c>
      <c r="B15168" s="5" t="s">
        <v>362</v>
      </c>
      <c r="C15168" s="5" t="s">
        <v>65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362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244</v>
      </c>
      <c r="C15170" s="5" t="s">
        <v>28</v>
      </c>
      <c r="D15170" s="5">
        <v>1</v>
      </c>
      <c r="E15170" s="5">
        <v>118123</v>
      </c>
    </row>
    <row r="15171" spans="1:5" x14ac:dyDescent="0.35">
      <c r="A15171" s="3">
        <v>46245</v>
      </c>
      <c r="B15171" s="5" t="s">
        <v>121</v>
      </c>
      <c r="C15171" s="5" t="s">
        <v>42</v>
      </c>
      <c r="D15171" s="5">
        <v>1</v>
      </c>
      <c r="E15171" s="5">
        <v>203578</v>
      </c>
    </row>
    <row r="15172" spans="1:5" x14ac:dyDescent="0.35">
      <c r="A15172" s="3">
        <v>46245</v>
      </c>
      <c r="B15172" s="5" t="s">
        <v>362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362</v>
      </c>
      <c r="C15173" s="5" t="s">
        <v>65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362</v>
      </c>
      <c r="C15174" s="5" t="s">
        <v>67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362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133</v>
      </c>
      <c r="C15176" s="5" t="s">
        <v>18</v>
      </c>
      <c r="D15176" s="5">
        <v>1</v>
      </c>
      <c r="E15176" s="5">
        <v>127942</v>
      </c>
    </row>
    <row r="15177" spans="1:5" x14ac:dyDescent="0.35">
      <c r="A15177" s="3">
        <v>46245</v>
      </c>
      <c r="B15177" s="5" t="s">
        <v>362</v>
      </c>
      <c r="C15177" s="5" t="s">
        <v>65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237</v>
      </c>
      <c r="C15178" s="5" t="s">
        <v>38</v>
      </c>
      <c r="D15178" s="5">
        <v>1</v>
      </c>
      <c r="E15178" s="5">
        <v>203578</v>
      </c>
    </row>
    <row r="15179" spans="1:5" x14ac:dyDescent="0.35">
      <c r="A15179" s="3">
        <v>46245</v>
      </c>
      <c r="B15179" s="5" t="s">
        <v>362</v>
      </c>
      <c r="C15179" s="5" t="s">
        <v>66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362</v>
      </c>
      <c r="C15180" s="5" t="s">
        <v>66</v>
      </c>
      <c r="D15180" s="5">
        <v>1</v>
      </c>
      <c r="E15180" s="5">
        <v>116305</v>
      </c>
    </row>
    <row r="15181" spans="1:5" x14ac:dyDescent="0.35">
      <c r="A15181" s="3">
        <v>46245</v>
      </c>
      <c r="B15181" s="5" t="s">
        <v>373</v>
      </c>
      <c r="C15181" s="5" t="s">
        <v>106</v>
      </c>
      <c r="D15181" s="5">
        <v>1</v>
      </c>
      <c r="E15181" s="5">
        <v>206759</v>
      </c>
    </row>
    <row r="15182" spans="1:5" x14ac:dyDescent="0.35">
      <c r="A15182" s="3">
        <v>46245</v>
      </c>
      <c r="B15182" s="5" t="s">
        <v>376</v>
      </c>
      <c r="C15182" s="5" t="s">
        <v>108</v>
      </c>
      <c r="D15182" s="5">
        <v>1</v>
      </c>
      <c r="E15182" s="5">
        <v>106305</v>
      </c>
    </row>
    <row r="15183" spans="1:5" x14ac:dyDescent="0.35">
      <c r="A15183" s="3">
        <v>46245</v>
      </c>
      <c r="B15183" s="5" t="s">
        <v>237</v>
      </c>
      <c r="C15183" s="5" t="s">
        <v>38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237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362</v>
      </c>
      <c r="C15185" s="5" t="s">
        <v>66</v>
      </c>
      <c r="D15185" s="5">
        <v>1</v>
      </c>
      <c r="E15185" s="5">
        <v>116305</v>
      </c>
    </row>
    <row r="15186" spans="1:5" x14ac:dyDescent="0.35">
      <c r="A15186" s="3">
        <v>46245</v>
      </c>
      <c r="B15186" s="5" t="s">
        <v>362</v>
      </c>
      <c r="C15186" s="5" t="s">
        <v>66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362</v>
      </c>
      <c r="C15187" s="5" t="s">
        <v>66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362</v>
      </c>
      <c r="C15188" s="5" t="s">
        <v>66</v>
      </c>
      <c r="D15188" s="5">
        <v>1</v>
      </c>
      <c r="E15188" s="5">
        <v>116305</v>
      </c>
    </row>
    <row r="15189" spans="1:5" x14ac:dyDescent="0.35">
      <c r="A15189" s="3">
        <v>46245</v>
      </c>
      <c r="B15189" s="5" t="s">
        <v>362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362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362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362</v>
      </c>
      <c r="C15192" s="5" t="s">
        <v>66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362</v>
      </c>
      <c r="C15193" s="5" t="s">
        <v>65</v>
      </c>
      <c r="D15193" s="5">
        <v>1</v>
      </c>
      <c r="E15193" s="5">
        <v>116305</v>
      </c>
    </row>
    <row r="15194" spans="1:5" x14ac:dyDescent="0.35">
      <c r="A15194" s="3">
        <v>46245</v>
      </c>
      <c r="B15194" s="5" t="s">
        <v>244</v>
      </c>
      <c r="C15194" s="5" t="s">
        <v>85</v>
      </c>
      <c r="D15194" s="5">
        <v>1</v>
      </c>
      <c r="E15194" s="5">
        <v>189032</v>
      </c>
    </row>
    <row r="15195" spans="1:5" x14ac:dyDescent="0.35">
      <c r="A15195" s="3">
        <v>46245</v>
      </c>
      <c r="B15195" s="5" t="s">
        <v>237</v>
      </c>
      <c r="C15195" s="5" t="s">
        <v>38</v>
      </c>
      <c r="D15195" s="5">
        <v>1</v>
      </c>
      <c r="E15195" s="5">
        <v>203578</v>
      </c>
    </row>
    <row r="15196" spans="1:5" x14ac:dyDescent="0.35">
      <c r="A15196" s="3">
        <v>46245</v>
      </c>
      <c r="B15196" s="5" t="s">
        <v>237</v>
      </c>
      <c r="C15196" s="5" t="s">
        <v>38</v>
      </c>
      <c r="D15196" s="5">
        <v>1</v>
      </c>
      <c r="E15196" s="5">
        <v>203578</v>
      </c>
    </row>
    <row r="15197" spans="1:5" x14ac:dyDescent="0.35">
      <c r="A15197" s="3">
        <v>46245</v>
      </c>
      <c r="B15197" s="5" t="s">
        <v>362</v>
      </c>
      <c r="C15197" s="5" t="s">
        <v>66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362</v>
      </c>
      <c r="C15198" s="5" t="s">
        <v>66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362</v>
      </c>
      <c r="C15199" s="5" t="s">
        <v>65</v>
      </c>
      <c r="D15199" s="5">
        <v>1</v>
      </c>
      <c r="E15199" s="5">
        <v>116305</v>
      </c>
    </row>
    <row r="15200" spans="1:5" x14ac:dyDescent="0.35">
      <c r="A15200" s="3">
        <v>46245</v>
      </c>
      <c r="B15200" s="5" t="s">
        <v>362</v>
      </c>
      <c r="C15200" s="5" t="s">
        <v>65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237</v>
      </c>
      <c r="C15201" s="5" t="s">
        <v>38</v>
      </c>
      <c r="D15201" s="5">
        <v>1</v>
      </c>
      <c r="E15201" s="5">
        <v>203578</v>
      </c>
    </row>
    <row r="15202" spans="1:5" x14ac:dyDescent="0.35">
      <c r="A15202" s="3">
        <v>46245</v>
      </c>
      <c r="B15202" s="5" t="s">
        <v>237</v>
      </c>
      <c r="C15202" s="5" t="s">
        <v>38</v>
      </c>
      <c r="D15202" s="5">
        <v>1</v>
      </c>
      <c r="E15202" s="5">
        <v>203578</v>
      </c>
    </row>
    <row r="15203" spans="1:5" x14ac:dyDescent="0.35">
      <c r="A15203" s="3">
        <v>46245</v>
      </c>
      <c r="B15203" s="5" t="s">
        <v>237</v>
      </c>
      <c r="C15203" s="5" t="s">
        <v>38</v>
      </c>
      <c r="D15203" s="5">
        <v>1</v>
      </c>
      <c r="E15203" s="5">
        <v>203578</v>
      </c>
    </row>
    <row r="15204" spans="1:5" x14ac:dyDescent="0.35">
      <c r="A15204" s="3">
        <v>46245</v>
      </c>
      <c r="B15204" s="5" t="s">
        <v>362</v>
      </c>
      <c r="C15204" s="5" t="s">
        <v>66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362</v>
      </c>
      <c r="C15205" s="5" t="s">
        <v>66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362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362</v>
      </c>
      <c r="C15207" s="5" t="s">
        <v>65</v>
      </c>
      <c r="D15207" s="5">
        <v>1</v>
      </c>
      <c r="E15207" s="5">
        <v>116305</v>
      </c>
    </row>
    <row r="15208" spans="1:5" x14ac:dyDescent="0.35">
      <c r="A15208" s="3">
        <v>46245</v>
      </c>
      <c r="B15208" s="5" t="s">
        <v>237</v>
      </c>
      <c r="C15208" s="5" t="s">
        <v>38</v>
      </c>
      <c r="D15208" s="5">
        <v>1</v>
      </c>
      <c r="E15208" s="5">
        <v>203578</v>
      </c>
    </row>
    <row r="15209" spans="1:5" x14ac:dyDescent="0.35">
      <c r="A15209" s="3">
        <v>46245</v>
      </c>
      <c r="B15209" s="5" t="s">
        <v>237</v>
      </c>
      <c r="C15209" s="5" t="s">
        <v>38</v>
      </c>
      <c r="D15209" s="5">
        <v>1</v>
      </c>
      <c r="E15209" s="5">
        <v>203578</v>
      </c>
    </row>
    <row r="15210" spans="1:5" x14ac:dyDescent="0.35">
      <c r="A15210" s="3">
        <v>46245</v>
      </c>
      <c r="B15210" s="5" t="s">
        <v>237</v>
      </c>
      <c r="C15210" s="5" t="s">
        <v>38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362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362</v>
      </c>
      <c r="C15212" s="5" t="s">
        <v>66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362</v>
      </c>
      <c r="C15213" s="5" t="s">
        <v>66</v>
      </c>
      <c r="D15213" s="5">
        <v>1</v>
      </c>
      <c r="E15213" s="5">
        <v>116305</v>
      </c>
    </row>
    <row r="15214" spans="1:5" x14ac:dyDescent="0.35">
      <c r="A15214" s="3">
        <v>46245</v>
      </c>
      <c r="B15214" s="5" t="s">
        <v>362</v>
      </c>
      <c r="C15214" s="5" t="s">
        <v>66</v>
      </c>
      <c r="D15214" s="5">
        <v>1</v>
      </c>
      <c r="E15214" s="5">
        <v>116305</v>
      </c>
    </row>
    <row r="15215" spans="1:5" x14ac:dyDescent="0.35">
      <c r="A15215" s="3">
        <v>46245</v>
      </c>
      <c r="B15215" s="5" t="s">
        <v>362</v>
      </c>
      <c r="C15215" s="5" t="s">
        <v>67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362</v>
      </c>
      <c r="C15216" s="5" t="s">
        <v>65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373</v>
      </c>
      <c r="C15217" s="5" t="s">
        <v>27</v>
      </c>
      <c r="D15217" s="5">
        <v>1</v>
      </c>
      <c r="E15217" s="5">
        <v>177214</v>
      </c>
    </row>
    <row r="15218" spans="1:5" x14ac:dyDescent="0.35">
      <c r="A15218" s="3">
        <v>46245</v>
      </c>
      <c r="B15218" s="5" t="s">
        <v>237</v>
      </c>
      <c r="C15218" s="5" t="s">
        <v>38</v>
      </c>
      <c r="D15218" s="5">
        <v>1</v>
      </c>
      <c r="E15218" s="5">
        <v>203578</v>
      </c>
    </row>
    <row r="15219" spans="1:5" x14ac:dyDescent="0.35">
      <c r="A15219" s="3">
        <v>46245</v>
      </c>
      <c r="B15219" s="5" t="s">
        <v>362</v>
      </c>
      <c r="C15219" s="5" t="s">
        <v>66</v>
      </c>
      <c r="D15219" s="5">
        <v>1</v>
      </c>
      <c r="E15219" s="5">
        <v>116305</v>
      </c>
    </row>
    <row r="15220" spans="1:5" x14ac:dyDescent="0.35">
      <c r="A15220" s="3">
        <v>46245</v>
      </c>
      <c r="B15220" s="5" t="s">
        <v>362</v>
      </c>
      <c r="C15220" s="5" t="s">
        <v>65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237</v>
      </c>
      <c r="C15221" s="5" t="s">
        <v>38</v>
      </c>
      <c r="D15221" s="5">
        <v>1</v>
      </c>
      <c r="E15221" s="5">
        <v>203578</v>
      </c>
    </row>
    <row r="15222" spans="1:5" x14ac:dyDescent="0.35">
      <c r="A15222" s="3">
        <v>46245</v>
      </c>
      <c r="B15222" s="5" t="s">
        <v>362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362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362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362</v>
      </c>
      <c r="C15225" s="5" t="s">
        <v>65</v>
      </c>
      <c r="D15225" s="5">
        <v>1</v>
      </c>
      <c r="E15225" s="5">
        <v>116305</v>
      </c>
    </row>
    <row r="15226" spans="1:5" x14ac:dyDescent="0.35">
      <c r="A15226" s="3">
        <v>46245</v>
      </c>
      <c r="B15226" s="5" t="s">
        <v>362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362</v>
      </c>
      <c r="C15227" s="5" t="s">
        <v>66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362</v>
      </c>
      <c r="C15228" s="5" t="s">
        <v>66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362</v>
      </c>
      <c r="C15229" s="5" t="s">
        <v>66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362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121</v>
      </c>
      <c r="C15231" s="5" t="s">
        <v>42</v>
      </c>
      <c r="D15231" s="5">
        <v>1</v>
      </c>
      <c r="E15231" s="5">
        <v>203578</v>
      </c>
    </row>
    <row r="15232" spans="1:5" x14ac:dyDescent="0.35">
      <c r="A15232" s="3">
        <v>46245</v>
      </c>
      <c r="B15232" s="5" t="s">
        <v>362</v>
      </c>
      <c r="C15232" s="5" t="s">
        <v>66</v>
      </c>
      <c r="D15232" s="5">
        <v>1</v>
      </c>
      <c r="E15232" s="5">
        <v>116305</v>
      </c>
    </row>
    <row r="15233" spans="1:5" x14ac:dyDescent="0.35">
      <c r="A15233" s="3">
        <v>46245</v>
      </c>
      <c r="B15233" s="5" t="s">
        <v>362</v>
      </c>
      <c r="C15233" s="5" t="s">
        <v>67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237</v>
      </c>
      <c r="C15234" s="5" t="s">
        <v>38</v>
      </c>
      <c r="D15234" s="5">
        <v>1</v>
      </c>
      <c r="E15234" s="5">
        <v>203578</v>
      </c>
    </row>
    <row r="15235" spans="1:5" x14ac:dyDescent="0.35">
      <c r="A15235" s="3">
        <v>46245</v>
      </c>
      <c r="B15235" s="5" t="s">
        <v>237</v>
      </c>
      <c r="C15235" s="5" t="s">
        <v>38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362</v>
      </c>
      <c r="C15236" s="5" t="s">
        <v>66</v>
      </c>
      <c r="D15236" s="5">
        <v>1</v>
      </c>
      <c r="E15236" s="5">
        <v>116305</v>
      </c>
    </row>
    <row r="15237" spans="1:5" x14ac:dyDescent="0.35">
      <c r="A15237" s="3">
        <v>46245</v>
      </c>
      <c r="B15237" s="5" t="s">
        <v>362</v>
      </c>
      <c r="C15237" s="5" t="s">
        <v>65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362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244</v>
      </c>
      <c r="C15239" s="5" t="s">
        <v>25</v>
      </c>
      <c r="D15239" s="5">
        <v>1</v>
      </c>
      <c r="E15239" s="5">
        <v>460318</v>
      </c>
    </row>
    <row r="15240" spans="1:5" x14ac:dyDescent="0.35">
      <c r="A15240" s="3">
        <v>46245</v>
      </c>
      <c r="B15240" s="5" t="s">
        <v>351</v>
      </c>
      <c r="C15240" s="5" t="s">
        <v>66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237</v>
      </c>
      <c r="C15241" s="5" t="s">
        <v>38</v>
      </c>
      <c r="D15241" s="5">
        <v>1</v>
      </c>
      <c r="E15241" s="5">
        <v>203578</v>
      </c>
    </row>
    <row r="15242" spans="1:5" x14ac:dyDescent="0.35">
      <c r="A15242" s="3">
        <v>46245</v>
      </c>
      <c r="B15242" s="5" t="s">
        <v>237</v>
      </c>
      <c r="C15242" s="5" t="s">
        <v>38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362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362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362</v>
      </c>
      <c r="C15245" s="5" t="s">
        <v>66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362</v>
      </c>
      <c r="C15246" s="5" t="s">
        <v>66</v>
      </c>
      <c r="D15246" s="5">
        <v>1</v>
      </c>
      <c r="E15246" s="5">
        <v>116305</v>
      </c>
    </row>
    <row r="15247" spans="1:5" x14ac:dyDescent="0.35">
      <c r="A15247" s="3">
        <v>46245</v>
      </c>
      <c r="B15247" s="5" t="s">
        <v>376</v>
      </c>
      <c r="C15247" s="5" t="s">
        <v>18</v>
      </c>
      <c r="D15247" s="5">
        <v>1</v>
      </c>
      <c r="E15247" s="5">
        <v>129941</v>
      </c>
    </row>
    <row r="15248" spans="1:5" x14ac:dyDescent="0.35">
      <c r="A15248" s="3">
        <v>46245</v>
      </c>
      <c r="B15248" s="5" t="s">
        <v>237</v>
      </c>
      <c r="C15248" s="5" t="s">
        <v>38</v>
      </c>
      <c r="D15248" s="5">
        <v>2</v>
      </c>
      <c r="E15248" s="5">
        <v>407156</v>
      </c>
    </row>
    <row r="15249" spans="1:5" x14ac:dyDescent="0.35">
      <c r="A15249" s="3">
        <v>46245</v>
      </c>
      <c r="B15249" s="5" t="s">
        <v>237</v>
      </c>
      <c r="C15249" s="5" t="s">
        <v>38</v>
      </c>
      <c r="D15249" s="5">
        <v>1</v>
      </c>
      <c r="E15249" s="5">
        <v>203578</v>
      </c>
    </row>
    <row r="15250" spans="1:5" x14ac:dyDescent="0.35">
      <c r="A15250" s="3">
        <v>46245</v>
      </c>
      <c r="B15250" s="5" t="s">
        <v>237</v>
      </c>
      <c r="C15250" s="5" t="s">
        <v>38</v>
      </c>
      <c r="D15250" s="5">
        <v>1</v>
      </c>
      <c r="E15250" s="5">
        <v>203578</v>
      </c>
    </row>
    <row r="15251" spans="1:5" x14ac:dyDescent="0.35">
      <c r="A15251" s="3">
        <v>46245</v>
      </c>
      <c r="B15251" s="5" t="s">
        <v>362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362</v>
      </c>
      <c r="C15252" s="5" t="s">
        <v>65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362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362</v>
      </c>
      <c r="C15254" s="5" t="s">
        <v>66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362</v>
      </c>
      <c r="C15255" s="5" t="s">
        <v>66</v>
      </c>
      <c r="D15255" s="5">
        <v>1</v>
      </c>
      <c r="E15255" s="5">
        <v>116305</v>
      </c>
    </row>
    <row r="15256" spans="1:5" x14ac:dyDescent="0.35">
      <c r="A15256" s="3">
        <v>46245</v>
      </c>
      <c r="B15256" s="5" t="s">
        <v>362</v>
      </c>
      <c r="C15256" s="5" t="s">
        <v>65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362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362</v>
      </c>
      <c r="C15258" s="5" t="s">
        <v>65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362</v>
      </c>
      <c r="C15259" s="5" t="s">
        <v>67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373</v>
      </c>
      <c r="C15260" s="5" t="s">
        <v>32</v>
      </c>
      <c r="D15260" s="5">
        <v>1</v>
      </c>
      <c r="E15260" s="5">
        <v>177214</v>
      </c>
    </row>
    <row r="15261" spans="1:5" x14ac:dyDescent="0.35">
      <c r="A15261" s="3">
        <v>46245</v>
      </c>
      <c r="B15261" s="5" t="s">
        <v>121</v>
      </c>
      <c r="C15261" s="5" t="s">
        <v>42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237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362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362</v>
      </c>
      <c r="C15264" s="5" t="s">
        <v>66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362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121</v>
      </c>
      <c r="C15266" s="5" t="s">
        <v>42</v>
      </c>
      <c r="D15266" s="5">
        <v>1</v>
      </c>
      <c r="E15266" s="5">
        <v>203578</v>
      </c>
    </row>
    <row r="15267" spans="1:5" x14ac:dyDescent="0.35">
      <c r="A15267" s="3">
        <v>46245</v>
      </c>
      <c r="B15267" s="5" t="s">
        <v>237</v>
      </c>
      <c r="C15267" s="5" t="s">
        <v>38</v>
      </c>
      <c r="D15267" s="5">
        <v>1</v>
      </c>
      <c r="E15267" s="5">
        <v>203578</v>
      </c>
    </row>
    <row r="15268" spans="1:5" x14ac:dyDescent="0.35">
      <c r="A15268" s="3">
        <v>46245</v>
      </c>
      <c r="B15268" s="5" t="s">
        <v>362</v>
      </c>
      <c r="C15268" s="5" t="s">
        <v>65</v>
      </c>
      <c r="D15268" s="5">
        <v>1</v>
      </c>
      <c r="E15268" s="5">
        <v>116305</v>
      </c>
    </row>
    <row r="15269" spans="1:5" x14ac:dyDescent="0.35">
      <c r="A15269" s="3">
        <v>46245</v>
      </c>
      <c r="B15269" s="5" t="s">
        <v>362</v>
      </c>
      <c r="C15269" s="5" t="s">
        <v>67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121</v>
      </c>
      <c r="C15270" s="5" t="s">
        <v>42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362</v>
      </c>
      <c r="C15271" s="5" t="s">
        <v>66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362</v>
      </c>
      <c r="C15272" s="5" t="s">
        <v>67</v>
      </c>
      <c r="D15272" s="5">
        <v>1</v>
      </c>
      <c r="E15272" s="5">
        <v>116305</v>
      </c>
    </row>
    <row r="15273" spans="1:5" x14ac:dyDescent="0.35">
      <c r="A15273" s="3">
        <v>46245</v>
      </c>
      <c r="B15273" s="5" t="s">
        <v>362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362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362</v>
      </c>
      <c r="C15275" s="5" t="s">
        <v>66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362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362</v>
      </c>
      <c r="C15277" s="5" t="s">
        <v>65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373</v>
      </c>
      <c r="C15278" s="5" t="s">
        <v>18</v>
      </c>
      <c r="D15278" s="5">
        <v>1</v>
      </c>
      <c r="E15278" s="5">
        <v>129941</v>
      </c>
    </row>
    <row r="15279" spans="1:5" x14ac:dyDescent="0.35">
      <c r="A15279" s="3">
        <v>46245</v>
      </c>
      <c r="B15279" s="5" t="s">
        <v>362</v>
      </c>
      <c r="C15279" s="5" t="s">
        <v>66</v>
      </c>
      <c r="D15279" s="5">
        <v>1</v>
      </c>
      <c r="E15279" s="5">
        <v>116305</v>
      </c>
    </row>
    <row r="15280" spans="1:5" x14ac:dyDescent="0.35">
      <c r="A15280" s="3">
        <v>46245</v>
      </c>
      <c r="B15280" s="5" t="s">
        <v>362</v>
      </c>
      <c r="C15280" s="5" t="s">
        <v>66</v>
      </c>
      <c r="D15280" s="5">
        <v>1</v>
      </c>
      <c r="E15280" s="5">
        <v>116305</v>
      </c>
    </row>
    <row r="15281" spans="1:5" x14ac:dyDescent="0.35">
      <c r="A15281" s="3">
        <v>46245</v>
      </c>
      <c r="B15281" s="5" t="s">
        <v>362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362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362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362</v>
      </c>
      <c r="C15284" s="5" t="s">
        <v>66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362</v>
      </c>
      <c r="C15285" s="5" t="s">
        <v>65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362</v>
      </c>
      <c r="C15286" s="5" t="s">
        <v>67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362</v>
      </c>
      <c r="C15287" s="5" t="s">
        <v>67</v>
      </c>
      <c r="D15287" s="5">
        <v>1</v>
      </c>
      <c r="E15287" s="5">
        <v>116305</v>
      </c>
    </row>
    <row r="15288" spans="1:5" x14ac:dyDescent="0.35">
      <c r="A15288" s="3">
        <v>46245</v>
      </c>
      <c r="B15288" s="5" t="s">
        <v>362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362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362</v>
      </c>
      <c r="C15290" s="5" t="s">
        <v>66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362</v>
      </c>
      <c r="C15291" s="5" t="s">
        <v>66</v>
      </c>
      <c r="D15291" s="5">
        <v>1</v>
      </c>
      <c r="E15291" s="5">
        <v>116305</v>
      </c>
    </row>
    <row r="15292" spans="1:5" x14ac:dyDescent="0.35">
      <c r="A15292" s="3">
        <v>46245</v>
      </c>
      <c r="B15292" s="5" t="s">
        <v>362</v>
      </c>
      <c r="C15292" s="5" t="s">
        <v>65</v>
      </c>
      <c r="D15292" s="5">
        <v>1</v>
      </c>
      <c r="E15292" s="5">
        <v>116305</v>
      </c>
    </row>
    <row r="15293" spans="1:5" x14ac:dyDescent="0.35">
      <c r="A15293" s="3">
        <v>46245</v>
      </c>
      <c r="B15293" s="5" t="s">
        <v>362</v>
      </c>
      <c r="C15293" s="5" t="s">
        <v>66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237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362</v>
      </c>
      <c r="C15295" s="5" t="s">
        <v>67</v>
      </c>
      <c r="D15295" s="5">
        <v>1</v>
      </c>
      <c r="E15295" s="5">
        <v>116305</v>
      </c>
    </row>
    <row r="15296" spans="1:5" x14ac:dyDescent="0.35">
      <c r="A15296" s="3">
        <v>46245</v>
      </c>
      <c r="B15296" s="5" t="s">
        <v>362</v>
      </c>
      <c r="C15296" s="5" t="s">
        <v>67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362</v>
      </c>
      <c r="C15297" s="5" t="s">
        <v>65</v>
      </c>
      <c r="D15297" s="5">
        <v>1</v>
      </c>
      <c r="E15297" s="5">
        <v>116305</v>
      </c>
    </row>
    <row r="15298" spans="1:5" x14ac:dyDescent="0.35">
      <c r="A15298" s="3">
        <v>46245</v>
      </c>
      <c r="B15298" s="5" t="s">
        <v>244</v>
      </c>
      <c r="C15298" s="5" t="s">
        <v>85</v>
      </c>
      <c r="D15298" s="5">
        <v>1</v>
      </c>
      <c r="E15298" s="5">
        <v>189032</v>
      </c>
    </row>
    <row r="15299" spans="1:5" x14ac:dyDescent="0.35">
      <c r="A15299" s="3">
        <v>46245</v>
      </c>
      <c r="B15299" s="5" t="s">
        <v>362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362</v>
      </c>
      <c r="C15300" s="5" t="s">
        <v>66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362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362</v>
      </c>
      <c r="C15302" s="5" t="s">
        <v>66</v>
      </c>
      <c r="D15302" s="5">
        <v>1</v>
      </c>
      <c r="E15302" s="5">
        <v>116305</v>
      </c>
    </row>
    <row r="15303" spans="1:5" x14ac:dyDescent="0.35">
      <c r="A15303" s="3">
        <v>46245</v>
      </c>
      <c r="B15303" s="5" t="s">
        <v>362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362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362</v>
      </c>
      <c r="C15305" s="5" t="s">
        <v>66</v>
      </c>
      <c r="D15305" s="5">
        <v>1</v>
      </c>
      <c r="E15305" s="5">
        <v>116305</v>
      </c>
    </row>
    <row r="15306" spans="1:5" x14ac:dyDescent="0.35">
      <c r="A15306" s="3">
        <v>46245</v>
      </c>
      <c r="B15306" s="5" t="s">
        <v>362</v>
      </c>
      <c r="C15306" s="5" t="s">
        <v>66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121</v>
      </c>
      <c r="C15307" s="5" t="s">
        <v>42</v>
      </c>
      <c r="D15307" s="5">
        <v>1</v>
      </c>
      <c r="E15307" s="5">
        <v>203578</v>
      </c>
    </row>
    <row r="15308" spans="1:5" x14ac:dyDescent="0.35">
      <c r="A15308" s="3">
        <v>46245</v>
      </c>
      <c r="B15308" s="5" t="s">
        <v>362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362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362</v>
      </c>
      <c r="C15310" s="5" t="s">
        <v>67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237</v>
      </c>
      <c r="C15311" s="5" t="s">
        <v>38</v>
      </c>
      <c r="D15311" s="5">
        <v>1</v>
      </c>
      <c r="E15311" s="5">
        <v>203578</v>
      </c>
    </row>
    <row r="15312" spans="1:5" x14ac:dyDescent="0.35">
      <c r="A15312" s="3">
        <v>46245</v>
      </c>
      <c r="B15312" s="5" t="s">
        <v>362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362</v>
      </c>
      <c r="C15313" s="5" t="s">
        <v>65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373</v>
      </c>
      <c r="C15314" s="5" t="s">
        <v>26</v>
      </c>
      <c r="D15314" s="5">
        <v>1</v>
      </c>
      <c r="E15314" s="5">
        <v>501682</v>
      </c>
    </row>
    <row r="15315" spans="1:5" x14ac:dyDescent="0.35">
      <c r="A15315" s="3">
        <v>46245</v>
      </c>
      <c r="B15315" s="5" t="s">
        <v>121</v>
      </c>
      <c r="C15315" s="5" t="s">
        <v>33</v>
      </c>
      <c r="D15315" s="5">
        <v>1</v>
      </c>
      <c r="E15315" s="5">
        <v>203578</v>
      </c>
    </row>
    <row r="15316" spans="1:5" x14ac:dyDescent="0.35">
      <c r="A15316" s="3">
        <v>46245</v>
      </c>
      <c r="B15316" s="5" t="s">
        <v>237</v>
      </c>
      <c r="C15316" s="5" t="s">
        <v>38</v>
      </c>
      <c r="D15316" s="5">
        <v>1</v>
      </c>
      <c r="E15316" s="5">
        <v>203578</v>
      </c>
    </row>
    <row r="15317" spans="1:5" x14ac:dyDescent="0.35">
      <c r="A15317" s="3">
        <v>46245</v>
      </c>
      <c r="B15317" s="5" t="s">
        <v>237</v>
      </c>
      <c r="C15317" s="5" t="s">
        <v>38</v>
      </c>
      <c r="D15317" s="5">
        <v>1</v>
      </c>
      <c r="E15317" s="5">
        <v>203578</v>
      </c>
    </row>
    <row r="15318" spans="1:5" x14ac:dyDescent="0.35">
      <c r="A15318" s="3">
        <v>46245</v>
      </c>
      <c r="B15318" s="5" t="s">
        <v>362</v>
      </c>
      <c r="C15318" s="5" t="s">
        <v>65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362</v>
      </c>
      <c r="C15319" s="5" t="s">
        <v>65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237</v>
      </c>
      <c r="C15320" s="5" t="s">
        <v>38</v>
      </c>
      <c r="D15320" s="5">
        <v>1</v>
      </c>
      <c r="E15320" s="5">
        <v>203578</v>
      </c>
    </row>
    <row r="15321" spans="1:5" x14ac:dyDescent="0.35">
      <c r="A15321" s="3">
        <v>46245</v>
      </c>
      <c r="B15321" s="5" t="s">
        <v>362</v>
      </c>
      <c r="C15321" s="5" t="s">
        <v>66</v>
      </c>
      <c r="D15321" s="5">
        <v>1</v>
      </c>
      <c r="E15321" s="5">
        <v>116305</v>
      </c>
    </row>
    <row r="15322" spans="1:5" x14ac:dyDescent="0.35">
      <c r="A15322" s="3">
        <v>46245</v>
      </c>
      <c r="B15322" s="5" t="s">
        <v>362</v>
      </c>
      <c r="C15322" s="5" t="s">
        <v>65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362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362</v>
      </c>
      <c r="C15324" s="5" t="s">
        <v>65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373</v>
      </c>
      <c r="C15325" s="5" t="s">
        <v>32</v>
      </c>
      <c r="D15325" s="5">
        <v>1</v>
      </c>
      <c r="E15325" s="5">
        <v>177214</v>
      </c>
    </row>
    <row r="15326" spans="1:5" x14ac:dyDescent="0.35">
      <c r="A15326" s="3">
        <v>46245</v>
      </c>
      <c r="B15326" s="5" t="s">
        <v>237</v>
      </c>
      <c r="C15326" s="5" t="s">
        <v>38</v>
      </c>
      <c r="D15326" s="5">
        <v>1</v>
      </c>
      <c r="E15326" s="5">
        <v>203578</v>
      </c>
    </row>
    <row r="15327" spans="1:5" x14ac:dyDescent="0.35">
      <c r="A15327" s="3">
        <v>46245</v>
      </c>
      <c r="B15327" s="5" t="s">
        <v>362</v>
      </c>
      <c r="C15327" s="5" t="s">
        <v>66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362</v>
      </c>
      <c r="C15328" s="5" t="s">
        <v>66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362</v>
      </c>
      <c r="C15329" s="5" t="s">
        <v>66</v>
      </c>
      <c r="D15329" s="5">
        <v>1</v>
      </c>
      <c r="E15329" s="5">
        <v>116305</v>
      </c>
    </row>
    <row r="15330" spans="1:5" x14ac:dyDescent="0.35">
      <c r="A15330" s="3">
        <v>46245</v>
      </c>
      <c r="B15330" s="5" t="s">
        <v>362</v>
      </c>
      <c r="C15330" s="5" t="s">
        <v>65</v>
      </c>
      <c r="D15330" s="5">
        <v>1</v>
      </c>
      <c r="E15330" s="5">
        <v>116305</v>
      </c>
    </row>
    <row r="15331" spans="1:5" x14ac:dyDescent="0.35">
      <c r="A15331" s="3">
        <v>46245</v>
      </c>
      <c r="B15331" s="5" t="s">
        <v>362</v>
      </c>
      <c r="C15331" s="5" t="s">
        <v>67</v>
      </c>
      <c r="D15331" s="5">
        <v>1</v>
      </c>
      <c r="E15331" s="5">
        <v>116305</v>
      </c>
    </row>
    <row r="15332" spans="1:5" x14ac:dyDescent="0.35">
      <c r="A15332" s="3">
        <v>46245</v>
      </c>
      <c r="B15332" s="5" t="s">
        <v>237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362</v>
      </c>
      <c r="C15333" s="5" t="s">
        <v>66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362</v>
      </c>
      <c r="C15334" s="5" t="s">
        <v>66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362</v>
      </c>
      <c r="C15335" s="5" t="s">
        <v>66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362</v>
      </c>
      <c r="C15336" s="5" t="s">
        <v>66</v>
      </c>
      <c r="D15336" s="5">
        <v>1</v>
      </c>
      <c r="E15336" s="5">
        <v>116305</v>
      </c>
    </row>
    <row r="15337" spans="1:5" x14ac:dyDescent="0.35">
      <c r="A15337" s="3">
        <v>46245</v>
      </c>
      <c r="B15337" s="5" t="s">
        <v>362</v>
      </c>
      <c r="C15337" s="5" t="s">
        <v>67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362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362</v>
      </c>
      <c r="C15339" s="5" t="s">
        <v>66</v>
      </c>
      <c r="D15339" s="5">
        <v>1</v>
      </c>
      <c r="E15339" s="5">
        <v>116305</v>
      </c>
    </row>
    <row r="15340" spans="1:5" x14ac:dyDescent="0.35">
      <c r="A15340" s="3">
        <v>46245</v>
      </c>
      <c r="B15340" s="5" t="s">
        <v>237</v>
      </c>
      <c r="C15340" s="5" t="s">
        <v>38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362</v>
      </c>
      <c r="C15341" s="5" t="s">
        <v>65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362</v>
      </c>
      <c r="C15342" s="5" t="s">
        <v>65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121</v>
      </c>
      <c r="C15343" s="5" t="s">
        <v>42</v>
      </c>
      <c r="D15343" s="5">
        <v>1</v>
      </c>
      <c r="E15343" s="5">
        <v>203578</v>
      </c>
    </row>
    <row r="15344" spans="1:5" x14ac:dyDescent="0.35">
      <c r="A15344" s="3">
        <v>46245</v>
      </c>
      <c r="B15344" s="5" t="s">
        <v>362</v>
      </c>
      <c r="C15344" s="5" t="s">
        <v>66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362</v>
      </c>
      <c r="C15345" s="5" t="s">
        <v>67</v>
      </c>
      <c r="D15345" s="5">
        <v>1</v>
      </c>
      <c r="E15345" s="5">
        <v>116305</v>
      </c>
    </row>
    <row r="15346" spans="1:5" x14ac:dyDescent="0.35">
      <c r="A15346" s="3">
        <v>46245</v>
      </c>
      <c r="B15346" s="5" t="s">
        <v>237</v>
      </c>
      <c r="C15346" s="5" t="s">
        <v>38</v>
      </c>
      <c r="D15346" s="5">
        <v>1</v>
      </c>
      <c r="E15346" s="5">
        <v>203578</v>
      </c>
    </row>
    <row r="15347" spans="1:5" x14ac:dyDescent="0.35">
      <c r="A15347" s="3">
        <v>46245</v>
      </c>
      <c r="B15347" s="5" t="s">
        <v>237</v>
      </c>
      <c r="C15347" s="5" t="s">
        <v>38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362</v>
      </c>
      <c r="C15348" s="5" t="s">
        <v>66</v>
      </c>
      <c r="D15348" s="5">
        <v>1</v>
      </c>
      <c r="E15348" s="5">
        <v>116305</v>
      </c>
    </row>
    <row r="15349" spans="1:5" x14ac:dyDescent="0.35">
      <c r="A15349" s="3">
        <v>46245</v>
      </c>
      <c r="B15349" s="5" t="s">
        <v>362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362</v>
      </c>
      <c r="C15350" s="5" t="s">
        <v>66</v>
      </c>
      <c r="D15350" s="5">
        <v>1</v>
      </c>
      <c r="E15350" s="5">
        <v>116305</v>
      </c>
    </row>
    <row r="15351" spans="1:5" x14ac:dyDescent="0.35">
      <c r="A15351" s="3">
        <v>46245</v>
      </c>
      <c r="B15351" s="5" t="s">
        <v>362</v>
      </c>
      <c r="C15351" s="5" t="s">
        <v>66</v>
      </c>
      <c r="D15351" s="5">
        <v>1</v>
      </c>
      <c r="E15351" s="5">
        <v>116305</v>
      </c>
    </row>
    <row r="15352" spans="1:5" x14ac:dyDescent="0.35">
      <c r="A15352" s="3">
        <v>46245</v>
      </c>
      <c r="B15352" s="5" t="s">
        <v>376</v>
      </c>
      <c r="C15352" s="5" t="s">
        <v>18</v>
      </c>
      <c r="D15352" s="5">
        <v>1</v>
      </c>
      <c r="E15352" s="5">
        <v>129941</v>
      </c>
    </row>
    <row r="15353" spans="1:5" x14ac:dyDescent="0.35">
      <c r="A15353" s="3">
        <v>46245</v>
      </c>
      <c r="B15353" s="5" t="s">
        <v>237</v>
      </c>
      <c r="C15353" s="5" t="s">
        <v>38</v>
      </c>
      <c r="D15353" s="5">
        <v>1</v>
      </c>
      <c r="E15353" s="5">
        <v>203578</v>
      </c>
    </row>
    <row r="15354" spans="1:5" x14ac:dyDescent="0.35">
      <c r="A15354" s="3">
        <v>46245</v>
      </c>
      <c r="B15354" s="5" t="s">
        <v>362</v>
      </c>
      <c r="C15354" s="5" t="s">
        <v>66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376</v>
      </c>
      <c r="C15355" s="5" t="s">
        <v>26</v>
      </c>
      <c r="D15355" s="5">
        <v>1</v>
      </c>
      <c r="E15355" s="5">
        <v>501682</v>
      </c>
    </row>
    <row r="15356" spans="1:5" x14ac:dyDescent="0.35">
      <c r="A15356" s="3">
        <v>46245</v>
      </c>
      <c r="B15356" s="5" t="s">
        <v>362</v>
      </c>
      <c r="C15356" s="5" t="s">
        <v>66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362</v>
      </c>
      <c r="C15357" s="5" t="s">
        <v>66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362</v>
      </c>
      <c r="C15358" s="5" t="s">
        <v>66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362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237</v>
      </c>
      <c r="C15360" s="5" t="s">
        <v>38</v>
      </c>
      <c r="D15360" s="5">
        <v>1</v>
      </c>
      <c r="E15360" s="5">
        <v>203578</v>
      </c>
    </row>
    <row r="15361" spans="1:5" x14ac:dyDescent="0.35">
      <c r="A15361" s="3">
        <v>46245</v>
      </c>
      <c r="B15361" s="5" t="s">
        <v>362</v>
      </c>
      <c r="C15361" s="5" t="s">
        <v>65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362</v>
      </c>
      <c r="C15362" s="5" t="s">
        <v>67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362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362</v>
      </c>
      <c r="C15364" s="5" t="s">
        <v>65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362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362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237</v>
      </c>
      <c r="C15367" s="5" t="s">
        <v>38</v>
      </c>
      <c r="D15367" s="5">
        <v>1</v>
      </c>
      <c r="E15367" s="5">
        <v>203578</v>
      </c>
    </row>
    <row r="15368" spans="1:5" x14ac:dyDescent="0.35">
      <c r="A15368" s="3">
        <v>46245</v>
      </c>
      <c r="B15368" s="5" t="s">
        <v>362</v>
      </c>
      <c r="C15368" s="5" t="s">
        <v>66</v>
      </c>
      <c r="D15368" s="5">
        <v>1</v>
      </c>
      <c r="E15368" s="5">
        <v>116305</v>
      </c>
    </row>
    <row r="15369" spans="1:5" x14ac:dyDescent="0.35">
      <c r="A15369" s="3">
        <v>46245</v>
      </c>
      <c r="B15369" s="5" t="s">
        <v>362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121</v>
      </c>
      <c r="C15370" s="5" t="s">
        <v>42</v>
      </c>
      <c r="D15370" s="5">
        <v>1</v>
      </c>
      <c r="E15370" s="5">
        <v>203578</v>
      </c>
    </row>
    <row r="15371" spans="1:5" x14ac:dyDescent="0.35">
      <c r="A15371" s="3">
        <v>46245</v>
      </c>
      <c r="B15371" s="5" t="s">
        <v>237</v>
      </c>
      <c r="C15371" s="5" t="s">
        <v>38</v>
      </c>
      <c r="D15371" s="5">
        <v>1</v>
      </c>
      <c r="E15371" s="5">
        <v>203578</v>
      </c>
    </row>
    <row r="15372" spans="1:5" x14ac:dyDescent="0.35">
      <c r="A15372" s="3">
        <v>46245</v>
      </c>
      <c r="B15372" s="5" t="s">
        <v>362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362</v>
      </c>
      <c r="C15373" s="5" t="s">
        <v>65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362</v>
      </c>
      <c r="C15374" s="5" t="s">
        <v>66</v>
      </c>
      <c r="D15374" s="5">
        <v>1</v>
      </c>
      <c r="E15374" s="5">
        <v>116305</v>
      </c>
    </row>
    <row r="15375" spans="1:5" x14ac:dyDescent="0.35">
      <c r="A15375" s="3">
        <v>46245</v>
      </c>
      <c r="B15375" s="5" t="s">
        <v>362</v>
      </c>
      <c r="C15375" s="5" t="s">
        <v>65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362</v>
      </c>
      <c r="C15376" s="5" t="s">
        <v>67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121</v>
      </c>
      <c r="C15377" s="5" t="s">
        <v>42</v>
      </c>
      <c r="D15377" s="5">
        <v>1</v>
      </c>
      <c r="E15377" s="5">
        <v>203578</v>
      </c>
    </row>
    <row r="15378" spans="1:5" x14ac:dyDescent="0.35">
      <c r="A15378" s="3">
        <v>46245</v>
      </c>
      <c r="B15378" s="5" t="s">
        <v>362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362</v>
      </c>
      <c r="C15379" s="5" t="s">
        <v>66</v>
      </c>
      <c r="D15379" s="5">
        <v>1</v>
      </c>
      <c r="E15379" s="5">
        <v>116305</v>
      </c>
    </row>
    <row r="15380" spans="1:5" x14ac:dyDescent="0.35">
      <c r="A15380" s="3">
        <v>46245</v>
      </c>
      <c r="B15380" s="5" t="s">
        <v>362</v>
      </c>
      <c r="C15380" s="5" t="s">
        <v>65</v>
      </c>
      <c r="D15380" s="5">
        <v>1</v>
      </c>
      <c r="E15380" s="5">
        <v>116305</v>
      </c>
    </row>
    <row r="15381" spans="1:5" x14ac:dyDescent="0.35">
      <c r="A15381" s="3">
        <v>46245</v>
      </c>
      <c r="B15381" s="5" t="s">
        <v>244</v>
      </c>
      <c r="C15381" s="5" t="s">
        <v>39</v>
      </c>
      <c r="D15381" s="5">
        <v>1</v>
      </c>
      <c r="E15381" s="5">
        <v>118123</v>
      </c>
    </row>
    <row r="15382" spans="1:5" x14ac:dyDescent="0.35">
      <c r="A15382" s="3">
        <v>46245</v>
      </c>
      <c r="B15382" s="5" t="s">
        <v>373</v>
      </c>
      <c r="C15382" s="5" t="s">
        <v>27</v>
      </c>
      <c r="D15382" s="5">
        <v>1</v>
      </c>
      <c r="E15382" s="5">
        <v>177214</v>
      </c>
    </row>
    <row r="15383" spans="1:5" x14ac:dyDescent="0.35">
      <c r="A15383" s="3">
        <v>46245</v>
      </c>
      <c r="B15383" s="5" t="s">
        <v>362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362</v>
      </c>
      <c r="C15384" s="5" t="s">
        <v>65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362</v>
      </c>
      <c r="C15385" s="5" t="s">
        <v>67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376</v>
      </c>
      <c r="C15386" s="5" t="s">
        <v>18</v>
      </c>
      <c r="D15386" s="5">
        <v>1</v>
      </c>
      <c r="E15386" s="5">
        <v>129941</v>
      </c>
    </row>
    <row r="15387" spans="1:5" x14ac:dyDescent="0.35">
      <c r="A15387" s="3">
        <v>46245</v>
      </c>
      <c r="B15387" s="5" t="s">
        <v>362</v>
      </c>
      <c r="C15387" s="5" t="s">
        <v>66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362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362</v>
      </c>
      <c r="C15389" s="5" t="s">
        <v>66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362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362</v>
      </c>
      <c r="C15391" s="5" t="s">
        <v>65</v>
      </c>
      <c r="D15391" s="5">
        <v>1</v>
      </c>
      <c r="E15391" s="5">
        <v>116305</v>
      </c>
    </row>
    <row r="15392" spans="1:5" x14ac:dyDescent="0.35">
      <c r="A15392" s="3">
        <v>46245</v>
      </c>
      <c r="B15392" s="5" t="s">
        <v>237</v>
      </c>
      <c r="C15392" s="5" t="s">
        <v>38</v>
      </c>
      <c r="D15392" s="5">
        <v>1</v>
      </c>
      <c r="E15392" s="5">
        <v>203578</v>
      </c>
    </row>
    <row r="15393" spans="1:5" x14ac:dyDescent="0.35">
      <c r="A15393" s="3">
        <v>46245</v>
      </c>
      <c r="B15393" s="5" t="s">
        <v>362</v>
      </c>
      <c r="C15393" s="5" t="s">
        <v>66</v>
      </c>
      <c r="D15393" s="5">
        <v>1</v>
      </c>
      <c r="E15393" s="5">
        <v>116305</v>
      </c>
    </row>
    <row r="15394" spans="1:5" x14ac:dyDescent="0.35">
      <c r="A15394" s="3">
        <v>46245</v>
      </c>
      <c r="B15394" s="5" t="s">
        <v>362</v>
      </c>
      <c r="C15394" s="5" t="s">
        <v>65</v>
      </c>
      <c r="D15394" s="5">
        <v>1</v>
      </c>
      <c r="E15394" s="5">
        <v>116305</v>
      </c>
    </row>
    <row r="15395" spans="1:5" x14ac:dyDescent="0.35">
      <c r="A15395" s="3">
        <v>46245</v>
      </c>
      <c r="B15395" s="5" t="s">
        <v>362</v>
      </c>
      <c r="C15395" s="5" t="s">
        <v>66</v>
      </c>
      <c r="D15395" s="5">
        <v>1</v>
      </c>
      <c r="E15395" s="5">
        <v>116305</v>
      </c>
    </row>
    <row r="15396" spans="1:5" x14ac:dyDescent="0.35">
      <c r="A15396" s="3">
        <v>46245</v>
      </c>
      <c r="B15396" s="5" t="s">
        <v>362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362</v>
      </c>
      <c r="C15397" s="5" t="s">
        <v>67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237</v>
      </c>
      <c r="C15398" s="5" t="s">
        <v>38</v>
      </c>
      <c r="D15398" s="5">
        <v>1</v>
      </c>
      <c r="E15398" s="5">
        <v>203578</v>
      </c>
    </row>
    <row r="15399" spans="1:5" x14ac:dyDescent="0.35">
      <c r="A15399" s="3">
        <v>46245</v>
      </c>
      <c r="B15399" s="5" t="s">
        <v>237</v>
      </c>
      <c r="C15399" s="5" t="s">
        <v>38</v>
      </c>
      <c r="D15399" s="5">
        <v>1</v>
      </c>
      <c r="E15399" s="5">
        <v>203578</v>
      </c>
    </row>
    <row r="15400" spans="1:5" x14ac:dyDescent="0.35">
      <c r="A15400" s="3">
        <v>46245</v>
      </c>
      <c r="B15400" s="5" t="s">
        <v>362</v>
      </c>
      <c r="C15400" s="5" t="s">
        <v>66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362</v>
      </c>
      <c r="C15401" s="5" t="s">
        <v>65</v>
      </c>
      <c r="D15401" s="5">
        <v>1</v>
      </c>
      <c r="E15401" s="5">
        <v>116305</v>
      </c>
    </row>
    <row r="15402" spans="1:5" x14ac:dyDescent="0.35">
      <c r="A15402" s="3">
        <v>46245</v>
      </c>
      <c r="B15402" s="5" t="s">
        <v>362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362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362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237</v>
      </c>
      <c r="C15405" s="5" t="s">
        <v>38</v>
      </c>
      <c r="D15405" s="5">
        <v>1</v>
      </c>
      <c r="E15405" s="5">
        <v>203578</v>
      </c>
    </row>
    <row r="15406" spans="1:5" x14ac:dyDescent="0.35">
      <c r="A15406" s="3">
        <v>46245</v>
      </c>
      <c r="B15406" s="5" t="s">
        <v>362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237</v>
      </c>
      <c r="C15407" s="5" t="s">
        <v>38</v>
      </c>
      <c r="D15407" s="5">
        <v>1</v>
      </c>
      <c r="E15407" s="5">
        <v>203578</v>
      </c>
    </row>
    <row r="15408" spans="1:5" x14ac:dyDescent="0.35">
      <c r="A15408" s="3">
        <v>46245</v>
      </c>
      <c r="B15408" s="5" t="s">
        <v>362</v>
      </c>
      <c r="C15408" s="5" t="s">
        <v>65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244</v>
      </c>
      <c r="C15409" s="5" t="s">
        <v>38</v>
      </c>
      <c r="D15409" s="5">
        <v>1</v>
      </c>
      <c r="E15409" s="5">
        <v>236305</v>
      </c>
    </row>
    <row r="15410" spans="1:5" x14ac:dyDescent="0.35">
      <c r="A15410" s="3">
        <v>46245</v>
      </c>
      <c r="B15410" s="5" t="s">
        <v>362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362</v>
      </c>
      <c r="C15411" s="5" t="s">
        <v>66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362</v>
      </c>
      <c r="C15412" s="5" t="s">
        <v>65</v>
      </c>
      <c r="D15412" s="5">
        <v>1</v>
      </c>
      <c r="E15412" s="5">
        <v>116305</v>
      </c>
    </row>
    <row r="15413" spans="1:5" x14ac:dyDescent="0.35">
      <c r="A15413" s="3">
        <v>46245</v>
      </c>
      <c r="B15413" s="5" t="s">
        <v>362</v>
      </c>
      <c r="C15413" s="5" t="s">
        <v>66</v>
      </c>
      <c r="D15413" s="5">
        <v>1</v>
      </c>
      <c r="E15413" s="5">
        <v>116305</v>
      </c>
    </row>
    <row r="15414" spans="1:5" x14ac:dyDescent="0.35">
      <c r="A15414" s="3">
        <v>46245</v>
      </c>
      <c r="B15414" s="5" t="s">
        <v>362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362</v>
      </c>
      <c r="C15415" s="5" t="s">
        <v>67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121</v>
      </c>
      <c r="C15416" s="5" t="s">
        <v>42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237</v>
      </c>
      <c r="C15417" s="5" t="s">
        <v>38</v>
      </c>
      <c r="D15417" s="5">
        <v>1</v>
      </c>
      <c r="E15417" s="5">
        <v>203578</v>
      </c>
    </row>
    <row r="15418" spans="1:5" x14ac:dyDescent="0.35">
      <c r="A15418" s="3">
        <v>46245</v>
      </c>
      <c r="B15418" s="5" t="s">
        <v>362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362</v>
      </c>
      <c r="C15419" s="5" t="s">
        <v>65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362</v>
      </c>
      <c r="C15420" s="5" t="s">
        <v>65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362</v>
      </c>
      <c r="C15421" s="5" t="s">
        <v>65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352</v>
      </c>
      <c r="C15422" s="5" t="s">
        <v>66</v>
      </c>
      <c r="D15422" s="5">
        <v>1</v>
      </c>
      <c r="E15422" s="5">
        <v>116305</v>
      </c>
    </row>
    <row r="15423" spans="1:5" x14ac:dyDescent="0.35">
      <c r="A15423" s="3">
        <v>46245</v>
      </c>
      <c r="B15423" s="5" t="s">
        <v>362</v>
      </c>
      <c r="C15423" s="5" t="s">
        <v>66</v>
      </c>
      <c r="D15423" s="5">
        <v>1</v>
      </c>
      <c r="E15423" s="5">
        <v>116305</v>
      </c>
    </row>
    <row r="15424" spans="1:5" x14ac:dyDescent="0.35">
      <c r="A15424" s="3">
        <v>46245</v>
      </c>
      <c r="B15424" s="5" t="s">
        <v>237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362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362</v>
      </c>
      <c r="C15426" s="5" t="s">
        <v>66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362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376</v>
      </c>
      <c r="C15428" s="5" t="s">
        <v>42</v>
      </c>
      <c r="D15428" s="5">
        <v>1</v>
      </c>
      <c r="E15428" s="5">
        <v>206759</v>
      </c>
    </row>
    <row r="15429" spans="1:5" x14ac:dyDescent="0.35">
      <c r="A15429" s="3">
        <v>46245</v>
      </c>
      <c r="B15429" s="5" t="s">
        <v>237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237</v>
      </c>
      <c r="C15430" s="5" t="s">
        <v>38</v>
      </c>
      <c r="D15430" s="5">
        <v>1</v>
      </c>
      <c r="E15430" s="5">
        <v>203578</v>
      </c>
    </row>
    <row r="15431" spans="1:5" x14ac:dyDescent="0.35">
      <c r="A15431" s="3">
        <v>46245</v>
      </c>
      <c r="B15431" s="5" t="s">
        <v>362</v>
      </c>
      <c r="C15431" s="5" t="s">
        <v>65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237</v>
      </c>
      <c r="C15432" s="5" t="s">
        <v>38</v>
      </c>
      <c r="D15432" s="5">
        <v>1</v>
      </c>
      <c r="E15432" s="5">
        <v>203578</v>
      </c>
    </row>
    <row r="15433" spans="1:5" x14ac:dyDescent="0.35">
      <c r="A15433" s="3">
        <v>46245</v>
      </c>
      <c r="B15433" s="5" t="s">
        <v>237</v>
      </c>
      <c r="C15433" s="5" t="s">
        <v>38</v>
      </c>
      <c r="D15433" s="5">
        <v>1</v>
      </c>
      <c r="E15433" s="5">
        <v>203578</v>
      </c>
    </row>
    <row r="15434" spans="1:5" x14ac:dyDescent="0.35">
      <c r="A15434" s="3">
        <v>46245</v>
      </c>
      <c r="B15434" s="5" t="s">
        <v>362</v>
      </c>
      <c r="C15434" s="5" t="s">
        <v>66</v>
      </c>
      <c r="D15434" s="5">
        <v>1</v>
      </c>
      <c r="E15434" s="5">
        <v>116305</v>
      </c>
    </row>
    <row r="15435" spans="1:5" x14ac:dyDescent="0.35">
      <c r="A15435" s="3">
        <v>46245</v>
      </c>
      <c r="B15435" s="5" t="s">
        <v>376</v>
      </c>
      <c r="C15435" s="5" t="s">
        <v>18</v>
      </c>
      <c r="D15435" s="5">
        <v>1</v>
      </c>
      <c r="E15435" s="5">
        <v>129941</v>
      </c>
    </row>
    <row r="15436" spans="1:5" x14ac:dyDescent="0.35">
      <c r="A15436" s="3">
        <v>46245</v>
      </c>
      <c r="B15436" s="5" t="s">
        <v>237</v>
      </c>
      <c r="C15436" s="5" t="s">
        <v>38</v>
      </c>
      <c r="D15436" s="5">
        <v>1</v>
      </c>
      <c r="E15436" s="5">
        <v>203578</v>
      </c>
    </row>
    <row r="15437" spans="1:5" x14ac:dyDescent="0.35">
      <c r="A15437" s="3">
        <v>46245</v>
      </c>
      <c r="B15437" s="5" t="s">
        <v>362</v>
      </c>
      <c r="C15437" s="5" t="s">
        <v>66</v>
      </c>
      <c r="D15437" s="5">
        <v>1</v>
      </c>
      <c r="E15437" s="5">
        <v>116305</v>
      </c>
    </row>
    <row r="15438" spans="1:5" x14ac:dyDescent="0.35">
      <c r="A15438" s="3">
        <v>46245</v>
      </c>
      <c r="B15438" s="5" t="s">
        <v>362</v>
      </c>
      <c r="C15438" s="5" t="s">
        <v>66</v>
      </c>
      <c r="D15438" s="5">
        <v>1</v>
      </c>
      <c r="E15438" s="5">
        <v>116305</v>
      </c>
    </row>
    <row r="15439" spans="1:5" x14ac:dyDescent="0.35">
      <c r="A15439" s="3">
        <v>46245</v>
      </c>
      <c r="B15439" s="5" t="s">
        <v>362</v>
      </c>
      <c r="C15439" s="5" t="s">
        <v>67</v>
      </c>
      <c r="D15439" s="5">
        <v>1</v>
      </c>
      <c r="E15439" s="5">
        <v>116305</v>
      </c>
    </row>
    <row r="15440" spans="1:5" x14ac:dyDescent="0.35">
      <c r="A15440" s="3">
        <v>46245</v>
      </c>
      <c r="B15440" s="5" t="s">
        <v>362</v>
      </c>
      <c r="C15440" s="5" t="s">
        <v>66</v>
      </c>
      <c r="D15440" s="5">
        <v>1</v>
      </c>
      <c r="E15440" s="5">
        <v>116305</v>
      </c>
    </row>
    <row r="15441" spans="1:5" x14ac:dyDescent="0.35">
      <c r="A15441" s="3">
        <v>46245</v>
      </c>
      <c r="B15441" s="5" t="s">
        <v>373</v>
      </c>
      <c r="C15441" s="5" t="s">
        <v>18</v>
      </c>
      <c r="D15441" s="5">
        <v>1</v>
      </c>
      <c r="E15441" s="5">
        <v>129941</v>
      </c>
    </row>
    <row r="15442" spans="1:5" x14ac:dyDescent="0.35">
      <c r="A15442" s="3">
        <v>46245</v>
      </c>
      <c r="B15442" s="5" t="s">
        <v>237</v>
      </c>
      <c r="C15442" s="5" t="s">
        <v>38</v>
      </c>
      <c r="D15442" s="5">
        <v>1</v>
      </c>
      <c r="E15442" s="5">
        <v>203578</v>
      </c>
    </row>
    <row r="15443" spans="1:5" x14ac:dyDescent="0.35">
      <c r="A15443" s="3">
        <v>46245</v>
      </c>
      <c r="B15443" s="5" t="s">
        <v>362</v>
      </c>
      <c r="C15443" s="5" t="s">
        <v>66</v>
      </c>
      <c r="D15443" s="5">
        <v>1</v>
      </c>
      <c r="E15443" s="5">
        <v>116305</v>
      </c>
    </row>
    <row r="15444" spans="1:5" x14ac:dyDescent="0.35">
      <c r="A15444" s="3">
        <v>46245</v>
      </c>
      <c r="B15444" s="5" t="s">
        <v>362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46245</v>
      </c>
      <c r="B15445" s="5" t="s">
        <v>237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46245</v>
      </c>
      <c r="B15446" s="5" t="s">
        <v>362</v>
      </c>
      <c r="C15446" s="5" t="s">
        <v>65</v>
      </c>
      <c r="D15446" s="5">
        <v>1</v>
      </c>
      <c r="E15446" s="5">
        <v>116305</v>
      </c>
    </row>
    <row r="15447" spans="1:5" x14ac:dyDescent="0.35">
      <c r="A15447" s="3">
        <v>46245</v>
      </c>
      <c r="B15447" s="5" t="s">
        <v>362</v>
      </c>
      <c r="C15447" s="5" t="s">
        <v>67</v>
      </c>
      <c r="D15447" s="5">
        <v>1</v>
      </c>
      <c r="E15447" s="5">
        <v>116305</v>
      </c>
    </row>
    <row r="15448" spans="1:5" x14ac:dyDescent="0.35">
      <c r="A15448" s="3">
        <v>46245</v>
      </c>
      <c r="B15448" s="5" t="s">
        <v>362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46245</v>
      </c>
      <c r="B15449" s="5" t="s">
        <v>362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46245</v>
      </c>
      <c r="B15450" s="5" t="s">
        <v>362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46245</v>
      </c>
      <c r="B15451" s="5" t="s">
        <v>362</v>
      </c>
      <c r="C15451" s="5" t="s">
        <v>66</v>
      </c>
      <c r="D15451" s="5">
        <v>1</v>
      </c>
      <c r="E15451" s="5">
        <v>116305</v>
      </c>
    </row>
    <row r="15452" spans="1:5" x14ac:dyDescent="0.35">
      <c r="A15452" s="3">
        <v>46245</v>
      </c>
      <c r="B15452" s="5" t="s">
        <v>362</v>
      </c>
      <c r="C15452" s="5" t="s">
        <v>66</v>
      </c>
      <c r="D15452" s="5">
        <v>1</v>
      </c>
      <c r="E15452" s="5">
        <v>116305</v>
      </c>
    </row>
    <row r="15453" spans="1:5" x14ac:dyDescent="0.35">
      <c r="A15453" s="3">
        <v>46245</v>
      </c>
      <c r="B15453" s="5" t="s">
        <v>362</v>
      </c>
      <c r="C15453" s="5" t="s">
        <v>66</v>
      </c>
      <c r="D15453" s="5">
        <v>1</v>
      </c>
      <c r="E15453" s="5">
        <v>116305</v>
      </c>
    </row>
    <row r="15454" spans="1:5" x14ac:dyDescent="0.35">
      <c r="A15454" s="3">
        <v>46245</v>
      </c>
      <c r="B15454" s="5" t="s">
        <v>362</v>
      </c>
      <c r="C15454" s="5" t="s">
        <v>66</v>
      </c>
      <c r="D15454" s="5">
        <v>1</v>
      </c>
      <c r="E15454" s="5">
        <v>116305</v>
      </c>
    </row>
    <row r="15455" spans="1:5" x14ac:dyDescent="0.35">
      <c r="A15455" s="3">
        <v>46245</v>
      </c>
      <c r="B15455" s="5" t="s">
        <v>362</v>
      </c>
      <c r="C15455" s="5" t="s">
        <v>66</v>
      </c>
      <c r="D15455" s="5">
        <v>1</v>
      </c>
      <c r="E15455" s="5">
        <v>116305</v>
      </c>
    </row>
    <row r="15456" spans="1:5" x14ac:dyDescent="0.35">
      <c r="A15456" s="3">
        <v>46245</v>
      </c>
      <c r="B15456" s="5" t="s">
        <v>362</v>
      </c>
      <c r="C15456" s="5" t="s">
        <v>66</v>
      </c>
      <c r="D15456" s="5">
        <v>1</v>
      </c>
      <c r="E15456" s="5">
        <v>116305</v>
      </c>
    </row>
    <row r="15457" spans="1:5" x14ac:dyDescent="0.35">
      <c r="A15457" s="3">
        <v>46245</v>
      </c>
      <c r="B15457" s="5" t="s">
        <v>362</v>
      </c>
      <c r="C15457" s="5" t="s">
        <v>66</v>
      </c>
      <c r="D15457" s="5">
        <v>1</v>
      </c>
      <c r="E15457" s="5">
        <v>116305</v>
      </c>
    </row>
    <row r="15458" spans="1:5" x14ac:dyDescent="0.35">
      <c r="A15458" s="3">
        <v>46245</v>
      </c>
      <c r="B15458" s="5" t="s">
        <v>362</v>
      </c>
      <c r="C15458" s="5" t="s">
        <v>66</v>
      </c>
      <c r="D15458" s="5">
        <v>1</v>
      </c>
      <c r="E15458" s="5">
        <v>116305</v>
      </c>
    </row>
    <row r="15459" spans="1:5" x14ac:dyDescent="0.35">
      <c r="A15459" s="3">
        <v>46245</v>
      </c>
      <c r="B15459" s="5" t="s">
        <v>362</v>
      </c>
      <c r="C15459" s="5" t="s">
        <v>67</v>
      </c>
      <c r="D15459" s="5">
        <v>1</v>
      </c>
      <c r="E15459" s="5">
        <v>116305</v>
      </c>
    </row>
    <row r="15460" spans="1:5" x14ac:dyDescent="0.35">
      <c r="A15460" s="3">
        <v>46245</v>
      </c>
      <c r="B15460" s="5" t="s">
        <v>362</v>
      </c>
      <c r="C15460" s="5" t="s">
        <v>67</v>
      </c>
      <c r="D15460" s="5">
        <v>1</v>
      </c>
      <c r="E15460" s="5">
        <v>116305</v>
      </c>
    </row>
    <row r="15461" spans="1:5" x14ac:dyDescent="0.35">
      <c r="A15461" s="3">
        <v>46245</v>
      </c>
      <c r="B15461" s="5" t="s">
        <v>237</v>
      </c>
      <c r="C15461" s="5" t="s">
        <v>38</v>
      </c>
      <c r="D15461" s="5">
        <v>1</v>
      </c>
      <c r="E15461" s="5">
        <v>203578</v>
      </c>
    </row>
    <row r="15462" spans="1:5" x14ac:dyDescent="0.35">
      <c r="A15462" s="3">
        <v>46245</v>
      </c>
      <c r="B15462" s="5" t="s">
        <v>362</v>
      </c>
      <c r="C15462" s="5" t="s">
        <v>66</v>
      </c>
      <c r="D15462" s="5">
        <v>1</v>
      </c>
      <c r="E15462" s="5">
        <v>116305</v>
      </c>
    </row>
    <row r="15463" spans="1:5" x14ac:dyDescent="0.35">
      <c r="A15463" s="3">
        <v>46245</v>
      </c>
      <c r="B15463" s="5" t="s">
        <v>362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46245</v>
      </c>
      <c r="B15464" s="5" t="s">
        <v>362</v>
      </c>
      <c r="C15464" s="5" t="s">
        <v>66</v>
      </c>
      <c r="D15464" s="5">
        <v>1</v>
      </c>
      <c r="E15464" s="5">
        <v>116305</v>
      </c>
    </row>
    <row r="15465" spans="1:5" x14ac:dyDescent="0.35">
      <c r="A15465" s="3">
        <v>46245</v>
      </c>
      <c r="B15465" s="5" t="s">
        <v>362</v>
      </c>
      <c r="C15465" s="5" t="s">
        <v>66</v>
      </c>
      <c r="D15465" s="5">
        <v>1</v>
      </c>
      <c r="E15465" s="5">
        <v>116305</v>
      </c>
    </row>
    <row r="15466" spans="1:5" x14ac:dyDescent="0.35">
      <c r="A15466" s="3">
        <v>46245</v>
      </c>
      <c r="B15466" s="5" t="s">
        <v>362</v>
      </c>
      <c r="C15466" s="5" t="s">
        <v>65</v>
      </c>
      <c r="D15466" s="5">
        <v>1</v>
      </c>
      <c r="E15466" s="5">
        <v>116305</v>
      </c>
    </row>
    <row r="15467" spans="1:5" x14ac:dyDescent="0.35">
      <c r="A15467" s="3">
        <v>46245</v>
      </c>
      <c r="B15467" s="5" t="s">
        <v>362</v>
      </c>
      <c r="C15467" s="5" t="s">
        <v>67</v>
      </c>
      <c r="D15467" s="5">
        <v>1</v>
      </c>
      <c r="E15467" s="5">
        <v>116305</v>
      </c>
    </row>
    <row r="15468" spans="1:5" x14ac:dyDescent="0.35">
      <c r="A15468" s="3">
        <v>46245</v>
      </c>
      <c r="B15468" s="5" t="s">
        <v>362</v>
      </c>
      <c r="C15468" s="5" t="s">
        <v>67</v>
      </c>
      <c r="D15468" s="5">
        <v>1</v>
      </c>
      <c r="E15468" s="5">
        <v>116305</v>
      </c>
    </row>
    <row r="15469" spans="1:5" x14ac:dyDescent="0.35">
      <c r="A15469" s="3">
        <v>46245</v>
      </c>
      <c r="B15469" s="5" t="s">
        <v>244</v>
      </c>
      <c r="C15469" s="5" t="s">
        <v>85</v>
      </c>
      <c r="D15469" s="5">
        <v>1</v>
      </c>
      <c r="E15469" s="5">
        <v>189032</v>
      </c>
    </row>
    <row r="15470" spans="1:5" x14ac:dyDescent="0.35">
      <c r="A15470" s="3">
        <v>46245</v>
      </c>
      <c r="B15470" s="5" t="s">
        <v>237</v>
      </c>
      <c r="C15470" s="5" t="s">
        <v>38</v>
      </c>
      <c r="D15470" s="5">
        <v>1</v>
      </c>
      <c r="E15470" s="5">
        <v>203578</v>
      </c>
    </row>
    <row r="15471" spans="1:5" x14ac:dyDescent="0.35">
      <c r="A15471" s="3">
        <v>46245</v>
      </c>
      <c r="B15471" s="5" t="s">
        <v>237</v>
      </c>
      <c r="C15471" s="5" t="s">
        <v>38</v>
      </c>
      <c r="D15471" s="5">
        <v>1</v>
      </c>
      <c r="E15471" s="5">
        <v>203578</v>
      </c>
    </row>
    <row r="15472" spans="1:5" x14ac:dyDescent="0.35">
      <c r="A15472" s="3">
        <v>46245</v>
      </c>
      <c r="B15472" s="5" t="s">
        <v>237</v>
      </c>
      <c r="C15472" s="5" t="s">
        <v>38</v>
      </c>
      <c r="D15472" s="5">
        <v>1</v>
      </c>
      <c r="E15472" s="5">
        <v>203578</v>
      </c>
    </row>
    <row r="15473" spans="1:5" x14ac:dyDescent="0.35">
      <c r="A15473" s="3">
        <v>46245</v>
      </c>
      <c r="B15473" s="5" t="s">
        <v>362</v>
      </c>
      <c r="C15473" s="5" t="s">
        <v>65</v>
      </c>
      <c r="D15473" s="5">
        <v>1</v>
      </c>
      <c r="E15473" s="5">
        <v>116305</v>
      </c>
    </row>
    <row r="15474" spans="1:5" x14ac:dyDescent="0.35">
      <c r="A15474" s="3">
        <v>46245</v>
      </c>
      <c r="B15474" s="5" t="s">
        <v>362</v>
      </c>
      <c r="C15474" s="5" t="s">
        <v>65</v>
      </c>
      <c r="D15474" s="5">
        <v>1</v>
      </c>
      <c r="E15474" s="5">
        <v>116305</v>
      </c>
    </row>
    <row r="15475" spans="1:5" x14ac:dyDescent="0.35">
      <c r="A15475" s="3">
        <v>46245</v>
      </c>
      <c r="B15475" s="5" t="s">
        <v>362</v>
      </c>
      <c r="C15475" s="5" t="s">
        <v>67</v>
      </c>
      <c r="D15475" s="5">
        <v>1</v>
      </c>
      <c r="E15475" s="5">
        <v>116305</v>
      </c>
    </row>
    <row r="15476" spans="1:5" x14ac:dyDescent="0.35">
      <c r="A15476" s="3">
        <v>46245</v>
      </c>
      <c r="B15476" s="5" t="s">
        <v>237</v>
      </c>
      <c r="C15476" s="5" t="s">
        <v>38</v>
      </c>
      <c r="D15476" s="5">
        <v>1</v>
      </c>
      <c r="E15476" s="5">
        <v>203578</v>
      </c>
    </row>
    <row r="15477" spans="1:5" x14ac:dyDescent="0.35">
      <c r="A15477" s="3">
        <v>46245</v>
      </c>
      <c r="B15477" s="5" t="s">
        <v>362</v>
      </c>
      <c r="C15477" s="5" t="s">
        <v>66</v>
      </c>
      <c r="D15477" s="5">
        <v>1</v>
      </c>
      <c r="E15477" s="5">
        <v>116305</v>
      </c>
    </row>
    <row r="15478" spans="1:5" x14ac:dyDescent="0.35">
      <c r="A15478" s="3">
        <v>46245</v>
      </c>
      <c r="B15478" s="5" t="s">
        <v>362</v>
      </c>
      <c r="C15478" s="5" t="s">
        <v>65</v>
      </c>
      <c r="D15478" s="5">
        <v>1</v>
      </c>
      <c r="E15478" s="5">
        <v>116305</v>
      </c>
    </row>
    <row r="15479" spans="1:5" x14ac:dyDescent="0.35">
      <c r="A15479" s="3">
        <v>46245</v>
      </c>
      <c r="B15479" s="5" t="s">
        <v>121</v>
      </c>
      <c r="C15479" s="5" t="s">
        <v>42</v>
      </c>
      <c r="D15479" s="5">
        <v>1</v>
      </c>
      <c r="E15479" s="5">
        <v>203578</v>
      </c>
    </row>
    <row r="15480" spans="1:5" x14ac:dyDescent="0.35">
      <c r="A15480" s="3">
        <v>46245</v>
      </c>
      <c r="B15480" s="5" t="s">
        <v>121</v>
      </c>
      <c r="C15480" s="5" t="s">
        <v>42</v>
      </c>
      <c r="D15480" s="5">
        <v>1</v>
      </c>
      <c r="E15480" s="5">
        <v>203578</v>
      </c>
    </row>
    <row r="15481" spans="1:5" x14ac:dyDescent="0.35">
      <c r="A15481" s="3">
        <v>46245</v>
      </c>
      <c r="B15481" s="5" t="s">
        <v>362</v>
      </c>
      <c r="C15481" s="5" t="s">
        <v>66</v>
      </c>
      <c r="D15481" s="5">
        <v>1</v>
      </c>
      <c r="E15481" s="5">
        <v>116305</v>
      </c>
    </row>
    <row r="15482" spans="1:5" x14ac:dyDescent="0.35">
      <c r="A15482" s="3">
        <v>46245</v>
      </c>
      <c r="B15482" s="5" t="s">
        <v>362</v>
      </c>
      <c r="C15482" s="5" t="s">
        <v>67</v>
      </c>
      <c r="D15482" s="5">
        <v>1</v>
      </c>
      <c r="E15482" s="5">
        <v>116305</v>
      </c>
    </row>
    <row r="15483" spans="1:5" x14ac:dyDescent="0.35">
      <c r="A15483" s="3">
        <v>46245</v>
      </c>
      <c r="B15483" s="5" t="s">
        <v>362</v>
      </c>
      <c r="C15483" s="5" t="s">
        <v>66</v>
      </c>
      <c r="D15483" s="5">
        <v>1</v>
      </c>
      <c r="E15483" s="5">
        <v>116305</v>
      </c>
    </row>
    <row r="15484" spans="1:5" x14ac:dyDescent="0.35">
      <c r="A15484" s="3">
        <v>46245</v>
      </c>
      <c r="B15484" s="5" t="s">
        <v>362</v>
      </c>
      <c r="C15484" s="5" t="s">
        <v>65</v>
      </c>
      <c r="D15484" s="5">
        <v>1</v>
      </c>
      <c r="E15484" s="5">
        <v>116305</v>
      </c>
    </row>
    <row r="15485" spans="1:5" x14ac:dyDescent="0.35">
      <c r="A15485" s="3">
        <v>46245</v>
      </c>
      <c r="B15485" s="5" t="s">
        <v>244</v>
      </c>
      <c r="C15485" s="5" t="s">
        <v>39</v>
      </c>
      <c r="D15485" s="5">
        <v>1</v>
      </c>
      <c r="E15485" s="5">
        <v>118123</v>
      </c>
    </row>
    <row r="15486" spans="1:5" x14ac:dyDescent="0.35">
      <c r="A15486" s="3">
        <v>46245</v>
      </c>
      <c r="B15486" s="5" t="s">
        <v>362</v>
      </c>
      <c r="C15486" s="5" t="s">
        <v>66</v>
      </c>
      <c r="D15486" s="5">
        <v>1</v>
      </c>
      <c r="E15486" s="5">
        <v>116305</v>
      </c>
    </row>
    <row r="15487" spans="1:5" x14ac:dyDescent="0.35">
      <c r="A15487" s="3">
        <v>46245</v>
      </c>
      <c r="B15487" s="5" t="s">
        <v>376</v>
      </c>
      <c r="C15487" s="5" t="s">
        <v>18</v>
      </c>
      <c r="D15487" s="5">
        <v>1</v>
      </c>
      <c r="E15487" s="5">
        <v>129941</v>
      </c>
    </row>
    <row r="15488" spans="1:5" x14ac:dyDescent="0.35">
      <c r="A15488" s="3">
        <v>46245</v>
      </c>
      <c r="B15488" s="5" t="s">
        <v>121</v>
      </c>
      <c r="C15488" s="5" t="s">
        <v>33</v>
      </c>
      <c r="D15488" s="5">
        <v>1</v>
      </c>
      <c r="E15488" s="5">
        <v>203578</v>
      </c>
    </row>
    <row r="15489" spans="1:5" x14ac:dyDescent="0.35">
      <c r="A15489" s="3">
        <v>46245</v>
      </c>
      <c r="B15489" s="5" t="s">
        <v>237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46245</v>
      </c>
      <c r="B15490" s="5" t="s">
        <v>362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46245</v>
      </c>
      <c r="B15491" s="5" t="s">
        <v>373</v>
      </c>
      <c r="C15491" s="5" t="s">
        <v>18</v>
      </c>
      <c r="D15491" s="5">
        <v>1</v>
      </c>
      <c r="E15491" s="5">
        <v>129941</v>
      </c>
    </row>
    <row r="15492" spans="1:5" x14ac:dyDescent="0.35">
      <c r="A15492" s="3">
        <v>46245</v>
      </c>
      <c r="B15492" s="5" t="s">
        <v>373</v>
      </c>
      <c r="C15492" s="5" t="s">
        <v>27</v>
      </c>
      <c r="D15492" s="5">
        <v>1</v>
      </c>
      <c r="E15492" s="5">
        <v>177214</v>
      </c>
    </row>
    <row r="15493" spans="1:5" x14ac:dyDescent="0.35">
      <c r="A15493" s="3">
        <v>46245</v>
      </c>
      <c r="B15493" s="5" t="s">
        <v>237</v>
      </c>
      <c r="C15493" s="5" t="s">
        <v>38</v>
      </c>
      <c r="D15493" s="5">
        <v>1</v>
      </c>
      <c r="E15493" s="5">
        <v>203578</v>
      </c>
    </row>
    <row r="15494" spans="1:5" x14ac:dyDescent="0.35">
      <c r="A15494" s="3">
        <v>46245</v>
      </c>
      <c r="B15494" s="5" t="s">
        <v>237</v>
      </c>
      <c r="C15494" s="5" t="s">
        <v>38</v>
      </c>
      <c r="D15494" s="5">
        <v>1</v>
      </c>
      <c r="E15494" s="5">
        <v>203578</v>
      </c>
    </row>
    <row r="15495" spans="1:5" x14ac:dyDescent="0.35">
      <c r="A15495" s="3">
        <v>46245</v>
      </c>
      <c r="B15495" s="5" t="s">
        <v>362</v>
      </c>
      <c r="C15495" s="5" t="s">
        <v>66</v>
      </c>
      <c r="D15495" s="5">
        <v>1</v>
      </c>
      <c r="E15495" s="5">
        <v>116305</v>
      </c>
    </row>
    <row r="15496" spans="1:5" x14ac:dyDescent="0.35">
      <c r="A15496" s="3">
        <v>46245</v>
      </c>
      <c r="B15496" s="5" t="s">
        <v>362</v>
      </c>
      <c r="C15496" s="5" t="s">
        <v>65</v>
      </c>
      <c r="D15496" s="5">
        <v>1</v>
      </c>
      <c r="E15496" s="5">
        <v>116305</v>
      </c>
    </row>
    <row r="15497" spans="1:5" x14ac:dyDescent="0.35">
      <c r="A15497" s="3">
        <v>46245</v>
      </c>
      <c r="B15497" s="5" t="s">
        <v>362</v>
      </c>
      <c r="C15497" s="5" t="s">
        <v>67</v>
      </c>
      <c r="D15497" s="5">
        <v>1</v>
      </c>
      <c r="E15497" s="5">
        <v>116305</v>
      </c>
    </row>
    <row r="15498" spans="1:5" x14ac:dyDescent="0.35">
      <c r="A15498" s="3">
        <v>46245</v>
      </c>
      <c r="B15498" s="5" t="s">
        <v>362</v>
      </c>
      <c r="C15498" s="5" t="s">
        <v>65</v>
      </c>
      <c r="D15498" s="5">
        <v>1</v>
      </c>
      <c r="E15498" s="5">
        <v>116305</v>
      </c>
    </row>
    <row r="15499" spans="1:5" x14ac:dyDescent="0.35">
      <c r="A15499" s="3">
        <v>46245</v>
      </c>
      <c r="B15499" s="5" t="s">
        <v>362</v>
      </c>
      <c r="C15499" s="5" t="s">
        <v>65</v>
      </c>
      <c r="D15499" s="5">
        <v>1</v>
      </c>
      <c r="E15499" s="5">
        <v>116305</v>
      </c>
    </row>
    <row r="15500" spans="1:5" x14ac:dyDescent="0.35">
      <c r="A15500" s="3">
        <v>46245</v>
      </c>
      <c r="B15500" s="5" t="s">
        <v>362</v>
      </c>
      <c r="C15500" s="5" t="s">
        <v>65</v>
      </c>
      <c r="D15500" s="5">
        <v>1</v>
      </c>
      <c r="E15500" s="5">
        <v>116305</v>
      </c>
    </row>
    <row r="15501" spans="1:5" x14ac:dyDescent="0.35">
      <c r="A15501" s="3">
        <v>46245</v>
      </c>
      <c r="B15501" s="5" t="s">
        <v>373</v>
      </c>
      <c r="C15501" s="5" t="s">
        <v>18</v>
      </c>
      <c r="D15501" s="5">
        <v>1</v>
      </c>
      <c r="E15501" s="5">
        <v>129941</v>
      </c>
    </row>
    <row r="15502" spans="1:5" x14ac:dyDescent="0.35">
      <c r="A15502" s="3">
        <v>46245</v>
      </c>
      <c r="B15502" s="5" t="s">
        <v>362</v>
      </c>
      <c r="C15502" s="5" t="s">
        <v>65</v>
      </c>
      <c r="D15502" s="5">
        <v>1</v>
      </c>
      <c r="E15502" s="5">
        <v>116305</v>
      </c>
    </row>
    <row r="15503" spans="1:5" x14ac:dyDescent="0.35">
      <c r="A15503" s="3">
        <v>46245</v>
      </c>
      <c r="B15503" s="5" t="s">
        <v>362</v>
      </c>
      <c r="C15503" s="5" t="s">
        <v>66</v>
      </c>
      <c r="D15503" s="5">
        <v>1</v>
      </c>
      <c r="E15503" s="5">
        <v>116305</v>
      </c>
    </row>
    <row r="15504" spans="1:5" x14ac:dyDescent="0.35">
      <c r="A15504" s="3">
        <v>46245</v>
      </c>
      <c r="B15504" s="5" t="s">
        <v>362</v>
      </c>
      <c r="C15504" s="5" t="s">
        <v>65</v>
      </c>
      <c r="D15504" s="5">
        <v>1</v>
      </c>
      <c r="E15504" s="5">
        <v>116305</v>
      </c>
    </row>
    <row r="15505" spans="1:5" x14ac:dyDescent="0.35">
      <c r="A15505" s="3">
        <v>46245</v>
      </c>
      <c r="B15505" s="5" t="s">
        <v>362</v>
      </c>
      <c r="C15505" s="5" t="s">
        <v>66</v>
      </c>
      <c r="D15505" s="5">
        <v>1</v>
      </c>
      <c r="E15505" s="5">
        <v>116305</v>
      </c>
    </row>
    <row r="15506" spans="1:5" x14ac:dyDescent="0.35">
      <c r="A15506" s="3">
        <v>46245</v>
      </c>
      <c r="B15506" s="5" t="s">
        <v>362</v>
      </c>
      <c r="C15506" s="5" t="s">
        <v>66</v>
      </c>
      <c r="D15506" s="5">
        <v>1</v>
      </c>
      <c r="E15506" s="5">
        <v>116305</v>
      </c>
    </row>
    <row r="15507" spans="1:5" x14ac:dyDescent="0.35">
      <c r="A15507" s="3">
        <v>46245</v>
      </c>
      <c r="B15507" s="5" t="s">
        <v>362</v>
      </c>
      <c r="C15507" s="5" t="s">
        <v>65</v>
      </c>
      <c r="D15507" s="5">
        <v>1</v>
      </c>
      <c r="E15507" s="5">
        <v>116305</v>
      </c>
    </row>
    <row r="15508" spans="1:5" x14ac:dyDescent="0.35">
      <c r="A15508" s="3">
        <v>46245</v>
      </c>
      <c r="B15508" s="5" t="s">
        <v>362</v>
      </c>
      <c r="C15508" s="5" t="s">
        <v>67</v>
      </c>
      <c r="D15508" s="5">
        <v>1</v>
      </c>
      <c r="E15508" s="5">
        <v>116305</v>
      </c>
    </row>
    <row r="15509" spans="1:5" x14ac:dyDescent="0.35">
      <c r="A15509" s="3">
        <v>46245</v>
      </c>
      <c r="B15509" s="5" t="s">
        <v>362</v>
      </c>
      <c r="C15509" s="5" t="s">
        <v>66</v>
      </c>
      <c r="D15509" s="5">
        <v>1</v>
      </c>
      <c r="E15509" s="5">
        <v>116305</v>
      </c>
    </row>
    <row r="15510" spans="1:5" x14ac:dyDescent="0.35">
      <c r="A15510" s="3">
        <v>46245</v>
      </c>
      <c r="B15510" s="5" t="s">
        <v>362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46245</v>
      </c>
      <c r="B15511" s="5" t="s">
        <v>362</v>
      </c>
      <c r="C15511" s="5" t="s">
        <v>66</v>
      </c>
      <c r="D15511" s="5">
        <v>1</v>
      </c>
      <c r="E15511" s="5">
        <v>116305</v>
      </c>
    </row>
    <row r="15512" spans="1:5" x14ac:dyDescent="0.35">
      <c r="A15512" s="3">
        <v>46245</v>
      </c>
      <c r="B15512" s="5" t="s">
        <v>237</v>
      </c>
      <c r="C15512" s="5" t="s">
        <v>38</v>
      </c>
      <c r="D15512" s="5">
        <v>1</v>
      </c>
      <c r="E15512" s="5">
        <v>203578</v>
      </c>
    </row>
    <row r="15513" spans="1:5" x14ac:dyDescent="0.35">
      <c r="A15513" s="3">
        <v>46245</v>
      </c>
      <c r="B15513" s="5" t="s">
        <v>362</v>
      </c>
      <c r="C15513" s="5" t="s">
        <v>66</v>
      </c>
      <c r="D15513" s="5">
        <v>1</v>
      </c>
      <c r="E15513" s="5">
        <v>116305</v>
      </c>
    </row>
    <row r="15514" spans="1:5" x14ac:dyDescent="0.35">
      <c r="A15514" s="3">
        <v>46245</v>
      </c>
      <c r="B15514" s="5" t="s">
        <v>362</v>
      </c>
      <c r="C15514" s="5" t="s">
        <v>66</v>
      </c>
      <c r="D15514" s="5">
        <v>1</v>
      </c>
      <c r="E15514" s="5">
        <v>116305</v>
      </c>
    </row>
    <row r="15515" spans="1:5" x14ac:dyDescent="0.35">
      <c r="A15515" s="3">
        <v>46245</v>
      </c>
      <c r="B15515" s="5" t="s">
        <v>362</v>
      </c>
      <c r="C15515" s="5" t="s">
        <v>67</v>
      </c>
      <c r="D15515" s="5">
        <v>1</v>
      </c>
      <c r="E15515" s="5">
        <v>116305</v>
      </c>
    </row>
    <row r="15516" spans="1:5" x14ac:dyDescent="0.35">
      <c r="A15516" s="3">
        <v>46245</v>
      </c>
      <c r="B15516" s="5" t="s">
        <v>362</v>
      </c>
      <c r="C15516" s="5" t="s">
        <v>66</v>
      </c>
      <c r="D15516" s="5">
        <v>1</v>
      </c>
      <c r="E15516" s="5">
        <v>116305</v>
      </c>
    </row>
    <row r="15517" spans="1:5" x14ac:dyDescent="0.35">
      <c r="A15517" s="3">
        <v>46245</v>
      </c>
      <c r="B15517" s="5" t="s">
        <v>362</v>
      </c>
      <c r="C15517" s="5" t="s">
        <v>66</v>
      </c>
      <c r="D15517" s="5">
        <v>1</v>
      </c>
      <c r="E15517" s="5">
        <v>116305</v>
      </c>
    </row>
    <row r="15518" spans="1:5" x14ac:dyDescent="0.35">
      <c r="A15518" s="3">
        <v>46245</v>
      </c>
      <c r="B15518" s="5" t="s">
        <v>237</v>
      </c>
      <c r="C15518" s="5" t="s">
        <v>38</v>
      </c>
      <c r="D15518" s="5">
        <v>1</v>
      </c>
      <c r="E15518" s="5">
        <v>203578</v>
      </c>
    </row>
    <row r="15519" spans="1:5" x14ac:dyDescent="0.35">
      <c r="A15519" s="3">
        <v>46245</v>
      </c>
      <c r="B15519" s="5" t="s">
        <v>362</v>
      </c>
      <c r="C15519" s="5" t="s">
        <v>66</v>
      </c>
      <c r="D15519" s="5">
        <v>1</v>
      </c>
      <c r="E15519" s="5">
        <v>116305</v>
      </c>
    </row>
    <row r="15520" spans="1:5" x14ac:dyDescent="0.35">
      <c r="A15520" s="3">
        <v>46245</v>
      </c>
      <c r="B15520" s="5" t="s">
        <v>362</v>
      </c>
      <c r="C15520" s="5" t="s">
        <v>66</v>
      </c>
      <c r="D15520" s="5">
        <v>1</v>
      </c>
      <c r="E15520" s="5">
        <v>116305</v>
      </c>
    </row>
    <row r="15521" spans="1:5" x14ac:dyDescent="0.35">
      <c r="A15521" s="3">
        <v>46245</v>
      </c>
      <c r="B15521" s="5" t="s">
        <v>362</v>
      </c>
      <c r="C15521" s="5" t="s">
        <v>66</v>
      </c>
      <c r="D15521" s="5">
        <v>1</v>
      </c>
      <c r="E15521" s="5">
        <v>116305</v>
      </c>
    </row>
    <row r="15522" spans="1:5" x14ac:dyDescent="0.35">
      <c r="A15522" s="3">
        <v>46245</v>
      </c>
      <c r="B15522" s="5" t="s">
        <v>362</v>
      </c>
      <c r="C15522" s="5" t="s">
        <v>66</v>
      </c>
      <c r="D15522" s="5">
        <v>1</v>
      </c>
      <c r="E15522" s="5">
        <v>116305</v>
      </c>
    </row>
    <row r="15523" spans="1:5" x14ac:dyDescent="0.35">
      <c r="A15523" s="3">
        <v>46245</v>
      </c>
      <c r="B15523" s="5" t="s">
        <v>237</v>
      </c>
      <c r="C15523" s="5" t="s">
        <v>38</v>
      </c>
      <c r="D15523" s="5">
        <v>1</v>
      </c>
      <c r="E15523" s="5">
        <v>203578</v>
      </c>
    </row>
    <row r="15524" spans="1:5" x14ac:dyDescent="0.35">
      <c r="A15524" s="3">
        <v>46245</v>
      </c>
      <c r="B15524" s="5" t="s">
        <v>237</v>
      </c>
      <c r="C15524" s="5" t="s">
        <v>38</v>
      </c>
      <c r="D15524" s="5">
        <v>1</v>
      </c>
      <c r="E15524" s="5">
        <v>203578</v>
      </c>
    </row>
    <row r="15525" spans="1:5" x14ac:dyDescent="0.35">
      <c r="A15525" s="3">
        <v>46245</v>
      </c>
      <c r="B15525" s="5" t="s">
        <v>237</v>
      </c>
      <c r="C15525" s="5" t="s">
        <v>38</v>
      </c>
      <c r="D15525" s="5">
        <v>1</v>
      </c>
      <c r="E15525" s="5">
        <v>203578</v>
      </c>
    </row>
    <row r="15526" spans="1:5" x14ac:dyDescent="0.35">
      <c r="A15526" s="3">
        <v>46245</v>
      </c>
      <c r="B15526" s="5" t="s">
        <v>362</v>
      </c>
      <c r="C15526" s="5" t="s">
        <v>66</v>
      </c>
      <c r="D15526" s="5">
        <v>1</v>
      </c>
      <c r="E15526" s="5">
        <v>116305</v>
      </c>
    </row>
    <row r="15527" spans="1:5" x14ac:dyDescent="0.35">
      <c r="A15527" s="3">
        <v>46245</v>
      </c>
      <c r="B15527" s="5" t="s">
        <v>362</v>
      </c>
      <c r="C15527" s="5" t="s">
        <v>66</v>
      </c>
      <c r="D15527" s="5">
        <v>1</v>
      </c>
      <c r="E15527" s="5">
        <v>116305</v>
      </c>
    </row>
    <row r="15528" spans="1:5" x14ac:dyDescent="0.35">
      <c r="A15528" s="3">
        <v>46245</v>
      </c>
      <c r="B15528" s="5" t="s">
        <v>362</v>
      </c>
      <c r="C15528" s="5" t="s">
        <v>66</v>
      </c>
      <c r="D15528" s="5">
        <v>1</v>
      </c>
      <c r="E15528" s="5">
        <v>116305</v>
      </c>
    </row>
    <row r="15529" spans="1:5" x14ac:dyDescent="0.35">
      <c r="A15529" s="3">
        <v>46245</v>
      </c>
      <c r="B15529" s="5" t="s">
        <v>362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46245</v>
      </c>
      <c r="B15530" s="5" t="s">
        <v>362</v>
      </c>
      <c r="C15530" s="5" t="s">
        <v>65</v>
      </c>
      <c r="D15530" s="5">
        <v>1</v>
      </c>
      <c r="E15530" s="5">
        <v>116305</v>
      </c>
    </row>
    <row r="15531" spans="1:5" x14ac:dyDescent="0.35">
      <c r="A15531" s="3">
        <v>46245</v>
      </c>
      <c r="B15531" s="5" t="s">
        <v>362</v>
      </c>
      <c r="C15531" s="5" t="s">
        <v>65</v>
      </c>
      <c r="D15531" s="5">
        <v>1</v>
      </c>
      <c r="E15531" s="5">
        <v>116305</v>
      </c>
    </row>
    <row r="15532" spans="1:5" x14ac:dyDescent="0.35">
      <c r="A15532" s="3">
        <v>46245</v>
      </c>
      <c r="B15532" s="5" t="s">
        <v>362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46245</v>
      </c>
      <c r="B15533" s="5" t="s">
        <v>362</v>
      </c>
      <c r="C15533" s="5" t="s">
        <v>65</v>
      </c>
      <c r="D15533" s="5">
        <v>1</v>
      </c>
      <c r="E15533" s="5">
        <v>116305</v>
      </c>
    </row>
    <row r="15534" spans="1:5" x14ac:dyDescent="0.35">
      <c r="A15534" s="3">
        <v>46245</v>
      </c>
      <c r="B15534" s="5" t="s">
        <v>362</v>
      </c>
      <c r="C15534" s="5" t="s">
        <v>66</v>
      </c>
      <c r="D15534" s="5">
        <v>1</v>
      </c>
      <c r="E15534" s="5">
        <v>116305</v>
      </c>
    </row>
    <row r="15535" spans="1:5" x14ac:dyDescent="0.35">
      <c r="A15535" s="3">
        <v>46245</v>
      </c>
      <c r="B15535" s="5" t="s">
        <v>376</v>
      </c>
      <c r="C15535" s="5" t="s">
        <v>106</v>
      </c>
      <c r="D15535" s="5">
        <v>1</v>
      </c>
      <c r="E15535" s="5">
        <v>206759</v>
      </c>
    </row>
    <row r="15536" spans="1:5" x14ac:dyDescent="0.35">
      <c r="A15536" s="3">
        <v>46245</v>
      </c>
      <c r="B15536" s="5" t="s">
        <v>237</v>
      </c>
      <c r="C15536" s="5" t="s">
        <v>38</v>
      </c>
      <c r="D15536" s="5">
        <v>1</v>
      </c>
      <c r="E15536" s="5">
        <v>203578</v>
      </c>
    </row>
    <row r="15537" spans="1:5" x14ac:dyDescent="0.35">
      <c r="A15537" s="3">
        <v>46245</v>
      </c>
      <c r="B15537" s="5" t="s">
        <v>362</v>
      </c>
      <c r="C15537" s="5" t="s">
        <v>67</v>
      </c>
      <c r="D15537" s="5">
        <v>1</v>
      </c>
      <c r="E15537" s="5">
        <v>116305</v>
      </c>
    </row>
    <row r="15538" spans="1:5" x14ac:dyDescent="0.35">
      <c r="A15538" s="3">
        <v>46245</v>
      </c>
      <c r="B15538" s="5" t="s">
        <v>237</v>
      </c>
      <c r="C15538" s="5" t="s">
        <v>38</v>
      </c>
      <c r="D15538" s="5">
        <v>1</v>
      </c>
      <c r="E15538" s="5">
        <v>203578</v>
      </c>
    </row>
    <row r="15539" spans="1:5" x14ac:dyDescent="0.35">
      <c r="A15539" s="3">
        <v>46245</v>
      </c>
      <c r="B15539" s="5" t="s">
        <v>237</v>
      </c>
      <c r="C15539" s="5" t="s">
        <v>38</v>
      </c>
      <c r="D15539" s="5">
        <v>1</v>
      </c>
      <c r="E15539" s="5">
        <v>203578</v>
      </c>
    </row>
    <row r="15540" spans="1:5" x14ac:dyDescent="0.35">
      <c r="A15540" s="3">
        <v>46245</v>
      </c>
      <c r="B15540" s="5" t="s">
        <v>237</v>
      </c>
      <c r="C15540" s="5" t="s">
        <v>38</v>
      </c>
      <c r="D15540" s="5">
        <v>1</v>
      </c>
      <c r="E15540" s="5">
        <v>203578</v>
      </c>
    </row>
    <row r="15541" spans="1:5" x14ac:dyDescent="0.35">
      <c r="A15541" s="3">
        <v>46245</v>
      </c>
      <c r="B15541" s="5" t="s">
        <v>362</v>
      </c>
      <c r="C15541" s="5" t="s">
        <v>66</v>
      </c>
      <c r="D15541" s="5">
        <v>1</v>
      </c>
      <c r="E15541" s="5">
        <v>116305</v>
      </c>
    </row>
    <row r="15542" spans="1:5" x14ac:dyDescent="0.35">
      <c r="A15542" s="3">
        <v>46245</v>
      </c>
      <c r="B15542" s="5" t="s">
        <v>362</v>
      </c>
      <c r="C15542" s="5" t="s">
        <v>66</v>
      </c>
      <c r="D15542" s="5">
        <v>1</v>
      </c>
      <c r="E15542" s="5">
        <v>116305</v>
      </c>
    </row>
    <row r="15543" spans="1:5" x14ac:dyDescent="0.35">
      <c r="A15543" s="3">
        <v>46245</v>
      </c>
      <c r="B15543" s="5" t="s">
        <v>362</v>
      </c>
      <c r="C15543" s="5" t="s">
        <v>65</v>
      </c>
      <c r="D15543" s="5">
        <v>1</v>
      </c>
      <c r="E15543" s="5">
        <v>116305</v>
      </c>
    </row>
    <row r="15544" spans="1:5" x14ac:dyDescent="0.35">
      <c r="A15544" s="3">
        <v>46245</v>
      </c>
      <c r="B15544" s="5" t="s">
        <v>362</v>
      </c>
      <c r="C15544" s="5" t="s">
        <v>66</v>
      </c>
      <c r="D15544" s="5">
        <v>1</v>
      </c>
      <c r="E15544" s="5">
        <v>116305</v>
      </c>
    </row>
    <row r="15545" spans="1:5" x14ac:dyDescent="0.35">
      <c r="A15545" s="3">
        <v>46245</v>
      </c>
      <c r="B15545" s="5" t="s">
        <v>362</v>
      </c>
      <c r="C15545" s="5" t="s">
        <v>65</v>
      </c>
      <c r="D15545" s="5">
        <v>1</v>
      </c>
      <c r="E15545" s="5">
        <v>116305</v>
      </c>
    </row>
    <row r="15546" spans="1:5" x14ac:dyDescent="0.35">
      <c r="A15546" s="3">
        <v>46245</v>
      </c>
      <c r="B15546" s="5" t="s">
        <v>244</v>
      </c>
      <c r="C15546" s="5" t="s">
        <v>36</v>
      </c>
      <c r="D15546" s="5">
        <v>1</v>
      </c>
      <c r="E15546" s="5">
        <v>236305</v>
      </c>
    </row>
    <row r="15547" spans="1:5" x14ac:dyDescent="0.35">
      <c r="A15547" s="3">
        <v>46245</v>
      </c>
      <c r="B15547" s="5" t="s">
        <v>362</v>
      </c>
      <c r="C15547" s="5" t="s">
        <v>66</v>
      </c>
      <c r="D15547" s="5">
        <v>1</v>
      </c>
      <c r="E15547" s="5">
        <v>116305</v>
      </c>
    </row>
    <row r="15548" spans="1:5" x14ac:dyDescent="0.35">
      <c r="A15548" s="3">
        <v>46245</v>
      </c>
      <c r="B15548" s="5" t="s">
        <v>362</v>
      </c>
      <c r="C15548" s="5" t="s">
        <v>66</v>
      </c>
      <c r="D15548" s="5">
        <v>1</v>
      </c>
      <c r="E15548" s="5">
        <v>116305</v>
      </c>
    </row>
    <row r="15549" spans="1:5" x14ac:dyDescent="0.35">
      <c r="A15549" s="3">
        <v>46245</v>
      </c>
      <c r="B15549" s="5" t="s">
        <v>362</v>
      </c>
      <c r="C15549" s="5" t="s">
        <v>65</v>
      </c>
      <c r="D15549" s="5">
        <v>1</v>
      </c>
      <c r="E15549" s="5">
        <v>116305</v>
      </c>
    </row>
    <row r="15550" spans="1:5" x14ac:dyDescent="0.35">
      <c r="A15550" s="3">
        <v>46245</v>
      </c>
      <c r="B15550" s="5" t="s">
        <v>362</v>
      </c>
      <c r="C15550" s="5" t="s">
        <v>66</v>
      </c>
      <c r="D15550" s="5">
        <v>1</v>
      </c>
      <c r="E15550" s="5">
        <v>116305</v>
      </c>
    </row>
    <row r="15551" spans="1:5" x14ac:dyDescent="0.35">
      <c r="A15551" s="3">
        <v>46245</v>
      </c>
      <c r="B15551" s="5" t="s">
        <v>362</v>
      </c>
      <c r="C15551" s="5" t="s">
        <v>66</v>
      </c>
      <c r="D15551" s="5">
        <v>1</v>
      </c>
      <c r="E15551" s="5">
        <v>116305</v>
      </c>
    </row>
    <row r="15552" spans="1:5" x14ac:dyDescent="0.35">
      <c r="A15552" s="3">
        <v>46245</v>
      </c>
      <c r="B15552" s="5" t="s">
        <v>373</v>
      </c>
      <c r="C15552" s="5" t="s">
        <v>28</v>
      </c>
      <c r="D15552" s="5">
        <v>1</v>
      </c>
      <c r="E15552" s="5">
        <v>118123</v>
      </c>
    </row>
    <row r="15553" spans="1:5" x14ac:dyDescent="0.35">
      <c r="A15553" s="3">
        <v>46245</v>
      </c>
      <c r="B15553" s="5" t="s">
        <v>362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46245</v>
      </c>
      <c r="B15554" s="5" t="s">
        <v>362</v>
      </c>
      <c r="C15554" s="5" t="s">
        <v>66</v>
      </c>
      <c r="D15554" s="5">
        <v>1</v>
      </c>
      <c r="E15554" s="5">
        <v>116305</v>
      </c>
    </row>
    <row r="15555" spans="1:5" x14ac:dyDescent="0.35">
      <c r="A15555" s="3">
        <v>46245</v>
      </c>
      <c r="B15555" s="5" t="s">
        <v>362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46245</v>
      </c>
      <c r="B15556" s="5" t="s">
        <v>362</v>
      </c>
      <c r="C15556" s="5" t="s">
        <v>66</v>
      </c>
      <c r="D15556" s="5">
        <v>1</v>
      </c>
      <c r="E15556" s="5">
        <v>116305</v>
      </c>
    </row>
    <row r="15557" spans="1:5" x14ac:dyDescent="0.35">
      <c r="A15557" s="3">
        <v>46245</v>
      </c>
      <c r="B15557" s="5" t="s">
        <v>362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46245</v>
      </c>
      <c r="B15558" s="5" t="s">
        <v>376</v>
      </c>
      <c r="C15558" s="5" t="s">
        <v>42</v>
      </c>
      <c r="D15558" s="5">
        <v>1</v>
      </c>
      <c r="E15558" s="5">
        <v>206759</v>
      </c>
    </row>
    <row r="15559" spans="1:5" x14ac:dyDescent="0.35">
      <c r="A15559" s="3">
        <v>46245</v>
      </c>
      <c r="B15559" s="5" t="s">
        <v>237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46245</v>
      </c>
      <c r="B15560" s="5" t="s">
        <v>237</v>
      </c>
      <c r="C15560" s="5" t="s">
        <v>38</v>
      </c>
      <c r="D15560" s="5">
        <v>1</v>
      </c>
      <c r="E15560" s="5">
        <v>203578</v>
      </c>
    </row>
    <row r="15561" spans="1:5" x14ac:dyDescent="0.35">
      <c r="A15561" s="3">
        <v>46245</v>
      </c>
      <c r="B15561" s="5" t="s">
        <v>362</v>
      </c>
      <c r="C15561" s="5" t="s">
        <v>66</v>
      </c>
      <c r="D15561" s="5">
        <v>1</v>
      </c>
      <c r="E15561" s="5">
        <v>116305</v>
      </c>
    </row>
    <row r="15562" spans="1:5" x14ac:dyDescent="0.35">
      <c r="A15562" s="3">
        <v>46245</v>
      </c>
      <c r="B15562" s="5" t="s">
        <v>362</v>
      </c>
      <c r="C15562" s="5" t="s">
        <v>66</v>
      </c>
      <c r="D15562" s="5">
        <v>1</v>
      </c>
      <c r="E15562" s="5">
        <v>116305</v>
      </c>
    </row>
    <row r="15563" spans="1:5" x14ac:dyDescent="0.35">
      <c r="A15563" s="3">
        <v>46245</v>
      </c>
      <c r="B15563" s="5" t="s">
        <v>373</v>
      </c>
      <c r="C15563" s="5" t="s">
        <v>18</v>
      </c>
      <c r="D15563" s="5">
        <v>1</v>
      </c>
      <c r="E15563" s="5">
        <v>129941</v>
      </c>
    </row>
    <row r="15564" spans="1:5" x14ac:dyDescent="0.35">
      <c r="A15564" s="3">
        <v>46245</v>
      </c>
      <c r="B15564" s="5" t="s">
        <v>237</v>
      </c>
      <c r="C15564" s="5" t="s">
        <v>38</v>
      </c>
      <c r="D15564" s="5">
        <v>1</v>
      </c>
      <c r="E15564" s="5">
        <v>203578</v>
      </c>
    </row>
    <row r="15565" spans="1:5" x14ac:dyDescent="0.35">
      <c r="A15565" s="3">
        <v>46245</v>
      </c>
      <c r="B15565" s="5" t="s">
        <v>362</v>
      </c>
      <c r="C15565" s="5" t="s">
        <v>66</v>
      </c>
      <c r="D15565" s="5">
        <v>1</v>
      </c>
      <c r="E15565" s="5">
        <v>116305</v>
      </c>
    </row>
    <row r="15566" spans="1:5" x14ac:dyDescent="0.35">
      <c r="A15566" s="3">
        <v>46245</v>
      </c>
      <c r="B15566" s="5" t="s">
        <v>362</v>
      </c>
      <c r="C15566" s="5" t="s">
        <v>66</v>
      </c>
      <c r="D15566" s="5">
        <v>1</v>
      </c>
      <c r="E15566" s="5">
        <v>116305</v>
      </c>
    </row>
    <row r="15567" spans="1:5" x14ac:dyDescent="0.35">
      <c r="A15567" s="3">
        <v>46245</v>
      </c>
      <c r="B15567" s="5" t="s">
        <v>362</v>
      </c>
      <c r="C15567" s="5" t="s">
        <v>66</v>
      </c>
      <c r="D15567" s="5">
        <v>1</v>
      </c>
      <c r="E15567" s="5">
        <v>116305</v>
      </c>
    </row>
    <row r="15568" spans="1:5" x14ac:dyDescent="0.35">
      <c r="A15568" s="3">
        <v>46245</v>
      </c>
      <c r="B15568" s="5" t="s">
        <v>362</v>
      </c>
      <c r="C15568" s="5" t="s">
        <v>66</v>
      </c>
      <c r="D15568" s="5">
        <v>1</v>
      </c>
      <c r="E15568" s="5">
        <v>116305</v>
      </c>
    </row>
    <row r="15569" spans="1:5" x14ac:dyDescent="0.35">
      <c r="A15569" s="3">
        <v>46245</v>
      </c>
      <c r="B15569" s="5" t="s">
        <v>362</v>
      </c>
      <c r="C15569" s="5" t="s">
        <v>66</v>
      </c>
      <c r="D15569" s="5">
        <v>1</v>
      </c>
      <c r="E15569" s="5">
        <v>116305</v>
      </c>
    </row>
    <row r="15570" spans="1:5" x14ac:dyDescent="0.35">
      <c r="A15570" s="3">
        <v>46245</v>
      </c>
      <c r="B15570" s="5" t="s">
        <v>237</v>
      </c>
      <c r="C15570" s="5" t="s">
        <v>38</v>
      </c>
      <c r="D15570" s="5">
        <v>1</v>
      </c>
      <c r="E15570" s="5">
        <v>203578</v>
      </c>
    </row>
    <row r="15571" spans="1:5" x14ac:dyDescent="0.35">
      <c r="A15571" s="3">
        <v>46245</v>
      </c>
      <c r="B15571" s="5" t="s">
        <v>237</v>
      </c>
      <c r="C15571" s="5" t="s">
        <v>38</v>
      </c>
      <c r="D15571" s="5">
        <v>1</v>
      </c>
      <c r="E15571" s="5">
        <v>203578</v>
      </c>
    </row>
    <row r="15572" spans="1:5" x14ac:dyDescent="0.35">
      <c r="A15572" s="3">
        <v>46245</v>
      </c>
      <c r="B15572" s="5" t="s">
        <v>237</v>
      </c>
      <c r="C15572" s="5" t="s">
        <v>38</v>
      </c>
      <c r="D15572" s="5">
        <v>1</v>
      </c>
      <c r="E15572" s="5">
        <v>203578</v>
      </c>
    </row>
    <row r="15573" spans="1:5" x14ac:dyDescent="0.35">
      <c r="A15573" s="3">
        <v>46245</v>
      </c>
      <c r="B15573" s="5" t="s">
        <v>362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46245</v>
      </c>
      <c r="B15574" s="5" t="s">
        <v>362</v>
      </c>
      <c r="C15574" s="5" t="s">
        <v>65</v>
      </c>
      <c r="D15574" s="5">
        <v>1</v>
      </c>
      <c r="E15574" s="5">
        <v>116305</v>
      </c>
    </row>
    <row r="15575" spans="1:5" x14ac:dyDescent="0.35">
      <c r="A15575" s="3">
        <v>46245</v>
      </c>
      <c r="B15575" s="5" t="s">
        <v>362</v>
      </c>
      <c r="C15575" s="5" t="s">
        <v>65</v>
      </c>
      <c r="D15575" s="5">
        <v>1</v>
      </c>
      <c r="E15575" s="5">
        <v>116305</v>
      </c>
    </row>
    <row r="15576" spans="1:5" x14ac:dyDescent="0.35">
      <c r="A15576" s="3">
        <v>46245</v>
      </c>
      <c r="B15576" s="5" t="s">
        <v>244</v>
      </c>
      <c r="C15576" s="5" t="s">
        <v>85</v>
      </c>
      <c r="D15576" s="5">
        <v>1</v>
      </c>
      <c r="E15576" s="5">
        <v>189032</v>
      </c>
    </row>
    <row r="15577" spans="1:5" x14ac:dyDescent="0.35">
      <c r="A15577" s="3">
        <v>46245</v>
      </c>
      <c r="B15577" s="5" t="s">
        <v>237</v>
      </c>
      <c r="C15577" s="5" t="s">
        <v>38</v>
      </c>
      <c r="D15577" s="5">
        <v>1</v>
      </c>
      <c r="E15577" s="5">
        <v>203578</v>
      </c>
    </row>
    <row r="15578" spans="1:5" x14ac:dyDescent="0.35">
      <c r="A15578" s="3">
        <v>46245</v>
      </c>
      <c r="B15578" s="5" t="s">
        <v>362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46245</v>
      </c>
      <c r="B15579" s="5" t="s">
        <v>362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46245</v>
      </c>
      <c r="B15580" s="5" t="s">
        <v>362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373</v>
      </c>
      <c r="C15581" s="5" t="s">
        <v>38</v>
      </c>
      <c r="D15581" s="5">
        <v>1</v>
      </c>
      <c r="E15581" s="5">
        <v>236305</v>
      </c>
    </row>
    <row r="15582" spans="1:5" x14ac:dyDescent="0.35">
      <c r="A15582" s="3">
        <v>46246</v>
      </c>
      <c r="B15582" s="5" t="s">
        <v>373</v>
      </c>
      <c r="C15582" s="5" t="s">
        <v>27</v>
      </c>
      <c r="D15582" s="5">
        <v>1</v>
      </c>
      <c r="E15582" s="5">
        <v>177214</v>
      </c>
    </row>
    <row r="15583" spans="1:5" x14ac:dyDescent="0.35">
      <c r="A15583" s="3">
        <v>46246</v>
      </c>
      <c r="B15583" s="5" t="s">
        <v>376</v>
      </c>
      <c r="C15583" s="5" t="s">
        <v>18</v>
      </c>
      <c r="D15583" s="5">
        <v>1</v>
      </c>
      <c r="E15583" s="5">
        <v>129941</v>
      </c>
    </row>
    <row r="15584" spans="1:5" x14ac:dyDescent="0.35">
      <c r="A15584" s="3">
        <v>46246</v>
      </c>
      <c r="B15584" s="5" t="s">
        <v>244</v>
      </c>
      <c r="C15584" s="5" t="s">
        <v>18</v>
      </c>
      <c r="D15584" s="5">
        <v>1</v>
      </c>
      <c r="E15584" s="5">
        <v>129941</v>
      </c>
    </row>
    <row r="15585" spans="1:5" x14ac:dyDescent="0.35">
      <c r="A15585" s="3">
        <v>46246</v>
      </c>
      <c r="B15585" s="5" t="s">
        <v>376</v>
      </c>
      <c r="C15585" s="5" t="s">
        <v>26</v>
      </c>
      <c r="D15585" s="5">
        <v>1</v>
      </c>
      <c r="E15585" s="5">
        <v>501682</v>
      </c>
    </row>
    <row r="15586" spans="1:5" x14ac:dyDescent="0.35">
      <c r="A15586" s="3">
        <v>46246</v>
      </c>
      <c r="B15586" s="5" t="s">
        <v>121</v>
      </c>
      <c r="C15586" s="5" t="s">
        <v>33</v>
      </c>
      <c r="D15586" s="5">
        <v>1</v>
      </c>
      <c r="E15586" s="5">
        <v>203578</v>
      </c>
    </row>
    <row r="15587" spans="1:5" x14ac:dyDescent="0.35">
      <c r="A15587" s="3">
        <v>46246</v>
      </c>
      <c r="B15587" s="5" t="s">
        <v>354</v>
      </c>
      <c r="C15587" s="5" t="s">
        <v>20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354</v>
      </c>
      <c r="C15588" s="5" t="s">
        <v>20</v>
      </c>
      <c r="D15588" s="5">
        <v>1</v>
      </c>
      <c r="E15588" s="5">
        <v>127942</v>
      </c>
    </row>
    <row r="15589" spans="1:5" x14ac:dyDescent="0.35">
      <c r="A15589" s="3">
        <v>46246</v>
      </c>
      <c r="B15589" s="5" t="s">
        <v>354</v>
      </c>
      <c r="C15589" s="5" t="s">
        <v>20</v>
      </c>
      <c r="D15589" s="5">
        <v>1</v>
      </c>
      <c r="E15589" s="5">
        <v>127942</v>
      </c>
    </row>
    <row r="15590" spans="1:5" x14ac:dyDescent="0.35">
      <c r="A15590" s="3">
        <v>46246</v>
      </c>
      <c r="B15590" s="5" t="s">
        <v>354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354</v>
      </c>
      <c r="C15591" s="5" t="s">
        <v>19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354</v>
      </c>
      <c r="C15592" s="5" t="s">
        <v>18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354</v>
      </c>
      <c r="C15593" s="5" t="s">
        <v>19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354</v>
      </c>
      <c r="C15594" s="5" t="s">
        <v>18</v>
      </c>
      <c r="D15594" s="5">
        <v>1</v>
      </c>
      <c r="E15594" s="5">
        <v>127942</v>
      </c>
    </row>
    <row r="15595" spans="1:5" x14ac:dyDescent="0.35">
      <c r="A15595" s="3">
        <v>46246</v>
      </c>
      <c r="B15595" s="5" t="s">
        <v>354</v>
      </c>
      <c r="C15595" s="5" t="s">
        <v>18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364</v>
      </c>
      <c r="C15596" s="5" t="s">
        <v>66</v>
      </c>
      <c r="D15596" s="5">
        <v>1</v>
      </c>
      <c r="E15596" s="5">
        <v>116305</v>
      </c>
    </row>
    <row r="15597" spans="1:5" x14ac:dyDescent="0.35">
      <c r="A15597" s="3">
        <v>46246</v>
      </c>
      <c r="B15597" s="5" t="s">
        <v>237</v>
      </c>
      <c r="C15597" s="5" t="s">
        <v>38</v>
      </c>
      <c r="D15597" s="5">
        <v>1</v>
      </c>
      <c r="E15597" s="5">
        <v>203578</v>
      </c>
    </row>
    <row r="15598" spans="1:5" x14ac:dyDescent="0.35">
      <c r="A15598" s="3">
        <v>46246</v>
      </c>
      <c r="B15598" s="5" t="s">
        <v>362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362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362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362</v>
      </c>
      <c r="C15601" s="5" t="s">
        <v>66</v>
      </c>
      <c r="D15601" s="5">
        <v>1</v>
      </c>
      <c r="E15601" s="5">
        <v>116305</v>
      </c>
    </row>
    <row r="15602" spans="1:5" x14ac:dyDescent="0.35">
      <c r="A15602" s="3">
        <v>46246</v>
      </c>
      <c r="B15602" s="5" t="s">
        <v>362</v>
      </c>
      <c r="C15602" s="5" t="s">
        <v>66</v>
      </c>
      <c r="D15602" s="5">
        <v>1</v>
      </c>
      <c r="E15602" s="5">
        <v>116305</v>
      </c>
    </row>
    <row r="15603" spans="1:5" x14ac:dyDescent="0.35">
      <c r="A15603" s="3">
        <v>46246</v>
      </c>
      <c r="B15603" s="5" t="s">
        <v>354</v>
      </c>
      <c r="C15603" s="5" t="s">
        <v>20</v>
      </c>
      <c r="D15603" s="5">
        <v>1</v>
      </c>
      <c r="E15603" s="5">
        <v>127942</v>
      </c>
    </row>
    <row r="15604" spans="1:5" x14ac:dyDescent="0.35">
      <c r="A15604" s="3">
        <v>46246</v>
      </c>
      <c r="B15604" s="5" t="s">
        <v>354</v>
      </c>
      <c r="C15604" s="5" t="s">
        <v>19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354</v>
      </c>
      <c r="C15605" s="5" t="s">
        <v>19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354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354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354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354</v>
      </c>
      <c r="C15609" s="5" t="s">
        <v>19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354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364</v>
      </c>
      <c r="C15611" s="5" t="s">
        <v>65</v>
      </c>
      <c r="D15611" s="5">
        <v>1</v>
      </c>
      <c r="E15611" s="5">
        <v>116305</v>
      </c>
    </row>
    <row r="15612" spans="1:5" x14ac:dyDescent="0.35">
      <c r="A15612" s="3">
        <v>46246</v>
      </c>
      <c r="B15612" s="5" t="s">
        <v>364</v>
      </c>
      <c r="C15612" s="5" t="s">
        <v>66</v>
      </c>
      <c r="D15612" s="5">
        <v>1</v>
      </c>
      <c r="E15612" s="5">
        <v>116305</v>
      </c>
    </row>
    <row r="15613" spans="1:5" x14ac:dyDescent="0.35">
      <c r="A15613" s="3">
        <v>46246</v>
      </c>
      <c r="B15613" s="5" t="s">
        <v>362</v>
      </c>
      <c r="C15613" s="5" t="s">
        <v>67</v>
      </c>
      <c r="D15613" s="5">
        <v>1</v>
      </c>
      <c r="E15613" s="5">
        <v>116305</v>
      </c>
    </row>
    <row r="15614" spans="1:5" x14ac:dyDescent="0.35">
      <c r="A15614" s="3">
        <v>46246</v>
      </c>
      <c r="B15614" s="5" t="s">
        <v>376</v>
      </c>
      <c r="C15614" s="5" t="s">
        <v>39</v>
      </c>
      <c r="D15614" s="5">
        <v>1</v>
      </c>
      <c r="E15614" s="5">
        <v>118123</v>
      </c>
    </row>
    <row r="15615" spans="1:5" x14ac:dyDescent="0.35">
      <c r="A15615" s="3">
        <v>46246</v>
      </c>
      <c r="B15615" s="5" t="s">
        <v>376</v>
      </c>
      <c r="C15615" s="5" t="s">
        <v>18</v>
      </c>
      <c r="D15615" s="5">
        <v>1</v>
      </c>
      <c r="E15615" s="5">
        <v>129941</v>
      </c>
    </row>
    <row r="15616" spans="1:5" x14ac:dyDescent="0.35">
      <c r="A15616" s="3">
        <v>46246</v>
      </c>
      <c r="B15616" s="5" t="s">
        <v>354</v>
      </c>
      <c r="C15616" s="5" t="s">
        <v>20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364</v>
      </c>
      <c r="C15617" s="5" t="s">
        <v>66</v>
      </c>
      <c r="D15617" s="5">
        <v>1</v>
      </c>
      <c r="E15617" s="5">
        <v>116305</v>
      </c>
    </row>
    <row r="15618" spans="1:5" x14ac:dyDescent="0.35">
      <c r="A15618" s="3">
        <v>46246</v>
      </c>
      <c r="B15618" s="5" t="s">
        <v>354</v>
      </c>
      <c r="C15618" s="5" t="s">
        <v>20</v>
      </c>
      <c r="D15618" s="5">
        <v>1</v>
      </c>
      <c r="E15618" s="5">
        <v>127942</v>
      </c>
    </row>
    <row r="15619" spans="1:5" x14ac:dyDescent="0.35">
      <c r="A15619" s="3">
        <v>46246</v>
      </c>
      <c r="B15619" s="5" t="s">
        <v>354</v>
      </c>
      <c r="C15619" s="5" t="s">
        <v>20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364</v>
      </c>
      <c r="C15620" s="5" t="s">
        <v>66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354</v>
      </c>
      <c r="C15621" s="5" t="s">
        <v>18</v>
      </c>
      <c r="D15621" s="5">
        <v>1</v>
      </c>
      <c r="E15621" s="5">
        <v>127942</v>
      </c>
    </row>
    <row r="15622" spans="1:5" x14ac:dyDescent="0.35">
      <c r="A15622" s="3">
        <v>46246</v>
      </c>
      <c r="B15622" s="5" t="s">
        <v>364</v>
      </c>
      <c r="C15622" s="5" t="s">
        <v>66</v>
      </c>
      <c r="D15622" s="5">
        <v>1</v>
      </c>
      <c r="E15622" s="5">
        <v>116305</v>
      </c>
    </row>
    <row r="15623" spans="1:5" x14ac:dyDescent="0.35">
      <c r="A15623" s="3">
        <v>46246</v>
      </c>
      <c r="B15623" s="5" t="s">
        <v>364</v>
      </c>
      <c r="C15623" s="5" t="s">
        <v>65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362</v>
      </c>
      <c r="C15624" s="5" t="s">
        <v>66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362</v>
      </c>
      <c r="C15625" s="5" t="s">
        <v>65</v>
      </c>
      <c r="D15625" s="5">
        <v>1</v>
      </c>
      <c r="E15625" s="5">
        <v>116305</v>
      </c>
    </row>
    <row r="15626" spans="1:5" x14ac:dyDescent="0.35">
      <c r="A15626" s="3">
        <v>46246</v>
      </c>
      <c r="B15626" s="5" t="s">
        <v>362</v>
      </c>
      <c r="C15626" s="5" t="s">
        <v>66</v>
      </c>
      <c r="D15626" s="5">
        <v>1</v>
      </c>
      <c r="E15626" s="5">
        <v>116305</v>
      </c>
    </row>
    <row r="15627" spans="1:5" x14ac:dyDescent="0.35">
      <c r="A15627" s="3">
        <v>46246</v>
      </c>
      <c r="B15627" s="5" t="s">
        <v>373</v>
      </c>
      <c r="C15627" s="5" t="s">
        <v>36</v>
      </c>
      <c r="D15627" s="5">
        <v>1</v>
      </c>
      <c r="E15627" s="5">
        <v>236305</v>
      </c>
    </row>
    <row r="15628" spans="1:5" x14ac:dyDescent="0.35">
      <c r="A15628" s="3">
        <v>46246</v>
      </c>
      <c r="B15628" s="5" t="s">
        <v>354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354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354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354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354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354</v>
      </c>
      <c r="C15633" s="5" t="s">
        <v>19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354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354</v>
      </c>
      <c r="C15635" s="5" t="s">
        <v>18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354</v>
      </c>
      <c r="C15636" s="5" t="s">
        <v>18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354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354</v>
      </c>
      <c r="C15638" s="5" t="s">
        <v>19</v>
      </c>
      <c r="D15638" s="5">
        <v>1</v>
      </c>
      <c r="E15638" s="5">
        <v>127942</v>
      </c>
    </row>
    <row r="15639" spans="1:5" x14ac:dyDescent="0.35">
      <c r="A15639" s="3">
        <v>46246</v>
      </c>
      <c r="B15639" s="5" t="s">
        <v>354</v>
      </c>
      <c r="C15639" s="5" t="s">
        <v>18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364</v>
      </c>
      <c r="C15640" s="5" t="s">
        <v>65</v>
      </c>
      <c r="D15640" s="5">
        <v>1</v>
      </c>
      <c r="E15640" s="5">
        <v>116305</v>
      </c>
    </row>
    <row r="15641" spans="1:5" x14ac:dyDescent="0.35">
      <c r="A15641" s="3">
        <v>46246</v>
      </c>
      <c r="B15641" s="5" t="s">
        <v>354</v>
      </c>
      <c r="C15641" s="5" t="s">
        <v>18</v>
      </c>
      <c r="D15641" s="5">
        <v>1</v>
      </c>
      <c r="E15641" s="5">
        <v>127942</v>
      </c>
    </row>
    <row r="15642" spans="1:5" x14ac:dyDescent="0.35">
      <c r="A15642" s="3">
        <v>46246</v>
      </c>
      <c r="B15642" s="5" t="s">
        <v>364</v>
      </c>
      <c r="C15642" s="5" t="s">
        <v>66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237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237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377</v>
      </c>
      <c r="C15645" s="5" t="s">
        <v>66</v>
      </c>
      <c r="D15645" s="5">
        <v>1</v>
      </c>
      <c r="E15645" s="5">
        <v>116305</v>
      </c>
    </row>
    <row r="15646" spans="1:5" x14ac:dyDescent="0.35">
      <c r="A15646" s="3">
        <v>46246</v>
      </c>
      <c r="B15646" s="5" t="s">
        <v>362</v>
      </c>
      <c r="C15646" s="5" t="s">
        <v>67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362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362</v>
      </c>
      <c r="C15648" s="5" t="s">
        <v>66</v>
      </c>
      <c r="D15648" s="5">
        <v>1</v>
      </c>
      <c r="E15648" s="5">
        <v>116305</v>
      </c>
    </row>
    <row r="15649" spans="1:5" x14ac:dyDescent="0.35">
      <c r="A15649" s="3">
        <v>46246</v>
      </c>
      <c r="B15649" s="5" t="s">
        <v>362</v>
      </c>
      <c r="C15649" s="5" t="s">
        <v>65</v>
      </c>
      <c r="D15649" s="5">
        <v>1</v>
      </c>
      <c r="E15649" s="5">
        <v>116305</v>
      </c>
    </row>
    <row r="15650" spans="1:5" x14ac:dyDescent="0.35">
      <c r="A15650" s="3">
        <v>46246</v>
      </c>
      <c r="B15650" s="5" t="s">
        <v>376</v>
      </c>
      <c r="C15650" s="5" t="s">
        <v>50</v>
      </c>
      <c r="D15650" s="5">
        <v>1</v>
      </c>
      <c r="E15650" s="5">
        <v>106305</v>
      </c>
    </row>
    <row r="15651" spans="1:5" x14ac:dyDescent="0.35">
      <c r="A15651" s="3">
        <v>46246</v>
      </c>
      <c r="B15651" s="5" t="s">
        <v>354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354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354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354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354</v>
      </c>
      <c r="C15655" s="5" t="s">
        <v>19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354</v>
      </c>
      <c r="C15656" s="5" t="s">
        <v>20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354</v>
      </c>
      <c r="C15657" s="5" t="s">
        <v>19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354</v>
      </c>
      <c r="C15658" s="5" t="s">
        <v>19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354</v>
      </c>
      <c r="C15659" s="5" t="s">
        <v>20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354</v>
      </c>
      <c r="C15660" s="5" t="s">
        <v>20</v>
      </c>
      <c r="D15660" s="5">
        <v>1</v>
      </c>
      <c r="E15660" s="5">
        <v>127942</v>
      </c>
    </row>
    <row r="15661" spans="1:5" x14ac:dyDescent="0.35">
      <c r="A15661" s="3">
        <v>46246</v>
      </c>
      <c r="B15661" s="5" t="s">
        <v>354</v>
      </c>
      <c r="C15661" s="5" t="s">
        <v>18</v>
      </c>
      <c r="D15661" s="5">
        <v>1</v>
      </c>
      <c r="E15661" s="5">
        <v>127942</v>
      </c>
    </row>
    <row r="15662" spans="1:5" x14ac:dyDescent="0.35">
      <c r="A15662" s="3">
        <v>46246</v>
      </c>
      <c r="B15662" s="5" t="s">
        <v>354</v>
      </c>
      <c r="C15662" s="5" t="s">
        <v>19</v>
      </c>
      <c r="D15662" s="5">
        <v>1</v>
      </c>
      <c r="E15662" s="5">
        <v>127942</v>
      </c>
    </row>
    <row r="15663" spans="1:5" x14ac:dyDescent="0.35">
      <c r="A15663" s="3">
        <v>46246</v>
      </c>
      <c r="B15663" s="5" t="s">
        <v>354</v>
      </c>
      <c r="C15663" s="5" t="s">
        <v>20</v>
      </c>
      <c r="D15663" s="5">
        <v>1</v>
      </c>
      <c r="E15663" s="5">
        <v>127942</v>
      </c>
    </row>
    <row r="15664" spans="1:5" x14ac:dyDescent="0.35">
      <c r="A15664" s="3">
        <v>46246</v>
      </c>
      <c r="B15664" s="5" t="s">
        <v>354</v>
      </c>
      <c r="C15664" s="5" t="s">
        <v>20</v>
      </c>
      <c r="D15664" s="5">
        <v>1</v>
      </c>
      <c r="E15664" s="5">
        <v>127942</v>
      </c>
    </row>
    <row r="15665" spans="1:5" x14ac:dyDescent="0.35">
      <c r="A15665" s="3">
        <v>46246</v>
      </c>
      <c r="B15665" s="5" t="s">
        <v>364</v>
      </c>
      <c r="C15665" s="5" t="s">
        <v>65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362</v>
      </c>
      <c r="C15666" s="5" t="s">
        <v>66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237</v>
      </c>
      <c r="C15667" s="5" t="s">
        <v>38</v>
      </c>
      <c r="D15667" s="5">
        <v>1</v>
      </c>
      <c r="E15667" s="5">
        <v>203578</v>
      </c>
    </row>
    <row r="15668" spans="1:5" x14ac:dyDescent="0.35">
      <c r="A15668" s="3">
        <v>46246</v>
      </c>
      <c r="B15668" s="5" t="s">
        <v>362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237</v>
      </c>
      <c r="C15669" s="5" t="s">
        <v>38</v>
      </c>
      <c r="D15669" s="5">
        <v>1</v>
      </c>
      <c r="E15669" s="5">
        <v>203578</v>
      </c>
    </row>
    <row r="15670" spans="1:5" x14ac:dyDescent="0.35">
      <c r="A15670" s="3">
        <v>46246</v>
      </c>
      <c r="B15670" s="5" t="s">
        <v>362</v>
      </c>
      <c r="C15670" s="5" t="s">
        <v>65</v>
      </c>
      <c r="D15670" s="5">
        <v>1</v>
      </c>
      <c r="E15670" s="5">
        <v>116305</v>
      </c>
    </row>
    <row r="15671" spans="1:5" x14ac:dyDescent="0.35">
      <c r="A15671" s="3">
        <v>46246</v>
      </c>
      <c r="B15671" s="5" t="s">
        <v>362</v>
      </c>
      <c r="C15671" s="5" t="s">
        <v>66</v>
      </c>
      <c r="D15671" s="5">
        <v>1</v>
      </c>
      <c r="E15671" s="5">
        <v>116305</v>
      </c>
    </row>
    <row r="15672" spans="1:5" x14ac:dyDescent="0.35">
      <c r="A15672" s="3">
        <v>46246</v>
      </c>
      <c r="B15672" s="5" t="s">
        <v>362</v>
      </c>
      <c r="C15672" s="5" t="s">
        <v>65</v>
      </c>
      <c r="D15672" s="5">
        <v>1</v>
      </c>
      <c r="E15672" s="5">
        <v>116305</v>
      </c>
    </row>
    <row r="15673" spans="1:5" x14ac:dyDescent="0.35">
      <c r="A15673" s="3">
        <v>46246</v>
      </c>
      <c r="B15673" s="5" t="s">
        <v>354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354</v>
      </c>
      <c r="C15674" s="5" t="s">
        <v>20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354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354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354</v>
      </c>
      <c r="C15677" s="5" t="s">
        <v>18</v>
      </c>
      <c r="D15677" s="5">
        <v>1</v>
      </c>
      <c r="E15677" s="5">
        <v>127942</v>
      </c>
    </row>
    <row r="15678" spans="1:5" x14ac:dyDescent="0.35">
      <c r="A15678" s="3">
        <v>46246</v>
      </c>
      <c r="B15678" s="5" t="s">
        <v>354</v>
      </c>
      <c r="C15678" s="5" t="s">
        <v>20</v>
      </c>
      <c r="D15678" s="5">
        <v>1</v>
      </c>
      <c r="E15678" s="5">
        <v>127942</v>
      </c>
    </row>
    <row r="15679" spans="1:5" x14ac:dyDescent="0.35">
      <c r="A15679" s="3">
        <v>46246</v>
      </c>
      <c r="B15679" s="5" t="s">
        <v>354</v>
      </c>
      <c r="C15679" s="5" t="s">
        <v>20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354</v>
      </c>
      <c r="C15680" s="5" t="s">
        <v>18</v>
      </c>
      <c r="D15680" s="5">
        <v>1</v>
      </c>
      <c r="E15680" s="5">
        <v>127942</v>
      </c>
    </row>
    <row r="15681" spans="1:5" x14ac:dyDescent="0.35">
      <c r="A15681" s="3">
        <v>46246</v>
      </c>
      <c r="B15681" s="5" t="s">
        <v>354</v>
      </c>
      <c r="C15681" s="5" t="s">
        <v>18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354</v>
      </c>
      <c r="C15682" s="5" t="s">
        <v>18</v>
      </c>
      <c r="D15682" s="5">
        <v>1</v>
      </c>
      <c r="E15682" s="5">
        <v>127942</v>
      </c>
    </row>
    <row r="15683" spans="1:5" x14ac:dyDescent="0.35">
      <c r="A15683" s="3">
        <v>46246</v>
      </c>
      <c r="B15683" s="5" t="s">
        <v>354</v>
      </c>
      <c r="C15683" s="5" t="s">
        <v>19</v>
      </c>
      <c r="D15683" s="5">
        <v>1</v>
      </c>
      <c r="E15683" s="5">
        <v>127942</v>
      </c>
    </row>
    <row r="15684" spans="1:5" x14ac:dyDescent="0.35">
      <c r="A15684" s="3">
        <v>46246</v>
      </c>
      <c r="B15684" s="5" t="s">
        <v>364</v>
      </c>
      <c r="C15684" s="5" t="s">
        <v>67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364</v>
      </c>
      <c r="C15685" s="5" t="s">
        <v>65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354</v>
      </c>
      <c r="C15686" s="5" t="s">
        <v>18</v>
      </c>
      <c r="D15686" s="5">
        <v>1</v>
      </c>
      <c r="E15686" s="5">
        <v>127942</v>
      </c>
    </row>
    <row r="15687" spans="1:5" x14ac:dyDescent="0.35">
      <c r="A15687" s="3">
        <v>46246</v>
      </c>
      <c r="B15687" s="5" t="s">
        <v>364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364</v>
      </c>
      <c r="C15688" s="5" t="s">
        <v>66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364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364</v>
      </c>
      <c r="C15690" s="5" t="s">
        <v>65</v>
      </c>
      <c r="D15690" s="5">
        <v>1</v>
      </c>
      <c r="E15690" s="5">
        <v>116305</v>
      </c>
    </row>
    <row r="15691" spans="1:5" x14ac:dyDescent="0.35">
      <c r="A15691" s="3">
        <v>46246</v>
      </c>
      <c r="B15691" s="5" t="s">
        <v>362</v>
      </c>
      <c r="C15691" s="5" t="s">
        <v>66</v>
      </c>
      <c r="D15691" s="5">
        <v>1</v>
      </c>
      <c r="E15691" s="5">
        <v>116305</v>
      </c>
    </row>
    <row r="15692" spans="1:5" x14ac:dyDescent="0.35">
      <c r="A15692" s="3">
        <v>46246</v>
      </c>
      <c r="B15692" s="5" t="s">
        <v>362</v>
      </c>
      <c r="C15692" s="5" t="s">
        <v>66</v>
      </c>
      <c r="D15692" s="5">
        <v>1</v>
      </c>
      <c r="E15692" s="5">
        <v>116305</v>
      </c>
    </row>
    <row r="15693" spans="1:5" x14ac:dyDescent="0.35">
      <c r="A15693" s="3">
        <v>46246</v>
      </c>
      <c r="B15693" s="5" t="s">
        <v>362</v>
      </c>
      <c r="C15693" s="5" t="s">
        <v>65</v>
      </c>
      <c r="D15693" s="5">
        <v>1</v>
      </c>
      <c r="E15693" s="5">
        <v>116305</v>
      </c>
    </row>
    <row r="15694" spans="1:5" x14ac:dyDescent="0.35">
      <c r="A15694" s="3">
        <v>46246</v>
      </c>
      <c r="B15694" s="5" t="s">
        <v>362</v>
      </c>
      <c r="C15694" s="5" t="s">
        <v>66</v>
      </c>
      <c r="D15694" s="5">
        <v>1</v>
      </c>
      <c r="E15694" s="5">
        <v>116305</v>
      </c>
    </row>
    <row r="15695" spans="1:5" x14ac:dyDescent="0.35">
      <c r="A15695" s="3">
        <v>46246</v>
      </c>
      <c r="B15695" s="5" t="s">
        <v>362</v>
      </c>
      <c r="C15695" s="5" t="s">
        <v>67</v>
      </c>
      <c r="D15695" s="5">
        <v>1</v>
      </c>
      <c r="E15695" s="5">
        <v>116305</v>
      </c>
    </row>
    <row r="15696" spans="1:5" x14ac:dyDescent="0.35">
      <c r="A15696" s="3">
        <v>46246</v>
      </c>
      <c r="B15696" s="5" t="s">
        <v>373</v>
      </c>
      <c r="C15696" s="5" t="s">
        <v>41</v>
      </c>
      <c r="D15696" s="5">
        <v>1</v>
      </c>
      <c r="E15696" s="5">
        <v>159486</v>
      </c>
    </row>
    <row r="15697" spans="1:5" x14ac:dyDescent="0.35">
      <c r="A15697" s="3">
        <v>46246</v>
      </c>
      <c r="B15697" s="5" t="s">
        <v>376</v>
      </c>
      <c r="C15697" s="5" t="s">
        <v>39</v>
      </c>
      <c r="D15697" s="5">
        <v>1</v>
      </c>
      <c r="E15697" s="5">
        <v>118123</v>
      </c>
    </row>
    <row r="15698" spans="1:5" x14ac:dyDescent="0.35">
      <c r="A15698" s="3">
        <v>46246</v>
      </c>
      <c r="B15698" s="5" t="s">
        <v>354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121</v>
      </c>
      <c r="C15699" s="5" t="s">
        <v>33</v>
      </c>
      <c r="D15699" s="5">
        <v>1</v>
      </c>
      <c r="E15699" s="5">
        <v>203578</v>
      </c>
    </row>
    <row r="15700" spans="1:5" x14ac:dyDescent="0.35">
      <c r="A15700" s="3">
        <v>46246</v>
      </c>
      <c r="B15700" s="5" t="s">
        <v>354</v>
      </c>
      <c r="C15700" s="5" t="s">
        <v>20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354</v>
      </c>
      <c r="C15701" s="5" t="s">
        <v>19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354</v>
      </c>
      <c r="C15702" s="5" t="s">
        <v>20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354</v>
      </c>
      <c r="C15703" s="5" t="s">
        <v>20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354</v>
      </c>
      <c r="C15704" s="5" t="s">
        <v>19</v>
      </c>
      <c r="D15704" s="5">
        <v>1</v>
      </c>
      <c r="E15704" s="5">
        <v>127942</v>
      </c>
    </row>
    <row r="15705" spans="1:5" x14ac:dyDescent="0.35">
      <c r="A15705" s="3">
        <v>46246</v>
      </c>
      <c r="B15705" s="5" t="s">
        <v>354</v>
      </c>
      <c r="C15705" s="5" t="s">
        <v>19</v>
      </c>
      <c r="D15705" s="5">
        <v>1</v>
      </c>
      <c r="E15705" s="5">
        <v>127942</v>
      </c>
    </row>
    <row r="15706" spans="1:5" x14ac:dyDescent="0.35">
      <c r="A15706" s="3">
        <v>46246</v>
      </c>
      <c r="B15706" s="5" t="s">
        <v>354</v>
      </c>
      <c r="C15706" s="5" t="s">
        <v>19</v>
      </c>
      <c r="D15706" s="5">
        <v>1</v>
      </c>
      <c r="E15706" s="5">
        <v>127942</v>
      </c>
    </row>
    <row r="15707" spans="1:5" x14ac:dyDescent="0.35">
      <c r="A15707" s="3">
        <v>46246</v>
      </c>
      <c r="B15707" s="5" t="s">
        <v>354</v>
      </c>
      <c r="C15707" s="5" t="s">
        <v>20</v>
      </c>
      <c r="D15707" s="5">
        <v>1</v>
      </c>
      <c r="E15707" s="5">
        <v>127942</v>
      </c>
    </row>
    <row r="15708" spans="1:5" x14ac:dyDescent="0.35">
      <c r="A15708" s="3">
        <v>46246</v>
      </c>
      <c r="B15708" s="5" t="s">
        <v>354</v>
      </c>
      <c r="C15708" s="5" t="s">
        <v>19</v>
      </c>
      <c r="D15708" s="5">
        <v>1</v>
      </c>
      <c r="E15708" s="5">
        <v>127942</v>
      </c>
    </row>
    <row r="15709" spans="1:5" x14ac:dyDescent="0.35">
      <c r="A15709" s="3">
        <v>46246</v>
      </c>
      <c r="B15709" s="5" t="s">
        <v>354</v>
      </c>
      <c r="C15709" s="5" t="s">
        <v>19</v>
      </c>
      <c r="D15709" s="5">
        <v>1</v>
      </c>
      <c r="E15709" s="5">
        <v>127942</v>
      </c>
    </row>
    <row r="15710" spans="1:5" x14ac:dyDescent="0.35">
      <c r="A15710" s="3">
        <v>46246</v>
      </c>
      <c r="B15710" s="5" t="s">
        <v>354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364</v>
      </c>
      <c r="C15711" s="5" t="s">
        <v>66</v>
      </c>
      <c r="D15711" s="5">
        <v>1</v>
      </c>
      <c r="E15711" s="5">
        <v>116305</v>
      </c>
    </row>
    <row r="15712" spans="1:5" x14ac:dyDescent="0.35">
      <c r="A15712" s="3">
        <v>46246</v>
      </c>
      <c r="B15712" s="5" t="s">
        <v>354</v>
      </c>
      <c r="C15712" s="5" t="s">
        <v>18</v>
      </c>
      <c r="D15712" s="5">
        <v>1</v>
      </c>
      <c r="E15712" s="5">
        <v>127942</v>
      </c>
    </row>
    <row r="15713" spans="1:5" x14ac:dyDescent="0.35">
      <c r="A15713" s="3">
        <v>46246</v>
      </c>
      <c r="B15713" s="5" t="s">
        <v>364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364</v>
      </c>
      <c r="C15714" s="5" t="s">
        <v>67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364</v>
      </c>
      <c r="C15715" s="5" t="s">
        <v>67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364</v>
      </c>
      <c r="C15716" s="5" t="s">
        <v>66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237</v>
      </c>
      <c r="C15717" s="5" t="s">
        <v>38</v>
      </c>
      <c r="D15717" s="5">
        <v>1</v>
      </c>
      <c r="E15717" s="5">
        <v>203578</v>
      </c>
    </row>
    <row r="15718" spans="1:5" x14ac:dyDescent="0.35">
      <c r="A15718" s="3">
        <v>46246</v>
      </c>
      <c r="B15718" s="5" t="s">
        <v>362</v>
      </c>
      <c r="C15718" s="5" t="s">
        <v>66</v>
      </c>
      <c r="D15718" s="5">
        <v>1</v>
      </c>
      <c r="E15718" s="5">
        <v>116305</v>
      </c>
    </row>
    <row r="15719" spans="1:5" x14ac:dyDescent="0.35">
      <c r="A15719" s="3">
        <v>46246</v>
      </c>
      <c r="B15719" s="5" t="s">
        <v>376</v>
      </c>
      <c r="C15719" s="5" t="s">
        <v>85</v>
      </c>
      <c r="D15719" s="5">
        <v>1</v>
      </c>
      <c r="E15719" s="5">
        <v>189032</v>
      </c>
    </row>
    <row r="15720" spans="1:5" x14ac:dyDescent="0.35">
      <c r="A15720" s="3">
        <v>46246</v>
      </c>
      <c r="B15720" s="5" t="s">
        <v>354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354</v>
      </c>
      <c r="C15721" s="5" t="s">
        <v>20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354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354</v>
      </c>
      <c r="C15723" s="5" t="s">
        <v>18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354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354</v>
      </c>
      <c r="C15725" s="5" t="s">
        <v>19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354</v>
      </c>
      <c r="C15726" s="5" t="s">
        <v>18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354</v>
      </c>
      <c r="C15727" s="5" t="s">
        <v>18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354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364</v>
      </c>
      <c r="C15729" s="5" t="s">
        <v>66</v>
      </c>
      <c r="D15729" s="5">
        <v>1</v>
      </c>
      <c r="E15729" s="5">
        <v>116305</v>
      </c>
    </row>
    <row r="15730" spans="1:5" x14ac:dyDescent="0.35">
      <c r="A15730" s="3">
        <v>46246</v>
      </c>
      <c r="B15730" s="5" t="s">
        <v>364</v>
      </c>
      <c r="C15730" s="5" t="s">
        <v>66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354</v>
      </c>
      <c r="C15731" s="5" t="s">
        <v>18</v>
      </c>
      <c r="D15731" s="5">
        <v>1</v>
      </c>
      <c r="E15731" s="5">
        <v>127942</v>
      </c>
    </row>
    <row r="15732" spans="1:5" x14ac:dyDescent="0.35">
      <c r="A15732" s="3">
        <v>46246</v>
      </c>
      <c r="B15732" s="5" t="s">
        <v>364</v>
      </c>
      <c r="C15732" s="5" t="s">
        <v>66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364</v>
      </c>
      <c r="C15733" s="5" t="s">
        <v>66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354</v>
      </c>
      <c r="C15734" s="5" t="s">
        <v>18</v>
      </c>
      <c r="D15734" s="5">
        <v>1</v>
      </c>
      <c r="E15734" s="5">
        <v>127942</v>
      </c>
    </row>
    <row r="15735" spans="1:5" x14ac:dyDescent="0.35">
      <c r="A15735" s="3">
        <v>46246</v>
      </c>
      <c r="B15735" s="5" t="s">
        <v>364</v>
      </c>
      <c r="C15735" s="5" t="s">
        <v>66</v>
      </c>
      <c r="D15735" s="5">
        <v>1</v>
      </c>
      <c r="E15735" s="5">
        <v>116305</v>
      </c>
    </row>
    <row r="15736" spans="1:5" x14ac:dyDescent="0.35">
      <c r="A15736" s="3">
        <v>46246</v>
      </c>
      <c r="B15736" s="5" t="s">
        <v>354</v>
      </c>
      <c r="C15736" s="5" t="s">
        <v>18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362</v>
      </c>
      <c r="C15737" s="5" t="s">
        <v>66</v>
      </c>
      <c r="D15737" s="5">
        <v>1</v>
      </c>
      <c r="E15737" s="5">
        <v>116305</v>
      </c>
    </row>
    <row r="15738" spans="1:5" x14ac:dyDescent="0.35">
      <c r="A15738" s="3">
        <v>46246</v>
      </c>
      <c r="B15738" s="5" t="s">
        <v>362</v>
      </c>
      <c r="C15738" s="5" t="s">
        <v>66</v>
      </c>
      <c r="D15738" s="5">
        <v>1</v>
      </c>
      <c r="E15738" s="5">
        <v>116305</v>
      </c>
    </row>
    <row r="15739" spans="1:5" x14ac:dyDescent="0.35">
      <c r="A15739" s="3">
        <v>46246</v>
      </c>
      <c r="B15739" s="5" t="s">
        <v>362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362</v>
      </c>
      <c r="C15740" s="5" t="s">
        <v>66</v>
      </c>
      <c r="D15740" s="5">
        <v>1</v>
      </c>
      <c r="E15740" s="5">
        <v>116305</v>
      </c>
    </row>
    <row r="15741" spans="1:5" x14ac:dyDescent="0.35">
      <c r="A15741" s="3">
        <v>46246</v>
      </c>
      <c r="B15741" s="5" t="s">
        <v>362</v>
      </c>
      <c r="C15741" s="5" t="s">
        <v>65</v>
      </c>
      <c r="D15741" s="5">
        <v>1</v>
      </c>
      <c r="E15741" s="5">
        <v>116305</v>
      </c>
    </row>
    <row r="15742" spans="1:5" x14ac:dyDescent="0.35">
      <c r="A15742" s="3">
        <v>46246</v>
      </c>
      <c r="B15742" s="5" t="s">
        <v>376</v>
      </c>
      <c r="C15742" s="5" t="s">
        <v>18</v>
      </c>
      <c r="D15742" s="5">
        <v>1</v>
      </c>
      <c r="E15742" s="5">
        <v>129941</v>
      </c>
    </row>
    <row r="15743" spans="1:5" x14ac:dyDescent="0.35">
      <c r="A15743" s="3">
        <v>46246</v>
      </c>
      <c r="B15743" s="5" t="s">
        <v>354</v>
      </c>
      <c r="C15743" s="5" t="s">
        <v>20</v>
      </c>
      <c r="D15743" s="5">
        <v>1</v>
      </c>
      <c r="E15743" s="5">
        <v>127942</v>
      </c>
    </row>
    <row r="15744" spans="1:5" x14ac:dyDescent="0.35">
      <c r="A15744" s="3">
        <v>46246</v>
      </c>
      <c r="B15744" s="5" t="s">
        <v>354</v>
      </c>
      <c r="C15744" s="5" t="s">
        <v>18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354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354</v>
      </c>
      <c r="C15746" s="5" t="s">
        <v>18</v>
      </c>
      <c r="D15746" s="5">
        <v>1</v>
      </c>
      <c r="E15746" s="5">
        <v>127942</v>
      </c>
    </row>
    <row r="15747" spans="1:5" x14ac:dyDescent="0.35">
      <c r="A15747" s="3">
        <v>46246</v>
      </c>
      <c r="B15747" s="5" t="s">
        <v>354</v>
      </c>
      <c r="C15747" s="5" t="s">
        <v>18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362</v>
      </c>
      <c r="C15748" s="5" t="s">
        <v>66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362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373</v>
      </c>
      <c r="C15750" s="5" t="s">
        <v>93</v>
      </c>
      <c r="D15750" s="5">
        <v>1</v>
      </c>
      <c r="E15750" s="5">
        <v>50168</v>
      </c>
    </row>
    <row r="15751" spans="1:5" x14ac:dyDescent="0.35">
      <c r="A15751" s="3">
        <v>46246</v>
      </c>
      <c r="B15751" s="5" t="s">
        <v>354</v>
      </c>
      <c r="C15751" s="5" t="s">
        <v>20</v>
      </c>
      <c r="D15751" s="5">
        <v>1</v>
      </c>
      <c r="E15751" s="5">
        <v>127942</v>
      </c>
    </row>
    <row r="15752" spans="1:5" x14ac:dyDescent="0.35">
      <c r="A15752" s="3">
        <v>46246</v>
      </c>
      <c r="B15752" s="5" t="s">
        <v>354</v>
      </c>
      <c r="C15752" s="5" t="s">
        <v>20</v>
      </c>
      <c r="D15752" s="5">
        <v>1</v>
      </c>
      <c r="E15752" s="5">
        <v>127942</v>
      </c>
    </row>
    <row r="15753" spans="1:5" x14ac:dyDescent="0.35">
      <c r="A15753" s="3">
        <v>46246</v>
      </c>
      <c r="B15753" s="5" t="s">
        <v>354</v>
      </c>
      <c r="C15753" s="5" t="s">
        <v>20</v>
      </c>
      <c r="D15753" s="5">
        <v>1</v>
      </c>
      <c r="E15753" s="5">
        <v>127942</v>
      </c>
    </row>
    <row r="15754" spans="1:5" x14ac:dyDescent="0.35">
      <c r="A15754" s="3">
        <v>46246</v>
      </c>
      <c r="B15754" s="5" t="s">
        <v>354</v>
      </c>
      <c r="C15754" s="5" t="s">
        <v>20</v>
      </c>
      <c r="D15754" s="5">
        <v>1</v>
      </c>
      <c r="E15754" s="5">
        <v>127942</v>
      </c>
    </row>
    <row r="15755" spans="1:5" x14ac:dyDescent="0.35">
      <c r="A15755" s="3">
        <v>46246</v>
      </c>
      <c r="B15755" s="5" t="s">
        <v>364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354</v>
      </c>
      <c r="C15756" s="5" t="s">
        <v>20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354</v>
      </c>
      <c r="C15757" s="5" t="s">
        <v>19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354</v>
      </c>
      <c r="C15758" s="5" t="s">
        <v>19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364</v>
      </c>
      <c r="C15759" s="5" t="s">
        <v>66</v>
      </c>
      <c r="D15759" s="5">
        <v>1</v>
      </c>
      <c r="E15759" s="5">
        <v>116305</v>
      </c>
    </row>
    <row r="15760" spans="1:5" x14ac:dyDescent="0.35">
      <c r="A15760" s="3">
        <v>46246</v>
      </c>
      <c r="B15760" s="5" t="s">
        <v>364</v>
      </c>
      <c r="C15760" s="5" t="s">
        <v>66</v>
      </c>
      <c r="D15760" s="5">
        <v>1</v>
      </c>
      <c r="E15760" s="5">
        <v>116305</v>
      </c>
    </row>
    <row r="15761" spans="1:5" x14ac:dyDescent="0.35">
      <c r="A15761" s="3">
        <v>46246</v>
      </c>
      <c r="B15761" s="5" t="s">
        <v>362</v>
      </c>
      <c r="C15761" s="5" t="s">
        <v>66</v>
      </c>
      <c r="D15761" s="5">
        <v>1</v>
      </c>
      <c r="E15761" s="5">
        <v>116305</v>
      </c>
    </row>
    <row r="15762" spans="1:5" x14ac:dyDescent="0.35">
      <c r="A15762" s="3">
        <v>46246</v>
      </c>
      <c r="B15762" s="5" t="s">
        <v>237</v>
      </c>
      <c r="C15762" s="5" t="s">
        <v>38</v>
      </c>
      <c r="D15762" s="5">
        <v>1</v>
      </c>
      <c r="E15762" s="5">
        <v>203578</v>
      </c>
    </row>
    <row r="15763" spans="1:5" x14ac:dyDescent="0.35">
      <c r="A15763" s="3">
        <v>46246</v>
      </c>
      <c r="B15763" s="5" t="s">
        <v>237</v>
      </c>
      <c r="C15763" s="5" t="s">
        <v>38</v>
      </c>
      <c r="D15763" s="5">
        <v>1</v>
      </c>
      <c r="E15763" s="5">
        <v>203578</v>
      </c>
    </row>
    <row r="15764" spans="1:5" x14ac:dyDescent="0.35">
      <c r="A15764" s="3">
        <v>46246</v>
      </c>
      <c r="B15764" s="5" t="s">
        <v>362</v>
      </c>
      <c r="C15764" s="5" t="s">
        <v>66</v>
      </c>
      <c r="D15764" s="5">
        <v>1</v>
      </c>
      <c r="E15764" s="5">
        <v>116305</v>
      </c>
    </row>
    <row r="15765" spans="1:5" x14ac:dyDescent="0.35">
      <c r="A15765" s="3">
        <v>46246</v>
      </c>
      <c r="B15765" s="5" t="s">
        <v>373</v>
      </c>
      <c r="C15765" s="5" t="s">
        <v>25</v>
      </c>
      <c r="D15765" s="5">
        <v>1</v>
      </c>
      <c r="E15765" s="5">
        <v>460318</v>
      </c>
    </row>
    <row r="15766" spans="1:5" x14ac:dyDescent="0.35">
      <c r="A15766" s="3">
        <v>46246</v>
      </c>
      <c r="B15766" s="5" t="s">
        <v>376</v>
      </c>
      <c r="C15766" s="5" t="s">
        <v>18</v>
      </c>
      <c r="D15766" s="5">
        <v>1</v>
      </c>
      <c r="E15766" s="5">
        <v>129941</v>
      </c>
    </row>
    <row r="15767" spans="1:5" x14ac:dyDescent="0.35">
      <c r="A15767" s="3">
        <v>46246</v>
      </c>
      <c r="B15767" s="5" t="s">
        <v>354</v>
      </c>
      <c r="C15767" s="5" t="s">
        <v>20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354</v>
      </c>
      <c r="C15768" s="5" t="s">
        <v>20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354</v>
      </c>
      <c r="C15769" s="5" t="s">
        <v>19</v>
      </c>
      <c r="D15769" s="5">
        <v>1</v>
      </c>
      <c r="E15769" s="5">
        <v>127942</v>
      </c>
    </row>
    <row r="15770" spans="1:5" x14ac:dyDescent="0.35">
      <c r="A15770" s="3">
        <v>46246</v>
      </c>
      <c r="B15770" s="5" t="s">
        <v>354</v>
      </c>
      <c r="C15770" s="5" t="s">
        <v>20</v>
      </c>
      <c r="D15770" s="5">
        <v>1</v>
      </c>
      <c r="E15770" s="5">
        <v>127942</v>
      </c>
    </row>
    <row r="15771" spans="1:5" x14ac:dyDescent="0.35">
      <c r="A15771" s="3">
        <v>46246</v>
      </c>
      <c r="B15771" s="5" t="s">
        <v>354</v>
      </c>
      <c r="C15771" s="5" t="s">
        <v>19</v>
      </c>
      <c r="D15771" s="5">
        <v>1</v>
      </c>
      <c r="E15771" s="5">
        <v>127942</v>
      </c>
    </row>
    <row r="15772" spans="1:5" x14ac:dyDescent="0.35">
      <c r="A15772" s="3">
        <v>46246</v>
      </c>
      <c r="B15772" s="5" t="s">
        <v>354</v>
      </c>
      <c r="C15772" s="5" t="s">
        <v>18</v>
      </c>
      <c r="D15772" s="5">
        <v>1</v>
      </c>
      <c r="E15772" s="5">
        <v>127942</v>
      </c>
    </row>
    <row r="15773" spans="1:5" x14ac:dyDescent="0.35">
      <c r="A15773" s="3">
        <v>46246</v>
      </c>
      <c r="B15773" s="5" t="s">
        <v>354</v>
      </c>
      <c r="C15773" s="5" t="s">
        <v>20</v>
      </c>
      <c r="D15773" s="5">
        <v>1</v>
      </c>
      <c r="E15773" s="5">
        <v>127942</v>
      </c>
    </row>
    <row r="15774" spans="1:5" x14ac:dyDescent="0.35">
      <c r="A15774" s="3">
        <v>46246</v>
      </c>
      <c r="B15774" s="5" t="s">
        <v>354</v>
      </c>
      <c r="C15774" s="5" t="s">
        <v>18</v>
      </c>
      <c r="D15774" s="5">
        <v>1</v>
      </c>
      <c r="E15774" s="5">
        <v>127942</v>
      </c>
    </row>
    <row r="15775" spans="1:5" x14ac:dyDescent="0.35">
      <c r="A15775" s="3">
        <v>46246</v>
      </c>
      <c r="B15775" s="5" t="s">
        <v>258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354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354</v>
      </c>
      <c r="C15777" s="5" t="s">
        <v>18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354</v>
      </c>
      <c r="C15778" s="5" t="s">
        <v>18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354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354</v>
      </c>
      <c r="C15780" s="5" t="s">
        <v>18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364</v>
      </c>
      <c r="C15781" s="5" t="s">
        <v>65</v>
      </c>
      <c r="D15781" s="5">
        <v>1</v>
      </c>
      <c r="E15781" s="5">
        <v>116305</v>
      </c>
    </row>
    <row r="15782" spans="1:5" x14ac:dyDescent="0.35">
      <c r="A15782" s="3">
        <v>46246</v>
      </c>
      <c r="B15782" s="5" t="s">
        <v>354</v>
      </c>
      <c r="C15782" s="5" t="s">
        <v>18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362</v>
      </c>
      <c r="C15783" s="5" t="s">
        <v>65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362</v>
      </c>
      <c r="C15784" s="5" t="s">
        <v>66</v>
      </c>
      <c r="D15784" s="5">
        <v>1</v>
      </c>
      <c r="E15784" s="5">
        <v>116305</v>
      </c>
    </row>
    <row r="15785" spans="1:5" x14ac:dyDescent="0.35">
      <c r="A15785" s="3">
        <v>46246</v>
      </c>
      <c r="B15785" s="5" t="s">
        <v>237</v>
      </c>
      <c r="C15785" s="5" t="s">
        <v>38</v>
      </c>
      <c r="D15785" s="5">
        <v>1</v>
      </c>
      <c r="E15785" s="5">
        <v>203578</v>
      </c>
    </row>
    <row r="15786" spans="1:5" x14ac:dyDescent="0.35">
      <c r="A15786" s="3">
        <v>46246</v>
      </c>
      <c r="B15786" s="5" t="s">
        <v>362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362</v>
      </c>
      <c r="C15787" s="5" t="s">
        <v>65</v>
      </c>
      <c r="D15787" s="5">
        <v>1</v>
      </c>
      <c r="E15787" s="5">
        <v>116305</v>
      </c>
    </row>
    <row r="15788" spans="1:5" x14ac:dyDescent="0.35">
      <c r="A15788" s="3">
        <v>46246</v>
      </c>
      <c r="B15788" s="5" t="s">
        <v>376</v>
      </c>
      <c r="C15788" s="5" t="s">
        <v>38</v>
      </c>
      <c r="D15788" s="5">
        <v>1</v>
      </c>
      <c r="E15788" s="5">
        <v>236305</v>
      </c>
    </row>
    <row r="15789" spans="1:5" x14ac:dyDescent="0.35">
      <c r="A15789" s="3">
        <v>46246</v>
      </c>
      <c r="B15789" s="5" t="s">
        <v>354</v>
      </c>
      <c r="C15789" s="5" t="s">
        <v>20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354</v>
      </c>
      <c r="C15790" s="5" t="s">
        <v>20</v>
      </c>
      <c r="D15790" s="5">
        <v>1</v>
      </c>
      <c r="E15790" s="5">
        <v>127942</v>
      </c>
    </row>
    <row r="15791" spans="1:5" x14ac:dyDescent="0.35">
      <c r="A15791" s="3">
        <v>46246</v>
      </c>
      <c r="B15791" s="5" t="s">
        <v>354</v>
      </c>
      <c r="C15791" s="5" t="s">
        <v>20</v>
      </c>
      <c r="D15791" s="5">
        <v>1</v>
      </c>
      <c r="E15791" s="5">
        <v>127942</v>
      </c>
    </row>
    <row r="15792" spans="1:5" x14ac:dyDescent="0.35">
      <c r="A15792" s="3">
        <v>46246</v>
      </c>
      <c r="B15792" s="5" t="s">
        <v>354</v>
      </c>
      <c r="C15792" s="5" t="s">
        <v>20</v>
      </c>
      <c r="D15792" s="5">
        <v>1</v>
      </c>
      <c r="E15792" s="5">
        <v>127942</v>
      </c>
    </row>
    <row r="15793" spans="1:5" x14ac:dyDescent="0.35">
      <c r="A15793" s="3">
        <v>46246</v>
      </c>
      <c r="B15793" s="5" t="s">
        <v>354</v>
      </c>
      <c r="C15793" s="5" t="s">
        <v>20</v>
      </c>
      <c r="D15793" s="5">
        <v>1</v>
      </c>
      <c r="E15793" s="5">
        <v>127942</v>
      </c>
    </row>
    <row r="15794" spans="1:5" x14ac:dyDescent="0.35">
      <c r="A15794" s="3">
        <v>46246</v>
      </c>
      <c r="B15794" s="5" t="s">
        <v>354</v>
      </c>
      <c r="C15794" s="5" t="s">
        <v>20</v>
      </c>
      <c r="D15794" s="5">
        <v>1</v>
      </c>
      <c r="E15794" s="5">
        <v>127942</v>
      </c>
    </row>
    <row r="15795" spans="1:5" x14ac:dyDescent="0.35">
      <c r="A15795" s="3">
        <v>46246</v>
      </c>
      <c r="B15795" s="5" t="s">
        <v>354</v>
      </c>
      <c r="C15795" s="5" t="s">
        <v>20</v>
      </c>
      <c r="D15795" s="5">
        <v>1</v>
      </c>
      <c r="E15795" s="5">
        <v>127942</v>
      </c>
    </row>
    <row r="15796" spans="1:5" x14ac:dyDescent="0.35">
      <c r="A15796" s="3">
        <v>46246</v>
      </c>
      <c r="B15796" s="5" t="s">
        <v>354</v>
      </c>
      <c r="C15796" s="5" t="s">
        <v>20</v>
      </c>
      <c r="D15796" s="5">
        <v>1</v>
      </c>
      <c r="E15796" s="5">
        <v>127942</v>
      </c>
    </row>
    <row r="15797" spans="1:5" x14ac:dyDescent="0.35">
      <c r="A15797" s="3">
        <v>46246</v>
      </c>
      <c r="B15797" s="5" t="s">
        <v>354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354</v>
      </c>
      <c r="C15798" s="5" t="s">
        <v>19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354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354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354</v>
      </c>
      <c r="C15801" s="5" t="s">
        <v>19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364</v>
      </c>
      <c r="C15802" s="5" t="s">
        <v>66</v>
      </c>
      <c r="D15802" s="5">
        <v>1</v>
      </c>
      <c r="E15802" s="5">
        <v>116305</v>
      </c>
    </row>
    <row r="15803" spans="1:5" x14ac:dyDescent="0.35">
      <c r="A15803" s="3">
        <v>46246</v>
      </c>
      <c r="B15803" s="5" t="s">
        <v>354</v>
      </c>
      <c r="C15803" s="5" t="s">
        <v>19</v>
      </c>
      <c r="D15803" s="5">
        <v>1</v>
      </c>
      <c r="E15803" s="5">
        <v>127942</v>
      </c>
    </row>
    <row r="15804" spans="1:5" x14ac:dyDescent="0.35">
      <c r="A15804" s="3">
        <v>46246</v>
      </c>
      <c r="B15804" s="5" t="s">
        <v>354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364</v>
      </c>
      <c r="C15805" s="5" t="s">
        <v>66</v>
      </c>
      <c r="D15805" s="5">
        <v>1</v>
      </c>
      <c r="E15805" s="5">
        <v>116305</v>
      </c>
    </row>
    <row r="15806" spans="1:5" x14ac:dyDescent="0.35">
      <c r="A15806" s="3">
        <v>46246</v>
      </c>
      <c r="B15806" s="5" t="s">
        <v>364</v>
      </c>
      <c r="C15806" s="5" t="s">
        <v>67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237</v>
      </c>
      <c r="C15807" s="5" t="s">
        <v>38</v>
      </c>
      <c r="D15807" s="5">
        <v>1</v>
      </c>
      <c r="E15807" s="5">
        <v>203578</v>
      </c>
    </row>
    <row r="15808" spans="1:5" x14ac:dyDescent="0.35">
      <c r="A15808" s="3">
        <v>46246</v>
      </c>
      <c r="B15808" s="5" t="s">
        <v>237</v>
      </c>
      <c r="C15808" s="5" t="s">
        <v>38</v>
      </c>
      <c r="D15808" s="5">
        <v>1</v>
      </c>
      <c r="E15808" s="5">
        <v>203578</v>
      </c>
    </row>
    <row r="15809" spans="1:5" x14ac:dyDescent="0.35">
      <c r="A15809" s="3">
        <v>46246</v>
      </c>
      <c r="B15809" s="5" t="s">
        <v>237</v>
      </c>
      <c r="C15809" s="5" t="s">
        <v>38</v>
      </c>
      <c r="D15809" s="5">
        <v>1</v>
      </c>
      <c r="E15809" s="5">
        <v>203578</v>
      </c>
    </row>
    <row r="15810" spans="1:5" x14ac:dyDescent="0.35">
      <c r="A15810" s="3">
        <v>46246</v>
      </c>
      <c r="B15810" s="5" t="s">
        <v>362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362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373</v>
      </c>
      <c r="C15812" s="5" t="s">
        <v>28</v>
      </c>
      <c r="D15812" s="5">
        <v>1</v>
      </c>
      <c r="E15812" s="5">
        <v>118123</v>
      </c>
    </row>
    <row r="15813" spans="1:5" x14ac:dyDescent="0.35">
      <c r="A15813" s="3">
        <v>46246</v>
      </c>
      <c r="B15813" s="5" t="s">
        <v>121</v>
      </c>
      <c r="C15813" s="5" t="s">
        <v>33</v>
      </c>
      <c r="D15813" s="5">
        <v>1</v>
      </c>
      <c r="E15813" s="5">
        <v>203578</v>
      </c>
    </row>
    <row r="15814" spans="1:5" x14ac:dyDescent="0.35">
      <c r="A15814" s="3">
        <v>46246</v>
      </c>
      <c r="B15814" s="5" t="s">
        <v>121</v>
      </c>
      <c r="C15814" s="5" t="s">
        <v>42</v>
      </c>
      <c r="D15814" s="5">
        <v>1</v>
      </c>
      <c r="E15814" s="5">
        <v>203578</v>
      </c>
    </row>
    <row r="15815" spans="1:5" x14ac:dyDescent="0.35">
      <c r="A15815" s="3">
        <v>46246</v>
      </c>
      <c r="B15815" s="5" t="s">
        <v>354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354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354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354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354</v>
      </c>
      <c r="C15819" s="5" t="s">
        <v>19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354</v>
      </c>
      <c r="C15820" s="5" t="s">
        <v>20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354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354</v>
      </c>
      <c r="C15822" s="5" t="s">
        <v>20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354</v>
      </c>
      <c r="C15823" s="5" t="s">
        <v>20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354</v>
      </c>
      <c r="C15824" s="5" t="s">
        <v>19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364</v>
      </c>
      <c r="C15825" s="5" t="s">
        <v>67</v>
      </c>
      <c r="D15825" s="5">
        <v>1</v>
      </c>
      <c r="E15825" s="5">
        <v>116305</v>
      </c>
    </row>
    <row r="15826" spans="1:5" x14ac:dyDescent="0.35">
      <c r="A15826" s="3">
        <v>46246</v>
      </c>
      <c r="B15826" s="5" t="s">
        <v>364</v>
      </c>
      <c r="C15826" s="5" t="s">
        <v>65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364</v>
      </c>
      <c r="C15827" s="5" t="s">
        <v>67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364</v>
      </c>
      <c r="C15828" s="5" t="s">
        <v>67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362</v>
      </c>
      <c r="C15829" s="5" t="s">
        <v>66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362</v>
      </c>
      <c r="C15830" s="5" t="s">
        <v>66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362</v>
      </c>
      <c r="C15831" s="5" t="s">
        <v>65</v>
      </c>
      <c r="D15831" s="5">
        <v>1</v>
      </c>
      <c r="E15831" s="5">
        <v>116305</v>
      </c>
    </row>
    <row r="15832" spans="1:5" x14ac:dyDescent="0.35">
      <c r="A15832" s="3">
        <v>46246</v>
      </c>
      <c r="B15832" s="5" t="s">
        <v>362</v>
      </c>
      <c r="C15832" s="5" t="s">
        <v>65</v>
      </c>
      <c r="D15832" s="5">
        <v>1</v>
      </c>
      <c r="E15832" s="5">
        <v>116305</v>
      </c>
    </row>
    <row r="15833" spans="1:5" x14ac:dyDescent="0.35">
      <c r="A15833" s="3">
        <v>46246</v>
      </c>
      <c r="B15833" s="5" t="s">
        <v>362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373</v>
      </c>
      <c r="C15834" s="5" t="s">
        <v>18</v>
      </c>
      <c r="D15834" s="5">
        <v>1</v>
      </c>
      <c r="E15834" s="5">
        <v>129941</v>
      </c>
    </row>
    <row r="15835" spans="1:5" x14ac:dyDescent="0.35">
      <c r="A15835" s="3">
        <v>46246</v>
      </c>
      <c r="B15835" s="5" t="s">
        <v>373</v>
      </c>
      <c r="C15835" s="5" t="s">
        <v>93</v>
      </c>
      <c r="D15835" s="5">
        <v>1</v>
      </c>
      <c r="E15835" s="5">
        <v>50168</v>
      </c>
    </row>
    <row r="15836" spans="1:5" x14ac:dyDescent="0.35">
      <c r="A15836" s="3">
        <v>46246</v>
      </c>
      <c r="B15836" s="5" t="s">
        <v>373</v>
      </c>
      <c r="C15836" s="5" t="s">
        <v>48</v>
      </c>
      <c r="D15836" s="5">
        <v>1</v>
      </c>
      <c r="E15836" s="5">
        <v>501682</v>
      </c>
    </row>
    <row r="15837" spans="1:5" x14ac:dyDescent="0.35">
      <c r="A15837" s="3">
        <v>46246</v>
      </c>
      <c r="B15837" s="5" t="s">
        <v>354</v>
      </c>
      <c r="C15837" s="5" t="s">
        <v>20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354</v>
      </c>
      <c r="C15838" s="5" t="s">
        <v>20</v>
      </c>
      <c r="D15838" s="5">
        <v>1</v>
      </c>
      <c r="E15838" s="5">
        <v>127942</v>
      </c>
    </row>
    <row r="15839" spans="1:5" x14ac:dyDescent="0.35">
      <c r="A15839" s="3">
        <v>46246</v>
      </c>
      <c r="B15839" s="5" t="s">
        <v>354</v>
      </c>
      <c r="C15839" s="5" t="s">
        <v>19</v>
      </c>
      <c r="D15839" s="5">
        <v>1</v>
      </c>
      <c r="E15839" s="5">
        <v>127942</v>
      </c>
    </row>
    <row r="15840" spans="1:5" x14ac:dyDescent="0.35">
      <c r="A15840" s="3">
        <v>46246</v>
      </c>
      <c r="B15840" s="5" t="s">
        <v>354</v>
      </c>
      <c r="C15840" s="5" t="s">
        <v>19</v>
      </c>
      <c r="D15840" s="5">
        <v>1</v>
      </c>
      <c r="E15840" s="5">
        <v>127942</v>
      </c>
    </row>
    <row r="15841" spans="1:5" x14ac:dyDescent="0.35">
      <c r="A15841" s="3">
        <v>46246</v>
      </c>
      <c r="B15841" s="5" t="s">
        <v>354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354</v>
      </c>
      <c r="C15842" s="5" t="s">
        <v>19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354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354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364</v>
      </c>
      <c r="C15845" s="5" t="s">
        <v>66</v>
      </c>
      <c r="D15845" s="5">
        <v>1</v>
      </c>
      <c r="E15845" s="5">
        <v>116305</v>
      </c>
    </row>
    <row r="15846" spans="1:5" x14ac:dyDescent="0.35">
      <c r="A15846" s="3">
        <v>46246</v>
      </c>
      <c r="B15846" s="5" t="s">
        <v>364</v>
      </c>
      <c r="C15846" s="5" t="s">
        <v>66</v>
      </c>
      <c r="D15846" s="5">
        <v>1</v>
      </c>
      <c r="E15846" s="5">
        <v>116305</v>
      </c>
    </row>
    <row r="15847" spans="1:5" x14ac:dyDescent="0.35">
      <c r="A15847" s="3">
        <v>46246</v>
      </c>
      <c r="B15847" s="5" t="s">
        <v>354</v>
      </c>
      <c r="C15847" s="5" t="s">
        <v>19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364</v>
      </c>
      <c r="C15848" s="5" t="s">
        <v>65</v>
      </c>
      <c r="D15848" s="5">
        <v>1</v>
      </c>
      <c r="E15848" s="5">
        <v>116305</v>
      </c>
    </row>
    <row r="15849" spans="1:5" x14ac:dyDescent="0.35">
      <c r="A15849" s="3">
        <v>46246</v>
      </c>
      <c r="B15849" s="5" t="s">
        <v>354</v>
      </c>
      <c r="C15849" s="5" t="s">
        <v>19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364</v>
      </c>
      <c r="C15850" s="5" t="s">
        <v>65</v>
      </c>
      <c r="D15850" s="5">
        <v>1</v>
      </c>
      <c r="E15850" s="5">
        <v>116305</v>
      </c>
    </row>
    <row r="15851" spans="1:5" x14ac:dyDescent="0.35">
      <c r="A15851" s="3">
        <v>46246</v>
      </c>
      <c r="B15851" s="5" t="s">
        <v>364</v>
      </c>
      <c r="C15851" s="5" t="s">
        <v>65</v>
      </c>
      <c r="D15851" s="5">
        <v>1</v>
      </c>
      <c r="E15851" s="5">
        <v>116305</v>
      </c>
    </row>
    <row r="15852" spans="1:5" x14ac:dyDescent="0.35">
      <c r="A15852" s="3">
        <v>46246</v>
      </c>
      <c r="B15852" s="5" t="s">
        <v>364</v>
      </c>
      <c r="C15852" s="5" t="s">
        <v>65</v>
      </c>
      <c r="D15852" s="5">
        <v>1</v>
      </c>
      <c r="E15852" s="5">
        <v>116305</v>
      </c>
    </row>
    <row r="15853" spans="1:5" x14ac:dyDescent="0.35">
      <c r="A15853" s="3">
        <v>46246</v>
      </c>
      <c r="B15853" s="5" t="s">
        <v>362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362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362</v>
      </c>
      <c r="C15855" s="5" t="s">
        <v>66</v>
      </c>
      <c r="D15855" s="5">
        <v>1</v>
      </c>
      <c r="E15855" s="5">
        <v>116305</v>
      </c>
    </row>
    <row r="15856" spans="1:5" x14ac:dyDescent="0.35">
      <c r="A15856" s="3">
        <v>46246</v>
      </c>
      <c r="B15856" s="5" t="s">
        <v>362</v>
      </c>
      <c r="C15856" s="5" t="s">
        <v>67</v>
      </c>
      <c r="D15856" s="5">
        <v>1</v>
      </c>
      <c r="E15856" s="5">
        <v>116305</v>
      </c>
    </row>
    <row r="15857" spans="1:5" x14ac:dyDescent="0.35">
      <c r="A15857" s="3">
        <v>46246</v>
      </c>
      <c r="B15857" s="5" t="s">
        <v>362</v>
      </c>
      <c r="C15857" s="5" t="s">
        <v>67</v>
      </c>
      <c r="D15857" s="5">
        <v>1</v>
      </c>
      <c r="E15857" s="5">
        <v>116305</v>
      </c>
    </row>
    <row r="15858" spans="1:5" x14ac:dyDescent="0.35">
      <c r="A15858" s="3">
        <v>46246</v>
      </c>
      <c r="B15858" s="5" t="s">
        <v>244</v>
      </c>
      <c r="C15858" s="5" t="s">
        <v>85</v>
      </c>
      <c r="D15858" s="5">
        <v>1</v>
      </c>
      <c r="E15858" s="5">
        <v>189032</v>
      </c>
    </row>
    <row r="15859" spans="1:5" x14ac:dyDescent="0.35">
      <c r="A15859" s="3">
        <v>46246</v>
      </c>
      <c r="B15859" s="5" t="s">
        <v>244</v>
      </c>
      <c r="C15859" s="5" t="s">
        <v>85</v>
      </c>
      <c r="D15859" s="5">
        <v>1</v>
      </c>
      <c r="E15859" s="5">
        <v>189032</v>
      </c>
    </row>
    <row r="15860" spans="1:5" x14ac:dyDescent="0.35">
      <c r="A15860" s="3">
        <v>46246</v>
      </c>
      <c r="B15860" s="5" t="s">
        <v>354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354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354</v>
      </c>
      <c r="C15862" s="5" t="s">
        <v>20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354</v>
      </c>
      <c r="C15863" s="5" t="s">
        <v>20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354</v>
      </c>
      <c r="C15864" s="5" t="s">
        <v>18</v>
      </c>
      <c r="D15864" s="5">
        <v>1</v>
      </c>
      <c r="E15864" s="5">
        <v>127942</v>
      </c>
    </row>
    <row r="15865" spans="1:5" x14ac:dyDescent="0.35">
      <c r="A15865" s="3">
        <v>46246</v>
      </c>
      <c r="B15865" s="5" t="s">
        <v>364</v>
      </c>
      <c r="C15865" s="5" t="s">
        <v>66</v>
      </c>
      <c r="D15865" s="5">
        <v>1</v>
      </c>
      <c r="E15865" s="5">
        <v>116305</v>
      </c>
    </row>
    <row r="15866" spans="1:5" x14ac:dyDescent="0.35">
      <c r="A15866" s="3">
        <v>46246</v>
      </c>
      <c r="B15866" s="5" t="s">
        <v>354</v>
      </c>
      <c r="C15866" s="5" t="s">
        <v>20</v>
      </c>
      <c r="D15866" s="5">
        <v>1</v>
      </c>
      <c r="E15866" s="5">
        <v>127942</v>
      </c>
    </row>
    <row r="15867" spans="1:5" x14ac:dyDescent="0.35">
      <c r="A15867" s="3">
        <v>46246</v>
      </c>
      <c r="B15867" s="5" t="s">
        <v>354</v>
      </c>
      <c r="C15867" s="5" t="s">
        <v>19</v>
      </c>
      <c r="D15867" s="5">
        <v>1</v>
      </c>
      <c r="E15867" s="5">
        <v>127942</v>
      </c>
    </row>
    <row r="15868" spans="1:5" x14ac:dyDescent="0.35">
      <c r="A15868" s="3">
        <v>46246</v>
      </c>
      <c r="B15868" s="5" t="s">
        <v>354</v>
      </c>
      <c r="C15868" s="5" t="s">
        <v>19</v>
      </c>
      <c r="D15868" s="5">
        <v>1</v>
      </c>
      <c r="E15868" s="5">
        <v>127942</v>
      </c>
    </row>
    <row r="15869" spans="1:5" x14ac:dyDescent="0.35">
      <c r="A15869" s="3">
        <v>46246</v>
      </c>
      <c r="B15869" s="5" t="s">
        <v>354</v>
      </c>
      <c r="C15869" s="5" t="s">
        <v>18</v>
      </c>
      <c r="D15869" s="5">
        <v>1</v>
      </c>
      <c r="E15869" s="5">
        <v>127942</v>
      </c>
    </row>
    <row r="15870" spans="1:5" x14ac:dyDescent="0.35">
      <c r="A15870" s="3">
        <v>46246</v>
      </c>
      <c r="B15870" s="5" t="s">
        <v>354</v>
      </c>
      <c r="C15870" s="5" t="s">
        <v>18</v>
      </c>
      <c r="D15870" s="5">
        <v>1</v>
      </c>
      <c r="E15870" s="5">
        <v>127942</v>
      </c>
    </row>
    <row r="15871" spans="1:5" x14ac:dyDescent="0.35">
      <c r="A15871" s="3">
        <v>46246</v>
      </c>
      <c r="B15871" s="5" t="s">
        <v>354</v>
      </c>
      <c r="C15871" s="5" t="s">
        <v>18</v>
      </c>
      <c r="D15871" s="5">
        <v>1</v>
      </c>
      <c r="E15871" s="5">
        <v>127942</v>
      </c>
    </row>
    <row r="15872" spans="1:5" x14ac:dyDescent="0.35">
      <c r="A15872" s="3">
        <v>46246</v>
      </c>
      <c r="B15872" s="5" t="s">
        <v>362</v>
      </c>
      <c r="C15872" s="5" t="s">
        <v>66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362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362</v>
      </c>
      <c r="C15874" s="5" t="s">
        <v>66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362</v>
      </c>
      <c r="C15875" s="5" t="s">
        <v>66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362</v>
      </c>
      <c r="C15876" s="5" t="s">
        <v>66</v>
      </c>
      <c r="D15876" s="5">
        <v>1</v>
      </c>
      <c r="E15876" s="5">
        <v>116305</v>
      </c>
    </row>
    <row r="15877" spans="1:5" x14ac:dyDescent="0.35">
      <c r="A15877" s="3">
        <v>46246</v>
      </c>
      <c r="B15877" s="5" t="s">
        <v>362</v>
      </c>
      <c r="C15877" s="5" t="s">
        <v>65</v>
      </c>
      <c r="D15877" s="5">
        <v>1</v>
      </c>
      <c r="E15877" s="5">
        <v>116305</v>
      </c>
    </row>
    <row r="15878" spans="1:5" x14ac:dyDescent="0.35">
      <c r="A15878" s="3">
        <v>46246</v>
      </c>
      <c r="B15878" s="5" t="s">
        <v>354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354</v>
      </c>
      <c r="C15879" s="5" t="s">
        <v>18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364</v>
      </c>
      <c r="C15880" s="5" t="s">
        <v>66</v>
      </c>
      <c r="D15880" s="5">
        <v>1</v>
      </c>
      <c r="E15880" s="5">
        <v>116305</v>
      </c>
    </row>
    <row r="15881" spans="1:5" x14ac:dyDescent="0.35">
      <c r="A15881" s="3">
        <v>46246</v>
      </c>
      <c r="B15881" s="5" t="s">
        <v>364</v>
      </c>
      <c r="C15881" s="5" t="s">
        <v>66</v>
      </c>
      <c r="D15881" s="5">
        <v>1</v>
      </c>
      <c r="E15881" s="5">
        <v>116305</v>
      </c>
    </row>
    <row r="15882" spans="1:5" x14ac:dyDescent="0.35">
      <c r="A15882" s="3">
        <v>46246</v>
      </c>
      <c r="B15882" s="5" t="s">
        <v>364</v>
      </c>
      <c r="C15882" s="5" t="s">
        <v>66</v>
      </c>
      <c r="D15882" s="5">
        <v>1</v>
      </c>
      <c r="E15882" s="5">
        <v>116305</v>
      </c>
    </row>
    <row r="15883" spans="1:5" x14ac:dyDescent="0.35">
      <c r="A15883" s="3">
        <v>46246</v>
      </c>
      <c r="B15883" s="5" t="s">
        <v>364</v>
      </c>
      <c r="C15883" s="5" t="s">
        <v>66</v>
      </c>
      <c r="D15883" s="5">
        <v>1</v>
      </c>
      <c r="E15883" s="5">
        <v>116305</v>
      </c>
    </row>
    <row r="15884" spans="1:5" x14ac:dyDescent="0.35">
      <c r="A15884" s="3">
        <v>46246</v>
      </c>
      <c r="B15884" s="5" t="s">
        <v>362</v>
      </c>
      <c r="C15884" s="5" t="s">
        <v>65</v>
      </c>
      <c r="D15884" s="5">
        <v>1</v>
      </c>
      <c r="E15884" s="5">
        <v>116305</v>
      </c>
    </row>
    <row r="15885" spans="1:5" x14ac:dyDescent="0.35">
      <c r="A15885" s="3">
        <v>46246</v>
      </c>
      <c r="B15885" s="5" t="s">
        <v>362</v>
      </c>
      <c r="C15885" s="5" t="s">
        <v>66</v>
      </c>
      <c r="D15885" s="5">
        <v>1</v>
      </c>
      <c r="E15885" s="5">
        <v>116305</v>
      </c>
    </row>
    <row r="15886" spans="1:5" x14ac:dyDescent="0.35">
      <c r="A15886" s="3">
        <v>46246</v>
      </c>
      <c r="B15886" s="5" t="s">
        <v>354</v>
      </c>
      <c r="C15886" s="5" t="s">
        <v>20</v>
      </c>
      <c r="D15886" s="5">
        <v>1</v>
      </c>
      <c r="E15886" s="5">
        <v>127942</v>
      </c>
    </row>
    <row r="15887" spans="1:5" x14ac:dyDescent="0.35">
      <c r="A15887" s="3">
        <v>46246</v>
      </c>
      <c r="B15887" s="5" t="s">
        <v>354</v>
      </c>
      <c r="C15887" s="5" t="s">
        <v>20</v>
      </c>
      <c r="D15887" s="5">
        <v>1</v>
      </c>
      <c r="E15887" s="5">
        <v>127942</v>
      </c>
    </row>
    <row r="15888" spans="1:5" x14ac:dyDescent="0.35">
      <c r="A15888" s="3">
        <v>46246</v>
      </c>
      <c r="B15888" s="5" t="s">
        <v>354</v>
      </c>
      <c r="C15888" s="5" t="s">
        <v>20</v>
      </c>
      <c r="D15888" s="5">
        <v>1</v>
      </c>
      <c r="E15888" s="5">
        <v>127942</v>
      </c>
    </row>
    <row r="15889" spans="1:5" x14ac:dyDescent="0.35">
      <c r="A15889" s="3">
        <v>46246</v>
      </c>
      <c r="B15889" s="5" t="s">
        <v>354</v>
      </c>
      <c r="C15889" s="5" t="s">
        <v>18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354</v>
      </c>
      <c r="C15890" s="5" t="s">
        <v>20</v>
      </c>
      <c r="D15890" s="5">
        <v>1</v>
      </c>
      <c r="E15890" s="5">
        <v>127942</v>
      </c>
    </row>
    <row r="15891" spans="1:5" x14ac:dyDescent="0.35">
      <c r="A15891" s="3">
        <v>46246</v>
      </c>
      <c r="B15891" s="5" t="s">
        <v>354</v>
      </c>
      <c r="C15891" s="5" t="s">
        <v>20</v>
      </c>
      <c r="D15891" s="5">
        <v>1</v>
      </c>
      <c r="E15891" s="5">
        <v>127942</v>
      </c>
    </row>
    <row r="15892" spans="1:5" x14ac:dyDescent="0.35">
      <c r="A15892" s="3">
        <v>46246</v>
      </c>
      <c r="B15892" s="5" t="s">
        <v>354</v>
      </c>
      <c r="C15892" s="5" t="s">
        <v>18</v>
      </c>
      <c r="D15892" s="5">
        <v>1</v>
      </c>
      <c r="E15892" s="5">
        <v>127942</v>
      </c>
    </row>
    <row r="15893" spans="1:5" x14ac:dyDescent="0.35">
      <c r="A15893" s="3">
        <v>46246</v>
      </c>
      <c r="B15893" s="5" t="s">
        <v>354</v>
      </c>
      <c r="C15893" s="5" t="s">
        <v>20</v>
      </c>
      <c r="D15893" s="5">
        <v>1</v>
      </c>
      <c r="E15893" s="5">
        <v>127942</v>
      </c>
    </row>
    <row r="15894" spans="1:5" x14ac:dyDescent="0.35">
      <c r="A15894" s="3">
        <v>46246</v>
      </c>
      <c r="B15894" s="5" t="s">
        <v>354</v>
      </c>
      <c r="C15894" s="5" t="s">
        <v>19</v>
      </c>
      <c r="D15894" s="5">
        <v>1</v>
      </c>
      <c r="E15894" s="5">
        <v>127942</v>
      </c>
    </row>
    <row r="15895" spans="1:5" x14ac:dyDescent="0.35">
      <c r="A15895" s="3">
        <v>46246</v>
      </c>
      <c r="B15895" s="5" t="s">
        <v>354</v>
      </c>
      <c r="C15895" s="5" t="s">
        <v>20</v>
      </c>
      <c r="D15895" s="5">
        <v>1</v>
      </c>
      <c r="E15895" s="5">
        <v>127942</v>
      </c>
    </row>
    <row r="15896" spans="1:5" x14ac:dyDescent="0.35">
      <c r="A15896" s="3">
        <v>46246</v>
      </c>
      <c r="B15896" s="5" t="s">
        <v>354</v>
      </c>
      <c r="C15896" s="5" t="s">
        <v>18</v>
      </c>
      <c r="D15896" s="5">
        <v>1</v>
      </c>
      <c r="E15896" s="5">
        <v>127942</v>
      </c>
    </row>
    <row r="15897" spans="1:5" x14ac:dyDescent="0.35">
      <c r="A15897" s="3">
        <v>46246</v>
      </c>
      <c r="B15897" s="5" t="s">
        <v>354</v>
      </c>
      <c r="C15897" s="5" t="s">
        <v>18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364</v>
      </c>
      <c r="C15898" s="5" t="s">
        <v>67</v>
      </c>
      <c r="D15898" s="5">
        <v>1</v>
      </c>
      <c r="E15898" s="5">
        <v>116305</v>
      </c>
    </row>
    <row r="15899" spans="1:5" x14ac:dyDescent="0.35">
      <c r="A15899" s="3">
        <v>46246</v>
      </c>
      <c r="B15899" s="5" t="s">
        <v>364</v>
      </c>
      <c r="C15899" s="5" t="s">
        <v>67</v>
      </c>
      <c r="D15899" s="5">
        <v>1</v>
      </c>
      <c r="E15899" s="5">
        <v>116305</v>
      </c>
    </row>
    <row r="15900" spans="1:5" x14ac:dyDescent="0.35">
      <c r="A15900" s="3">
        <v>46246</v>
      </c>
      <c r="B15900" s="5" t="s">
        <v>362</v>
      </c>
      <c r="C15900" s="5" t="s">
        <v>65</v>
      </c>
      <c r="D15900" s="5">
        <v>1</v>
      </c>
      <c r="E15900" s="5">
        <v>116305</v>
      </c>
    </row>
    <row r="15901" spans="1:5" x14ac:dyDescent="0.35">
      <c r="A15901" s="3">
        <v>46246</v>
      </c>
      <c r="B15901" s="5" t="s">
        <v>362</v>
      </c>
      <c r="C15901" s="5" t="s">
        <v>65</v>
      </c>
      <c r="D15901" s="5">
        <v>1</v>
      </c>
      <c r="E15901" s="5">
        <v>116305</v>
      </c>
    </row>
    <row r="15902" spans="1:5" x14ac:dyDescent="0.35">
      <c r="A15902" s="3">
        <v>46246</v>
      </c>
      <c r="B15902" s="5" t="s">
        <v>362</v>
      </c>
      <c r="C15902" s="5" t="s">
        <v>66</v>
      </c>
      <c r="D15902" s="5">
        <v>1</v>
      </c>
      <c r="E15902" s="5">
        <v>116305</v>
      </c>
    </row>
    <row r="15903" spans="1:5" x14ac:dyDescent="0.35">
      <c r="A15903" s="3">
        <v>46246</v>
      </c>
      <c r="B15903" s="5" t="s">
        <v>376</v>
      </c>
      <c r="C15903" s="5" t="s">
        <v>50</v>
      </c>
      <c r="D15903" s="5">
        <v>1</v>
      </c>
      <c r="E15903" s="5">
        <v>106305</v>
      </c>
    </row>
    <row r="15904" spans="1:5" x14ac:dyDescent="0.35">
      <c r="A15904" s="3">
        <v>46246</v>
      </c>
      <c r="B15904" s="5" t="s">
        <v>373</v>
      </c>
      <c r="C15904" s="5" t="s">
        <v>18</v>
      </c>
      <c r="D15904" s="5">
        <v>1</v>
      </c>
      <c r="E15904" s="5">
        <v>129941</v>
      </c>
    </row>
    <row r="15905" spans="1:5" x14ac:dyDescent="0.35">
      <c r="A15905" s="3">
        <v>46246</v>
      </c>
      <c r="B15905" s="5" t="s">
        <v>354</v>
      </c>
      <c r="C15905" s="5" t="s">
        <v>20</v>
      </c>
      <c r="D15905" s="5">
        <v>1</v>
      </c>
      <c r="E15905" s="5">
        <v>127942</v>
      </c>
    </row>
    <row r="15906" spans="1:5" x14ac:dyDescent="0.35">
      <c r="A15906" s="3">
        <v>46246</v>
      </c>
      <c r="B15906" s="5" t="s">
        <v>354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354</v>
      </c>
      <c r="C15907" s="5" t="s">
        <v>20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354</v>
      </c>
      <c r="C15908" s="5" t="s">
        <v>20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364</v>
      </c>
      <c r="C15909" s="5" t="s">
        <v>66</v>
      </c>
      <c r="D15909" s="5">
        <v>1</v>
      </c>
      <c r="E15909" s="5">
        <v>116305</v>
      </c>
    </row>
    <row r="15910" spans="1:5" x14ac:dyDescent="0.35">
      <c r="A15910" s="3">
        <v>46246</v>
      </c>
      <c r="B15910" s="5" t="s">
        <v>354</v>
      </c>
      <c r="C15910" s="5" t="s">
        <v>19</v>
      </c>
      <c r="D15910" s="5">
        <v>1</v>
      </c>
      <c r="E15910" s="5">
        <v>127942</v>
      </c>
    </row>
    <row r="15911" spans="1:5" x14ac:dyDescent="0.35">
      <c r="A15911" s="3">
        <v>46246</v>
      </c>
      <c r="B15911" s="5" t="s">
        <v>354</v>
      </c>
      <c r="C15911" s="5" t="s">
        <v>18</v>
      </c>
      <c r="D15911" s="5">
        <v>1</v>
      </c>
      <c r="E15911" s="5">
        <v>127942</v>
      </c>
    </row>
    <row r="15912" spans="1:5" x14ac:dyDescent="0.35">
      <c r="A15912" s="3">
        <v>46246</v>
      </c>
      <c r="B15912" s="5" t="s">
        <v>364</v>
      </c>
      <c r="C15912" s="5" t="s">
        <v>65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364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354</v>
      </c>
      <c r="C15914" s="5" t="s">
        <v>19</v>
      </c>
      <c r="D15914" s="5">
        <v>1</v>
      </c>
      <c r="E15914" s="5">
        <v>127942</v>
      </c>
    </row>
    <row r="15915" spans="1:5" x14ac:dyDescent="0.35">
      <c r="A15915" s="3">
        <v>46246</v>
      </c>
      <c r="B15915" s="5" t="s">
        <v>354</v>
      </c>
      <c r="C15915" s="5" t="s">
        <v>18</v>
      </c>
      <c r="D15915" s="5">
        <v>1</v>
      </c>
      <c r="E15915" s="5">
        <v>127942</v>
      </c>
    </row>
    <row r="15916" spans="1:5" x14ac:dyDescent="0.35">
      <c r="A15916" s="3">
        <v>46246</v>
      </c>
      <c r="B15916" s="5" t="s">
        <v>364</v>
      </c>
      <c r="C15916" s="5" t="s">
        <v>66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354</v>
      </c>
      <c r="C15917" s="5" t="s">
        <v>19</v>
      </c>
      <c r="D15917" s="5">
        <v>1</v>
      </c>
      <c r="E15917" s="5">
        <v>127942</v>
      </c>
    </row>
    <row r="15918" spans="1:5" x14ac:dyDescent="0.35">
      <c r="A15918" s="3">
        <v>46246</v>
      </c>
      <c r="B15918" s="5" t="s">
        <v>364</v>
      </c>
      <c r="C15918" s="5" t="s">
        <v>65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362</v>
      </c>
      <c r="C15919" s="5" t="s">
        <v>66</v>
      </c>
      <c r="D15919" s="5">
        <v>1</v>
      </c>
      <c r="E15919" s="5">
        <v>116305</v>
      </c>
    </row>
    <row r="15920" spans="1:5" x14ac:dyDescent="0.35">
      <c r="A15920" s="3">
        <v>46246</v>
      </c>
      <c r="B15920" s="5" t="s">
        <v>237</v>
      </c>
      <c r="C15920" s="5" t="s">
        <v>38</v>
      </c>
      <c r="D15920" s="5">
        <v>1</v>
      </c>
      <c r="E15920" s="5">
        <v>203578</v>
      </c>
    </row>
    <row r="15921" spans="1:5" x14ac:dyDescent="0.35">
      <c r="A15921" s="3">
        <v>46246</v>
      </c>
      <c r="B15921" s="5" t="s">
        <v>237</v>
      </c>
      <c r="C15921" s="5" t="s">
        <v>38</v>
      </c>
      <c r="D15921" s="5">
        <v>1</v>
      </c>
      <c r="E15921" s="5">
        <v>203578</v>
      </c>
    </row>
    <row r="15922" spans="1:5" x14ac:dyDescent="0.35">
      <c r="A15922" s="3">
        <v>46246</v>
      </c>
      <c r="B15922" s="5" t="s">
        <v>362</v>
      </c>
      <c r="C15922" s="5" t="s">
        <v>66</v>
      </c>
      <c r="D15922" s="5">
        <v>1</v>
      </c>
      <c r="E15922" s="5">
        <v>116305</v>
      </c>
    </row>
    <row r="15923" spans="1:5" x14ac:dyDescent="0.35">
      <c r="A15923" s="3">
        <v>46246</v>
      </c>
      <c r="B15923" s="5" t="s">
        <v>362</v>
      </c>
      <c r="C15923" s="5" t="s">
        <v>65</v>
      </c>
      <c r="D15923" s="5">
        <v>1</v>
      </c>
      <c r="E15923" s="5">
        <v>116305</v>
      </c>
    </row>
    <row r="15924" spans="1:5" x14ac:dyDescent="0.35">
      <c r="A15924" s="3">
        <v>46246</v>
      </c>
      <c r="B15924" s="5" t="s">
        <v>362</v>
      </c>
      <c r="C15924" s="5" t="s">
        <v>67</v>
      </c>
      <c r="D15924" s="5">
        <v>1</v>
      </c>
      <c r="E15924" s="5">
        <v>116305</v>
      </c>
    </row>
    <row r="15925" spans="1:5" x14ac:dyDescent="0.35">
      <c r="A15925" s="3">
        <v>46246</v>
      </c>
      <c r="B15925" s="5" t="s">
        <v>362</v>
      </c>
      <c r="C15925" s="5" t="s">
        <v>66</v>
      </c>
      <c r="D15925" s="5">
        <v>1</v>
      </c>
      <c r="E15925" s="5">
        <v>116305</v>
      </c>
    </row>
    <row r="15926" spans="1:5" x14ac:dyDescent="0.35">
      <c r="A15926" s="3">
        <v>46246</v>
      </c>
      <c r="B15926" s="5" t="s">
        <v>373</v>
      </c>
      <c r="C15926" s="5" t="s">
        <v>28</v>
      </c>
      <c r="D15926" s="5">
        <v>1</v>
      </c>
      <c r="E15926" s="5">
        <v>118123</v>
      </c>
    </row>
    <row r="15927" spans="1:5" x14ac:dyDescent="0.35">
      <c r="A15927" s="3">
        <v>46246</v>
      </c>
      <c r="B15927" s="5" t="s">
        <v>376</v>
      </c>
      <c r="C15927" s="5" t="s">
        <v>85</v>
      </c>
      <c r="D15927" s="5">
        <v>1</v>
      </c>
      <c r="E15927" s="5">
        <v>189032</v>
      </c>
    </row>
    <row r="15928" spans="1:5" x14ac:dyDescent="0.35">
      <c r="A15928" s="3">
        <v>46246</v>
      </c>
      <c r="B15928" s="5" t="s">
        <v>376</v>
      </c>
      <c r="C15928" s="5" t="s">
        <v>32</v>
      </c>
      <c r="D15928" s="5">
        <v>1</v>
      </c>
      <c r="E15928" s="5">
        <v>177214</v>
      </c>
    </row>
    <row r="15929" spans="1:5" x14ac:dyDescent="0.35">
      <c r="A15929" s="3">
        <v>46246</v>
      </c>
      <c r="B15929" s="5" t="s">
        <v>354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354</v>
      </c>
      <c r="C15930" s="5" t="s">
        <v>20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354</v>
      </c>
      <c r="C15931" s="5" t="s">
        <v>20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354</v>
      </c>
      <c r="C15932" s="5" t="s">
        <v>19</v>
      </c>
      <c r="D15932" s="5">
        <v>1</v>
      </c>
      <c r="E15932" s="5">
        <v>127942</v>
      </c>
    </row>
    <row r="15933" spans="1:5" x14ac:dyDescent="0.35">
      <c r="A15933" s="3">
        <v>46246</v>
      </c>
      <c r="B15933" s="5" t="s">
        <v>354</v>
      </c>
      <c r="C15933" s="5" t="s">
        <v>18</v>
      </c>
      <c r="D15933" s="5">
        <v>1</v>
      </c>
      <c r="E15933" s="5">
        <v>127942</v>
      </c>
    </row>
    <row r="15934" spans="1:5" x14ac:dyDescent="0.35">
      <c r="A15934" s="3">
        <v>46246</v>
      </c>
      <c r="B15934" s="5" t="s">
        <v>354</v>
      </c>
      <c r="C15934" s="5" t="s">
        <v>20</v>
      </c>
      <c r="D15934" s="5">
        <v>1</v>
      </c>
      <c r="E15934" s="5">
        <v>127942</v>
      </c>
    </row>
    <row r="15935" spans="1:5" x14ac:dyDescent="0.35">
      <c r="A15935" s="3">
        <v>46246</v>
      </c>
      <c r="B15935" s="5" t="s">
        <v>354</v>
      </c>
      <c r="C15935" s="5" t="s">
        <v>20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364</v>
      </c>
      <c r="C15936" s="5" t="s">
        <v>66</v>
      </c>
      <c r="D15936" s="5">
        <v>1</v>
      </c>
      <c r="E15936" s="5">
        <v>116305</v>
      </c>
    </row>
    <row r="15937" spans="1:5" x14ac:dyDescent="0.35">
      <c r="A15937" s="3">
        <v>46246</v>
      </c>
      <c r="B15937" s="5" t="s">
        <v>354</v>
      </c>
      <c r="C15937" s="5" t="s">
        <v>18</v>
      </c>
      <c r="D15937" s="5">
        <v>1</v>
      </c>
      <c r="E15937" s="5">
        <v>127942</v>
      </c>
    </row>
    <row r="15938" spans="1:5" x14ac:dyDescent="0.35">
      <c r="A15938" s="3">
        <v>46246</v>
      </c>
      <c r="B15938" s="5" t="s">
        <v>354</v>
      </c>
      <c r="C15938" s="5" t="s">
        <v>20</v>
      </c>
      <c r="D15938" s="5">
        <v>1</v>
      </c>
      <c r="E15938" s="5">
        <v>127942</v>
      </c>
    </row>
    <row r="15939" spans="1:5" x14ac:dyDescent="0.35">
      <c r="A15939" s="3">
        <v>46246</v>
      </c>
      <c r="B15939" s="5" t="s">
        <v>354</v>
      </c>
      <c r="C15939" s="5" t="s">
        <v>20</v>
      </c>
      <c r="D15939" s="5">
        <v>1</v>
      </c>
      <c r="E15939" s="5">
        <v>127942</v>
      </c>
    </row>
    <row r="15940" spans="1:5" x14ac:dyDescent="0.35">
      <c r="A15940" s="3">
        <v>46246</v>
      </c>
      <c r="B15940" s="5" t="s">
        <v>354</v>
      </c>
      <c r="C15940" s="5" t="s">
        <v>18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354</v>
      </c>
      <c r="C15941" s="5" t="s">
        <v>18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362</v>
      </c>
      <c r="C15942" s="5" t="s">
        <v>66</v>
      </c>
      <c r="D15942" s="5">
        <v>1</v>
      </c>
      <c r="E15942" s="5">
        <v>116305</v>
      </c>
    </row>
    <row r="15943" spans="1:5" x14ac:dyDescent="0.35">
      <c r="A15943" s="3">
        <v>46246</v>
      </c>
      <c r="B15943" s="5" t="s">
        <v>362</v>
      </c>
      <c r="C15943" s="5" t="s">
        <v>65</v>
      </c>
      <c r="D15943" s="5">
        <v>1</v>
      </c>
      <c r="E15943" s="5">
        <v>116305</v>
      </c>
    </row>
    <row r="15944" spans="1:5" x14ac:dyDescent="0.35">
      <c r="A15944" s="3">
        <v>46246</v>
      </c>
      <c r="B15944" s="5" t="s">
        <v>362</v>
      </c>
      <c r="C15944" s="5" t="s">
        <v>66</v>
      </c>
      <c r="D15944" s="5">
        <v>1</v>
      </c>
      <c r="E15944" s="5">
        <v>116305</v>
      </c>
    </row>
    <row r="15945" spans="1:5" x14ac:dyDescent="0.35">
      <c r="A15945" s="3">
        <v>46246</v>
      </c>
      <c r="B15945" s="5" t="s">
        <v>362</v>
      </c>
      <c r="C15945" s="5" t="s">
        <v>66</v>
      </c>
      <c r="D15945" s="5">
        <v>1</v>
      </c>
      <c r="E15945" s="5">
        <v>116305</v>
      </c>
    </row>
    <row r="15946" spans="1:5" x14ac:dyDescent="0.35">
      <c r="A15946" s="3">
        <v>46246</v>
      </c>
      <c r="B15946" s="5" t="s">
        <v>362</v>
      </c>
      <c r="C15946" s="5" t="s">
        <v>66</v>
      </c>
      <c r="D15946" s="5">
        <v>1</v>
      </c>
      <c r="E15946" s="5">
        <v>116305</v>
      </c>
    </row>
    <row r="15947" spans="1:5" x14ac:dyDescent="0.35">
      <c r="A15947" s="3">
        <v>46246</v>
      </c>
      <c r="B15947" s="5" t="s">
        <v>362</v>
      </c>
      <c r="C15947" s="5" t="s">
        <v>66</v>
      </c>
      <c r="D15947" s="5">
        <v>1</v>
      </c>
      <c r="E15947" s="5">
        <v>116305</v>
      </c>
    </row>
    <row r="15948" spans="1:5" x14ac:dyDescent="0.35">
      <c r="A15948" s="3">
        <v>46246</v>
      </c>
      <c r="B15948" s="5" t="s">
        <v>376</v>
      </c>
      <c r="C15948" s="5" t="s">
        <v>18</v>
      </c>
      <c r="D15948" s="5">
        <v>1</v>
      </c>
      <c r="E15948" s="5">
        <v>129941</v>
      </c>
    </row>
    <row r="15949" spans="1:5" x14ac:dyDescent="0.35">
      <c r="A15949" s="3">
        <v>46246</v>
      </c>
      <c r="B15949" s="5" t="s">
        <v>354</v>
      </c>
      <c r="C15949" s="5" t="s">
        <v>20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354</v>
      </c>
      <c r="C15950" s="5" t="s">
        <v>20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354</v>
      </c>
      <c r="C15951" s="5" t="s">
        <v>20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354</v>
      </c>
      <c r="C15952" s="5" t="s">
        <v>20</v>
      </c>
      <c r="D15952" s="5">
        <v>1</v>
      </c>
      <c r="E15952" s="5">
        <v>127942</v>
      </c>
    </row>
    <row r="15953" spans="1:5" x14ac:dyDescent="0.35">
      <c r="A15953" s="3">
        <v>46246</v>
      </c>
      <c r="B15953" s="5" t="s">
        <v>354</v>
      </c>
      <c r="C15953" s="5" t="s">
        <v>19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354</v>
      </c>
      <c r="C15954" s="5" t="s">
        <v>19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354</v>
      </c>
      <c r="C15955" s="5" t="s">
        <v>20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354</v>
      </c>
      <c r="C15956" s="5" t="s">
        <v>20</v>
      </c>
      <c r="D15956" s="5">
        <v>1</v>
      </c>
      <c r="E15956" s="5">
        <v>127942</v>
      </c>
    </row>
    <row r="15957" spans="1:5" x14ac:dyDescent="0.35">
      <c r="A15957" s="3">
        <v>46246</v>
      </c>
      <c r="B15957" s="5" t="s">
        <v>364</v>
      </c>
      <c r="C15957" s="5" t="s">
        <v>66</v>
      </c>
      <c r="D15957" s="5">
        <v>1</v>
      </c>
      <c r="E15957" s="5">
        <v>116305</v>
      </c>
    </row>
    <row r="15958" spans="1:5" x14ac:dyDescent="0.35">
      <c r="A15958" s="3">
        <v>46246</v>
      </c>
      <c r="B15958" s="5" t="s">
        <v>354</v>
      </c>
      <c r="C15958" s="5" t="s">
        <v>19</v>
      </c>
      <c r="D15958" s="5">
        <v>1</v>
      </c>
      <c r="E15958" s="5">
        <v>127942</v>
      </c>
    </row>
    <row r="15959" spans="1:5" x14ac:dyDescent="0.35">
      <c r="A15959" s="3">
        <v>46246</v>
      </c>
      <c r="B15959" s="5" t="s">
        <v>354</v>
      </c>
      <c r="C15959" s="5" t="s">
        <v>19</v>
      </c>
      <c r="D15959" s="5">
        <v>1</v>
      </c>
      <c r="E15959" s="5">
        <v>127942</v>
      </c>
    </row>
    <row r="15960" spans="1:5" x14ac:dyDescent="0.35">
      <c r="A15960" s="3">
        <v>46246</v>
      </c>
      <c r="B15960" s="5" t="s">
        <v>364</v>
      </c>
      <c r="C15960" s="5" t="s">
        <v>66</v>
      </c>
      <c r="D15960" s="5">
        <v>1</v>
      </c>
      <c r="E15960" s="5">
        <v>116305</v>
      </c>
    </row>
    <row r="15961" spans="1:5" x14ac:dyDescent="0.35">
      <c r="A15961" s="3">
        <v>46246</v>
      </c>
      <c r="B15961" s="5" t="s">
        <v>354</v>
      </c>
      <c r="C15961" s="5" t="s">
        <v>19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364</v>
      </c>
      <c r="C15962" s="5" t="s">
        <v>65</v>
      </c>
      <c r="D15962" s="5">
        <v>1</v>
      </c>
      <c r="E15962" s="5">
        <v>116305</v>
      </c>
    </row>
    <row r="15963" spans="1:5" x14ac:dyDescent="0.35">
      <c r="A15963" s="3">
        <v>46246</v>
      </c>
      <c r="B15963" s="5" t="s">
        <v>354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364</v>
      </c>
      <c r="C15964" s="5" t="s">
        <v>66</v>
      </c>
      <c r="D15964" s="5">
        <v>1</v>
      </c>
      <c r="E15964" s="5">
        <v>116305</v>
      </c>
    </row>
    <row r="15965" spans="1:5" x14ac:dyDescent="0.35">
      <c r="A15965" s="3">
        <v>46246</v>
      </c>
      <c r="B15965" s="5" t="s">
        <v>364</v>
      </c>
      <c r="C15965" s="5" t="s">
        <v>65</v>
      </c>
      <c r="D15965" s="5">
        <v>1</v>
      </c>
      <c r="E15965" s="5">
        <v>116305</v>
      </c>
    </row>
    <row r="15966" spans="1:5" x14ac:dyDescent="0.35">
      <c r="A15966" s="3">
        <v>46246</v>
      </c>
      <c r="B15966" s="5" t="s">
        <v>237</v>
      </c>
      <c r="C15966" s="5" t="s">
        <v>38</v>
      </c>
      <c r="D15966" s="5">
        <v>1</v>
      </c>
      <c r="E15966" s="5">
        <v>203578</v>
      </c>
    </row>
    <row r="15967" spans="1:5" x14ac:dyDescent="0.35">
      <c r="A15967" s="3">
        <v>46246</v>
      </c>
      <c r="B15967" s="5" t="s">
        <v>237</v>
      </c>
      <c r="C15967" s="5" t="s">
        <v>38</v>
      </c>
      <c r="D15967" s="5">
        <v>1</v>
      </c>
      <c r="E15967" s="5">
        <v>203578</v>
      </c>
    </row>
    <row r="15968" spans="1:5" x14ac:dyDescent="0.35">
      <c r="A15968" s="3">
        <v>46246</v>
      </c>
      <c r="B15968" s="5" t="s">
        <v>362</v>
      </c>
      <c r="C15968" s="5" t="s">
        <v>67</v>
      </c>
      <c r="D15968" s="5">
        <v>1</v>
      </c>
      <c r="E15968" s="5">
        <v>116305</v>
      </c>
    </row>
    <row r="15969" spans="1:5" x14ac:dyDescent="0.35">
      <c r="A15969" s="3">
        <v>46246</v>
      </c>
      <c r="B15969" s="5" t="s">
        <v>362</v>
      </c>
      <c r="C15969" s="5" t="s">
        <v>67</v>
      </c>
      <c r="D15969" s="5">
        <v>1</v>
      </c>
      <c r="E15969" s="5">
        <v>116305</v>
      </c>
    </row>
    <row r="15970" spans="1:5" x14ac:dyDescent="0.35">
      <c r="A15970" s="3">
        <v>46246</v>
      </c>
      <c r="B15970" s="5" t="s">
        <v>376</v>
      </c>
      <c r="C15970" s="5" t="s">
        <v>18</v>
      </c>
      <c r="D15970" s="5">
        <v>1</v>
      </c>
      <c r="E15970" s="5">
        <v>129941</v>
      </c>
    </row>
    <row r="15971" spans="1:5" x14ac:dyDescent="0.35">
      <c r="A15971" s="3">
        <v>46246</v>
      </c>
      <c r="B15971" s="5" t="s">
        <v>244</v>
      </c>
      <c r="C15971" s="5" t="s">
        <v>18</v>
      </c>
      <c r="D15971" s="5">
        <v>1</v>
      </c>
      <c r="E15971" s="5">
        <v>129941</v>
      </c>
    </row>
    <row r="15972" spans="1:5" x14ac:dyDescent="0.35">
      <c r="A15972" s="3">
        <v>46246</v>
      </c>
      <c r="B15972" s="5" t="s">
        <v>376</v>
      </c>
      <c r="C15972" s="5" t="s">
        <v>40</v>
      </c>
      <c r="D15972" s="5">
        <v>1</v>
      </c>
      <c r="E15972" s="5">
        <v>189032</v>
      </c>
    </row>
    <row r="15973" spans="1:5" x14ac:dyDescent="0.35">
      <c r="A15973" s="3">
        <v>46246</v>
      </c>
      <c r="B15973" s="5" t="s">
        <v>354</v>
      </c>
      <c r="C15973" s="5" t="s">
        <v>20</v>
      </c>
      <c r="D15973" s="5">
        <v>1</v>
      </c>
      <c r="E15973" s="5">
        <v>127942</v>
      </c>
    </row>
    <row r="15974" spans="1:5" x14ac:dyDescent="0.35">
      <c r="A15974" s="3">
        <v>46246</v>
      </c>
      <c r="B15974" s="5" t="s">
        <v>354</v>
      </c>
      <c r="C15974" s="5" t="s">
        <v>20</v>
      </c>
      <c r="D15974" s="5">
        <v>1</v>
      </c>
      <c r="E15974" s="5">
        <v>127942</v>
      </c>
    </row>
    <row r="15975" spans="1:5" x14ac:dyDescent="0.35">
      <c r="A15975" s="3">
        <v>46246</v>
      </c>
      <c r="B15975" s="5" t="s">
        <v>354</v>
      </c>
      <c r="C15975" s="5" t="s">
        <v>20</v>
      </c>
      <c r="D15975" s="5">
        <v>1</v>
      </c>
      <c r="E15975" s="5">
        <v>127942</v>
      </c>
    </row>
    <row r="15976" spans="1:5" x14ac:dyDescent="0.35">
      <c r="A15976" s="3">
        <v>46246</v>
      </c>
      <c r="B15976" s="5" t="s">
        <v>354</v>
      </c>
      <c r="C15976" s="5" t="s">
        <v>19</v>
      </c>
      <c r="D15976" s="5">
        <v>1</v>
      </c>
      <c r="E15976" s="5">
        <v>127942</v>
      </c>
    </row>
    <row r="15977" spans="1:5" x14ac:dyDescent="0.35">
      <c r="A15977" s="3">
        <v>46246</v>
      </c>
      <c r="B15977" s="5" t="s">
        <v>354</v>
      </c>
      <c r="C15977" s="5" t="s">
        <v>18</v>
      </c>
      <c r="D15977" s="5">
        <v>1</v>
      </c>
      <c r="E15977" s="5">
        <v>127942</v>
      </c>
    </row>
    <row r="15978" spans="1:5" x14ac:dyDescent="0.35">
      <c r="A15978" s="3">
        <v>46246</v>
      </c>
      <c r="B15978" s="5" t="s">
        <v>354</v>
      </c>
      <c r="C15978" s="5" t="s">
        <v>18</v>
      </c>
      <c r="D15978" s="5">
        <v>1</v>
      </c>
      <c r="E15978" s="5">
        <v>127942</v>
      </c>
    </row>
    <row r="15979" spans="1:5" x14ac:dyDescent="0.35">
      <c r="A15979" s="3">
        <v>46246</v>
      </c>
      <c r="B15979" s="5" t="s">
        <v>364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354</v>
      </c>
      <c r="C15980" s="5" t="s">
        <v>19</v>
      </c>
      <c r="D15980" s="5">
        <v>1</v>
      </c>
      <c r="E15980" s="5">
        <v>127942</v>
      </c>
    </row>
    <row r="15981" spans="1:5" x14ac:dyDescent="0.35">
      <c r="A15981" s="3">
        <v>46246</v>
      </c>
      <c r="B15981" s="5" t="s">
        <v>354</v>
      </c>
      <c r="C15981" s="5" t="s">
        <v>18</v>
      </c>
      <c r="D15981" s="5">
        <v>1</v>
      </c>
      <c r="E15981" s="5">
        <v>127942</v>
      </c>
    </row>
    <row r="15982" spans="1:5" x14ac:dyDescent="0.35">
      <c r="A15982" s="3">
        <v>46246</v>
      </c>
      <c r="B15982" s="5" t="s">
        <v>364</v>
      </c>
      <c r="C15982" s="5" t="s">
        <v>66</v>
      </c>
      <c r="D15982" s="5">
        <v>1</v>
      </c>
      <c r="E15982" s="5">
        <v>116305</v>
      </c>
    </row>
    <row r="15983" spans="1:5" x14ac:dyDescent="0.35">
      <c r="A15983" s="3">
        <v>46246</v>
      </c>
      <c r="B15983" s="5" t="s">
        <v>354</v>
      </c>
      <c r="C15983" s="5" t="s">
        <v>18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362</v>
      </c>
      <c r="C15984" s="5" t="s">
        <v>66</v>
      </c>
      <c r="D15984" s="5">
        <v>1</v>
      </c>
      <c r="E15984" s="5">
        <v>116305</v>
      </c>
    </row>
    <row r="15985" spans="1:5" x14ac:dyDescent="0.35">
      <c r="A15985" s="3">
        <v>46246</v>
      </c>
      <c r="B15985" s="5" t="s">
        <v>362</v>
      </c>
      <c r="C15985" s="5" t="s">
        <v>66</v>
      </c>
      <c r="D15985" s="5">
        <v>1</v>
      </c>
      <c r="E15985" s="5">
        <v>116305</v>
      </c>
    </row>
    <row r="15986" spans="1:5" x14ac:dyDescent="0.35">
      <c r="A15986" s="3">
        <v>46246</v>
      </c>
      <c r="B15986" s="5" t="s">
        <v>362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362</v>
      </c>
      <c r="C15987" s="5" t="s">
        <v>66</v>
      </c>
      <c r="D15987" s="5">
        <v>1</v>
      </c>
      <c r="E15987" s="5">
        <v>116305</v>
      </c>
    </row>
    <row r="15988" spans="1:5" x14ac:dyDescent="0.35">
      <c r="A15988" s="3">
        <v>46246</v>
      </c>
      <c r="B15988" s="5" t="s">
        <v>362</v>
      </c>
      <c r="C15988" s="5" t="s">
        <v>65</v>
      </c>
      <c r="D15988" s="5">
        <v>1</v>
      </c>
      <c r="E15988" s="5">
        <v>116305</v>
      </c>
    </row>
    <row r="15989" spans="1:5" x14ac:dyDescent="0.35">
      <c r="A15989" s="3">
        <v>46246</v>
      </c>
      <c r="B15989" s="5" t="s">
        <v>362</v>
      </c>
      <c r="C15989" s="5" t="s">
        <v>66</v>
      </c>
      <c r="D15989" s="5">
        <v>1</v>
      </c>
      <c r="E15989" s="5">
        <v>116305</v>
      </c>
    </row>
    <row r="15990" spans="1:5" x14ac:dyDescent="0.35">
      <c r="A15990" s="3">
        <v>46246</v>
      </c>
      <c r="B15990" s="5" t="s">
        <v>362</v>
      </c>
      <c r="C15990" s="5" t="s">
        <v>66</v>
      </c>
      <c r="D15990" s="5">
        <v>1</v>
      </c>
      <c r="E15990" s="5">
        <v>116305</v>
      </c>
    </row>
    <row r="15991" spans="1:5" x14ac:dyDescent="0.35">
      <c r="A15991" s="3">
        <v>46246</v>
      </c>
      <c r="B15991" s="5" t="s">
        <v>376</v>
      </c>
      <c r="C15991" s="5" t="s">
        <v>42</v>
      </c>
      <c r="D15991" s="5">
        <v>1</v>
      </c>
      <c r="E15991" s="5">
        <v>206759</v>
      </c>
    </row>
    <row r="15992" spans="1:5" x14ac:dyDescent="0.35">
      <c r="A15992" s="3">
        <v>46246</v>
      </c>
      <c r="B15992" s="5" t="s">
        <v>373</v>
      </c>
      <c r="C15992" s="5" t="s">
        <v>18</v>
      </c>
      <c r="D15992" s="5">
        <v>1</v>
      </c>
      <c r="E15992" s="5">
        <v>129941</v>
      </c>
    </row>
    <row r="15993" spans="1:5" x14ac:dyDescent="0.35">
      <c r="A15993" s="3">
        <v>46246</v>
      </c>
      <c r="B15993" s="5" t="s">
        <v>354</v>
      </c>
      <c r="C15993" s="5" t="s">
        <v>20</v>
      </c>
      <c r="D15993" s="5">
        <v>1</v>
      </c>
      <c r="E15993" s="5">
        <v>127942</v>
      </c>
    </row>
    <row r="15994" spans="1:5" x14ac:dyDescent="0.35">
      <c r="A15994" s="3">
        <v>46246</v>
      </c>
      <c r="B15994" s="5" t="s">
        <v>354</v>
      </c>
      <c r="C15994" s="5" t="s">
        <v>20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354</v>
      </c>
      <c r="C15995" s="5" t="s">
        <v>20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354</v>
      </c>
      <c r="C15996" s="5" t="s">
        <v>20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354</v>
      </c>
      <c r="C15997" s="5" t="s">
        <v>20</v>
      </c>
      <c r="D15997" s="5">
        <v>1</v>
      </c>
      <c r="E15997" s="5">
        <v>127942</v>
      </c>
    </row>
    <row r="15998" spans="1:5" x14ac:dyDescent="0.35">
      <c r="A15998" s="3">
        <v>46246</v>
      </c>
      <c r="B15998" s="5" t="s">
        <v>354</v>
      </c>
      <c r="C15998" s="5" t="s">
        <v>19</v>
      </c>
      <c r="D15998" s="5">
        <v>1</v>
      </c>
      <c r="E15998" s="5">
        <v>127942</v>
      </c>
    </row>
    <row r="15999" spans="1:5" x14ac:dyDescent="0.35">
      <c r="A15999" s="3">
        <v>46246</v>
      </c>
      <c r="B15999" s="5" t="s">
        <v>354</v>
      </c>
      <c r="C15999" s="5" t="s">
        <v>19</v>
      </c>
      <c r="D15999" s="5">
        <v>1</v>
      </c>
      <c r="E15999" s="5">
        <v>127942</v>
      </c>
    </row>
    <row r="16000" spans="1:5" x14ac:dyDescent="0.35">
      <c r="A16000" s="3">
        <v>46246</v>
      </c>
      <c r="B16000" s="5" t="s">
        <v>354</v>
      </c>
      <c r="C16000" s="5" t="s">
        <v>19</v>
      </c>
      <c r="D16000" s="5">
        <v>1</v>
      </c>
      <c r="E16000" s="5">
        <v>127942</v>
      </c>
    </row>
    <row r="16001" spans="1:5" x14ac:dyDescent="0.35">
      <c r="A16001" s="3">
        <v>46246</v>
      </c>
      <c r="B16001" s="5" t="s">
        <v>354</v>
      </c>
      <c r="C16001" s="5" t="s">
        <v>18</v>
      </c>
      <c r="D16001" s="5">
        <v>1</v>
      </c>
      <c r="E16001" s="5">
        <v>127942</v>
      </c>
    </row>
    <row r="16002" spans="1:5" x14ac:dyDescent="0.35">
      <c r="A16002" s="3">
        <v>46246</v>
      </c>
      <c r="B16002" s="5" t="s">
        <v>354</v>
      </c>
      <c r="C16002" s="5" t="s">
        <v>18</v>
      </c>
      <c r="D16002" s="5">
        <v>1</v>
      </c>
      <c r="E16002" s="5">
        <v>127942</v>
      </c>
    </row>
    <row r="16003" spans="1:5" x14ac:dyDescent="0.35">
      <c r="A16003" s="3">
        <v>46246</v>
      </c>
      <c r="B16003" s="5" t="s">
        <v>354</v>
      </c>
      <c r="C16003" s="5" t="s">
        <v>18</v>
      </c>
      <c r="D16003" s="5">
        <v>1</v>
      </c>
      <c r="E16003" s="5">
        <v>127942</v>
      </c>
    </row>
    <row r="16004" spans="1:5" x14ac:dyDescent="0.35">
      <c r="A16004" s="3">
        <v>46246</v>
      </c>
      <c r="B16004" s="5" t="s">
        <v>364</v>
      </c>
      <c r="C16004" s="5" t="s">
        <v>66</v>
      </c>
      <c r="D16004" s="5">
        <v>1</v>
      </c>
      <c r="E16004" s="5">
        <v>116305</v>
      </c>
    </row>
    <row r="16005" spans="1:5" x14ac:dyDescent="0.35">
      <c r="A16005" s="3">
        <v>46246</v>
      </c>
      <c r="B16005" s="5" t="s">
        <v>364</v>
      </c>
      <c r="C16005" s="5" t="s">
        <v>66</v>
      </c>
      <c r="D16005" s="5">
        <v>1</v>
      </c>
      <c r="E16005" s="5">
        <v>116305</v>
      </c>
    </row>
    <row r="16006" spans="1:5" x14ac:dyDescent="0.35">
      <c r="A16006" s="3">
        <v>46246</v>
      </c>
      <c r="B16006" s="5" t="s">
        <v>364</v>
      </c>
      <c r="C16006" s="5" t="s">
        <v>66</v>
      </c>
      <c r="D16006" s="5">
        <v>1</v>
      </c>
      <c r="E16006" s="5">
        <v>116305</v>
      </c>
    </row>
    <row r="16007" spans="1:5" x14ac:dyDescent="0.35">
      <c r="A16007" s="3">
        <v>46246</v>
      </c>
      <c r="B16007" s="5" t="s">
        <v>364</v>
      </c>
      <c r="C16007" s="5" t="s">
        <v>67</v>
      </c>
      <c r="D16007" s="5">
        <v>1</v>
      </c>
      <c r="E16007" s="5">
        <v>116305</v>
      </c>
    </row>
    <row r="16008" spans="1:5" x14ac:dyDescent="0.35">
      <c r="A16008" s="3">
        <v>46246</v>
      </c>
      <c r="B16008" s="5" t="s">
        <v>364</v>
      </c>
      <c r="C16008" s="5" t="s">
        <v>67</v>
      </c>
      <c r="D16008" s="5">
        <v>1</v>
      </c>
      <c r="E16008" s="5">
        <v>116305</v>
      </c>
    </row>
    <row r="16009" spans="1:5" x14ac:dyDescent="0.35">
      <c r="A16009" s="3">
        <v>46246</v>
      </c>
      <c r="B16009" s="5" t="s">
        <v>237</v>
      </c>
      <c r="C16009" s="5" t="s">
        <v>38</v>
      </c>
      <c r="D16009" s="5">
        <v>1</v>
      </c>
      <c r="E16009" s="5">
        <v>203578</v>
      </c>
    </row>
    <row r="16010" spans="1:5" x14ac:dyDescent="0.35">
      <c r="A16010" s="3">
        <v>46246</v>
      </c>
      <c r="B16010" s="5" t="s">
        <v>237</v>
      </c>
      <c r="C16010" s="5" t="s">
        <v>38</v>
      </c>
      <c r="D16010" s="5">
        <v>1</v>
      </c>
      <c r="E16010" s="5">
        <v>203578</v>
      </c>
    </row>
    <row r="16011" spans="1:5" x14ac:dyDescent="0.35">
      <c r="A16011" s="3">
        <v>46246</v>
      </c>
      <c r="B16011" s="5" t="s">
        <v>362</v>
      </c>
      <c r="C16011" s="5" t="s">
        <v>66</v>
      </c>
      <c r="D16011" s="5">
        <v>1</v>
      </c>
      <c r="E16011" s="5">
        <v>116305</v>
      </c>
    </row>
    <row r="16012" spans="1:5" x14ac:dyDescent="0.35">
      <c r="A16012" s="3">
        <v>46246</v>
      </c>
      <c r="B16012" s="5" t="s">
        <v>362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46246</v>
      </c>
      <c r="B16013" s="5" t="s">
        <v>362</v>
      </c>
      <c r="C16013" s="5" t="s">
        <v>67</v>
      </c>
      <c r="D16013" s="5">
        <v>1</v>
      </c>
      <c r="E16013" s="5">
        <v>116305</v>
      </c>
    </row>
    <row r="16014" spans="1:5" x14ac:dyDescent="0.35">
      <c r="A16014" s="3">
        <v>46246</v>
      </c>
      <c r="B16014" s="5" t="s">
        <v>354</v>
      </c>
      <c r="C16014" s="5" t="s">
        <v>20</v>
      </c>
      <c r="D16014" s="5">
        <v>1</v>
      </c>
      <c r="E16014" s="5">
        <v>127942</v>
      </c>
    </row>
    <row r="16015" spans="1:5" x14ac:dyDescent="0.35">
      <c r="A16015" s="3">
        <v>46246</v>
      </c>
      <c r="B16015" s="5" t="s">
        <v>354</v>
      </c>
      <c r="C16015" s="5" t="s">
        <v>18</v>
      </c>
      <c r="D16015" s="5">
        <v>1</v>
      </c>
      <c r="E16015" s="5">
        <v>127942</v>
      </c>
    </row>
    <row r="16016" spans="1:5" x14ac:dyDescent="0.35">
      <c r="A16016" s="3">
        <v>46246</v>
      </c>
      <c r="B16016" s="5" t="s">
        <v>364</v>
      </c>
      <c r="C16016" s="5" t="s">
        <v>67</v>
      </c>
      <c r="D16016" s="5">
        <v>1</v>
      </c>
      <c r="E16016" s="5">
        <v>116305</v>
      </c>
    </row>
    <row r="16017" spans="1:5" x14ac:dyDescent="0.35">
      <c r="A16017" s="3">
        <v>46246</v>
      </c>
      <c r="B16017" s="5" t="s">
        <v>364</v>
      </c>
      <c r="C16017" s="5" t="s">
        <v>67</v>
      </c>
      <c r="D16017" s="5">
        <v>1</v>
      </c>
      <c r="E16017" s="5">
        <v>116305</v>
      </c>
    </row>
    <row r="16018" spans="1:5" x14ac:dyDescent="0.35">
      <c r="A16018" s="3">
        <v>46246</v>
      </c>
      <c r="B16018" s="5" t="s">
        <v>362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46246</v>
      </c>
      <c r="B16019" s="5" t="s">
        <v>373</v>
      </c>
      <c r="C16019" s="5" t="s">
        <v>82</v>
      </c>
      <c r="D16019" s="5">
        <v>1</v>
      </c>
      <c r="E16019" s="5">
        <v>70850</v>
      </c>
    </row>
    <row r="16020" spans="1:5" x14ac:dyDescent="0.35">
      <c r="A16020" s="3">
        <v>46246</v>
      </c>
      <c r="B16020" s="5" t="s">
        <v>373</v>
      </c>
      <c r="C16020" s="5" t="s">
        <v>18</v>
      </c>
      <c r="D16020" s="5">
        <v>1</v>
      </c>
      <c r="E16020" s="5">
        <v>129941</v>
      </c>
    </row>
    <row r="16021" spans="1:5" x14ac:dyDescent="0.35">
      <c r="A16021" s="3">
        <v>46246</v>
      </c>
      <c r="B16021" s="5" t="s">
        <v>354</v>
      </c>
      <c r="C16021" s="5" t="s">
        <v>20</v>
      </c>
      <c r="D16021" s="5">
        <v>1</v>
      </c>
      <c r="E16021" s="5">
        <v>127942</v>
      </c>
    </row>
    <row r="16022" spans="1:5" x14ac:dyDescent="0.35">
      <c r="A16022" s="3">
        <v>46246</v>
      </c>
      <c r="B16022" s="5" t="s">
        <v>354</v>
      </c>
      <c r="C16022" s="5" t="s">
        <v>20</v>
      </c>
      <c r="D16022" s="5">
        <v>1</v>
      </c>
      <c r="E16022" s="5">
        <v>127942</v>
      </c>
    </row>
    <row r="16023" spans="1:5" x14ac:dyDescent="0.35">
      <c r="A16023" s="3">
        <v>46246</v>
      </c>
      <c r="B16023" s="5" t="s">
        <v>354</v>
      </c>
      <c r="C16023" s="5" t="s">
        <v>19</v>
      </c>
      <c r="D16023" s="5">
        <v>1</v>
      </c>
      <c r="E16023" s="5">
        <v>127942</v>
      </c>
    </row>
    <row r="16024" spans="1:5" x14ac:dyDescent="0.35">
      <c r="A16024" s="3">
        <v>46246</v>
      </c>
      <c r="B16024" s="5" t="s">
        <v>354</v>
      </c>
      <c r="C16024" s="5" t="s">
        <v>20</v>
      </c>
      <c r="D16024" s="5">
        <v>1</v>
      </c>
      <c r="E16024" s="5">
        <v>127942</v>
      </c>
    </row>
    <row r="16025" spans="1:5" x14ac:dyDescent="0.35">
      <c r="A16025" s="3">
        <v>46246</v>
      </c>
      <c r="B16025" s="5" t="s">
        <v>354</v>
      </c>
      <c r="C16025" s="5" t="s">
        <v>19</v>
      </c>
      <c r="D16025" s="5">
        <v>1</v>
      </c>
      <c r="E16025" s="5">
        <v>127942</v>
      </c>
    </row>
    <row r="16026" spans="1:5" x14ac:dyDescent="0.35">
      <c r="A16026" s="3">
        <v>46246</v>
      </c>
      <c r="B16026" s="5" t="s">
        <v>354</v>
      </c>
      <c r="C16026" s="5" t="s">
        <v>19</v>
      </c>
      <c r="D16026" s="5">
        <v>1</v>
      </c>
      <c r="E16026" s="5">
        <v>127942</v>
      </c>
    </row>
    <row r="16027" spans="1:5" x14ac:dyDescent="0.35">
      <c r="A16027" s="3">
        <v>46246</v>
      </c>
      <c r="B16027" s="5" t="s">
        <v>354</v>
      </c>
      <c r="C16027" s="5" t="s">
        <v>20</v>
      </c>
      <c r="D16027" s="5">
        <v>1</v>
      </c>
      <c r="E16027" s="5">
        <v>127942</v>
      </c>
    </row>
    <row r="16028" spans="1:5" x14ac:dyDescent="0.35">
      <c r="A16028" s="3">
        <v>46246</v>
      </c>
      <c r="B16028" s="5" t="s">
        <v>354</v>
      </c>
      <c r="C16028" s="5" t="s">
        <v>19</v>
      </c>
      <c r="D16028" s="5">
        <v>1</v>
      </c>
      <c r="E16028" s="5">
        <v>127942</v>
      </c>
    </row>
    <row r="16029" spans="1:5" x14ac:dyDescent="0.35">
      <c r="A16029" s="3">
        <v>46246</v>
      </c>
      <c r="B16029" s="5" t="s">
        <v>354</v>
      </c>
      <c r="C16029" s="5" t="s">
        <v>18</v>
      </c>
      <c r="D16029" s="5">
        <v>1</v>
      </c>
      <c r="E16029" s="5">
        <v>127942</v>
      </c>
    </row>
    <row r="16030" spans="1:5" x14ac:dyDescent="0.35">
      <c r="A16030" s="3">
        <v>46246</v>
      </c>
      <c r="B16030" s="5" t="s">
        <v>354</v>
      </c>
      <c r="C16030" s="5" t="s">
        <v>18</v>
      </c>
      <c r="D16030" s="5">
        <v>1</v>
      </c>
      <c r="E16030" s="5">
        <v>127942</v>
      </c>
    </row>
    <row r="16031" spans="1:5" x14ac:dyDescent="0.35">
      <c r="A16031" s="3">
        <v>46246</v>
      </c>
      <c r="B16031" s="5" t="s">
        <v>354</v>
      </c>
      <c r="C16031" s="5" t="s">
        <v>19</v>
      </c>
      <c r="D16031" s="5">
        <v>1</v>
      </c>
      <c r="E16031" s="5">
        <v>127942</v>
      </c>
    </row>
    <row r="16032" spans="1:5" x14ac:dyDescent="0.35">
      <c r="A16032" s="3">
        <v>46246</v>
      </c>
      <c r="B16032" s="5" t="s">
        <v>354</v>
      </c>
      <c r="C16032" s="5" t="s">
        <v>18</v>
      </c>
      <c r="D16032" s="5">
        <v>1</v>
      </c>
      <c r="E16032" s="5">
        <v>127942</v>
      </c>
    </row>
    <row r="16033" spans="1:5" x14ac:dyDescent="0.35">
      <c r="A16033" s="3">
        <v>46246</v>
      </c>
      <c r="B16033" s="5" t="s">
        <v>364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46246</v>
      </c>
      <c r="B16034" s="5" t="s">
        <v>362</v>
      </c>
      <c r="C16034" s="5" t="s">
        <v>65</v>
      </c>
      <c r="D16034" s="5">
        <v>1</v>
      </c>
      <c r="E16034" s="5">
        <v>116305</v>
      </c>
    </row>
    <row r="16035" spans="1:5" x14ac:dyDescent="0.35">
      <c r="A16035" s="3">
        <v>46246</v>
      </c>
      <c r="B16035" s="5" t="s">
        <v>373</v>
      </c>
      <c r="C16035" s="5" t="s">
        <v>28</v>
      </c>
      <c r="D16035" s="5">
        <v>1</v>
      </c>
      <c r="E16035" s="5">
        <v>118123</v>
      </c>
    </row>
    <row r="16036" spans="1:5" x14ac:dyDescent="0.35">
      <c r="A16036" s="3">
        <v>46246</v>
      </c>
      <c r="B16036" s="5" t="s">
        <v>354</v>
      </c>
      <c r="C16036" s="5" t="s">
        <v>20</v>
      </c>
      <c r="D16036" s="5">
        <v>1</v>
      </c>
      <c r="E16036" s="5">
        <v>127942</v>
      </c>
    </row>
    <row r="16037" spans="1:5" x14ac:dyDescent="0.35">
      <c r="A16037" s="3">
        <v>46246</v>
      </c>
      <c r="B16037" s="5" t="s">
        <v>354</v>
      </c>
      <c r="C16037" s="5" t="s">
        <v>20</v>
      </c>
      <c r="D16037" s="5">
        <v>1</v>
      </c>
      <c r="E16037" s="5">
        <v>127942</v>
      </c>
    </row>
    <row r="16038" spans="1:5" x14ac:dyDescent="0.35">
      <c r="A16038" s="3">
        <v>46246</v>
      </c>
      <c r="B16038" s="5" t="s">
        <v>354</v>
      </c>
      <c r="C16038" s="5" t="s">
        <v>20</v>
      </c>
      <c r="D16038" s="5">
        <v>1</v>
      </c>
      <c r="E16038" s="5">
        <v>127942</v>
      </c>
    </row>
    <row r="16039" spans="1:5" x14ac:dyDescent="0.35">
      <c r="A16039" s="3">
        <v>46246</v>
      </c>
      <c r="B16039" s="5" t="s">
        <v>354</v>
      </c>
      <c r="C16039" s="5" t="s">
        <v>19</v>
      </c>
      <c r="D16039" s="5">
        <v>1</v>
      </c>
      <c r="E16039" s="5">
        <v>127942</v>
      </c>
    </row>
    <row r="16040" spans="1:5" x14ac:dyDescent="0.35">
      <c r="A16040" s="3">
        <v>46246</v>
      </c>
      <c r="B16040" s="5" t="s">
        <v>354</v>
      </c>
      <c r="C16040" s="5" t="s">
        <v>20</v>
      </c>
      <c r="D16040" s="5">
        <v>1</v>
      </c>
      <c r="E16040" s="5">
        <v>127942</v>
      </c>
    </row>
    <row r="16041" spans="1:5" x14ac:dyDescent="0.35">
      <c r="A16041" s="3">
        <v>46246</v>
      </c>
      <c r="B16041" s="5" t="s">
        <v>354</v>
      </c>
      <c r="C16041" s="5" t="s">
        <v>20</v>
      </c>
      <c r="D16041" s="5">
        <v>1</v>
      </c>
      <c r="E16041" s="5">
        <v>127942</v>
      </c>
    </row>
    <row r="16042" spans="1:5" x14ac:dyDescent="0.35">
      <c r="A16042" s="3">
        <v>46246</v>
      </c>
      <c r="B16042" s="5" t="s">
        <v>354</v>
      </c>
      <c r="C16042" s="5" t="s">
        <v>20</v>
      </c>
      <c r="D16042" s="5">
        <v>1</v>
      </c>
      <c r="E16042" s="5">
        <v>127942</v>
      </c>
    </row>
    <row r="16043" spans="1:5" x14ac:dyDescent="0.35">
      <c r="A16043" s="3">
        <v>46246</v>
      </c>
      <c r="B16043" s="5" t="s">
        <v>354</v>
      </c>
      <c r="C16043" s="5" t="s">
        <v>19</v>
      </c>
      <c r="D16043" s="5">
        <v>1</v>
      </c>
      <c r="E16043" s="5">
        <v>127942</v>
      </c>
    </row>
    <row r="16044" spans="1:5" x14ac:dyDescent="0.35">
      <c r="A16044" s="3">
        <v>46246</v>
      </c>
      <c r="B16044" s="5" t="s">
        <v>354</v>
      </c>
      <c r="C16044" s="5" t="s">
        <v>19</v>
      </c>
      <c r="D16044" s="5">
        <v>1</v>
      </c>
      <c r="E16044" s="5">
        <v>127942</v>
      </c>
    </row>
    <row r="16045" spans="1:5" x14ac:dyDescent="0.35">
      <c r="A16045" s="3">
        <v>46246</v>
      </c>
      <c r="B16045" s="5" t="s">
        <v>364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46246</v>
      </c>
      <c r="B16046" s="5" t="s">
        <v>354</v>
      </c>
      <c r="C16046" s="5" t="s">
        <v>18</v>
      </c>
      <c r="D16046" s="5">
        <v>1</v>
      </c>
      <c r="E16046" s="5">
        <v>127942</v>
      </c>
    </row>
    <row r="16047" spans="1:5" x14ac:dyDescent="0.35">
      <c r="A16047" s="3">
        <v>46246</v>
      </c>
      <c r="B16047" s="5" t="s">
        <v>364</v>
      </c>
      <c r="C16047" s="5" t="s">
        <v>67</v>
      </c>
      <c r="D16047" s="5">
        <v>1</v>
      </c>
      <c r="E16047" s="5">
        <v>116305</v>
      </c>
    </row>
    <row r="16048" spans="1:5" x14ac:dyDescent="0.35">
      <c r="A16048" s="3">
        <v>46246</v>
      </c>
      <c r="B16048" s="5" t="s">
        <v>364</v>
      </c>
      <c r="C16048" s="5" t="s">
        <v>67</v>
      </c>
      <c r="D16048" s="5">
        <v>1</v>
      </c>
      <c r="E16048" s="5">
        <v>116305</v>
      </c>
    </row>
    <row r="16049" spans="1:5" x14ac:dyDescent="0.35">
      <c r="A16049" s="3">
        <v>46246</v>
      </c>
      <c r="B16049" s="5" t="s">
        <v>364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46246</v>
      </c>
      <c r="B16050" s="5" t="s">
        <v>362</v>
      </c>
      <c r="C16050" s="5" t="s">
        <v>66</v>
      </c>
      <c r="D16050" s="5">
        <v>1</v>
      </c>
      <c r="E16050" s="5">
        <v>116305</v>
      </c>
    </row>
    <row r="16051" spans="1:5" x14ac:dyDescent="0.35">
      <c r="A16051" s="3">
        <v>46246</v>
      </c>
      <c r="B16051" s="5" t="s">
        <v>362</v>
      </c>
      <c r="C16051" s="5" t="s">
        <v>65</v>
      </c>
      <c r="D16051" s="5">
        <v>1</v>
      </c>
      <c r="E16051" s="5">
        <v>116305</v>
      </c>
    </row>
    <row r="16052" spans="1:5" x14ac:dyDescent="0.35">
      <c r="A16052" s="3">
        <v>46246</v>
      </c>
      <c r="B16052" s="5" t="s">
        <v>362</v>
      </c>
      <c r="C16052" s="5" t="s">
        <v>66</v>
      </c>
      <c r="D16052" s="5">
        <v>1</v>
      </c>
      <c r="E16052" s="5">
        <v>116305</v>
      </c>
    </row>
    <row r="16053" spans="1:5" x14ac:dyDescent="0.35">
      <c r="A16053" s="3">
        <v>46246</v>
      </c>
      <c r="B16053" s="5" t="s">
        <v>362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46246</v>
      </c>
      <c r="B16054" s="5" t="s">
        <v>362</v>
      </c>
      <c r="C16054" s="5" t="s">
        <v>66</v>
      </c>
      <c r="D16054" s="5">
        <v>1</v>
      </c>
      <c r="E16054" s="5">
        <v>116305</v>
      </c>
    </row>
    <row r="16055" spans="1:5" x14ac:dyDescent="0.35">
      <c r="A16055" s="3">
        <v>46246</v>
      </c>
      <c r="B16055" s="5" t="s">
        <v>362</v>
      </c>
      <c r="C16055" s="5" t="s">
        <v>65</v>
      </c>
      <c r="D16055" s="5">
        <v>1</v>
      </c>
      <c r="E16055" s="5">
        <v>116305</v>
      </c>
    </row>
    <row r="16056" spans="1:5" x14ac:dyDescent="0.35">
      <c r="A16056" s="3">
        <v>46246</v>
      </c>
      <c r="B16056" s="5" t="s">
        <v>362</v>
      </c>
      <c r="C16056" s="5" t="s">
        <v>65</v>
      </c>
      <c r="D16056" s="5">
        <v>1</v>
      </c>
      <c r="E16056" s="5">
        <v>116305</v>
      </c>
    </row>
    <row r="16057" spans="1:5" x14ac:dyDescent="0.35">
      <c r="A16057" s="3">
        <v>46246</v>
      </c>
      <c r="B16057" s="5" t="s">
        <v>373</v>
      </c>
      <c r="C16057" s="5" t="s">
        <v>82</v>
      </c>
      <c r="D16057" s="5">
        <v>1</v>
      </c>
      <c r="E16057" s="5">
        <v>70850</v>
      </c>
    </row>
    <row r="16058" spans="1:5" x14ac:dyDescent="0.35">
      <c r="A16058" s="3">
        <v>46246</v>
      </c>
      <c r="B16058" s="5" t="s">
        <v>244</v>
      </c>
      <c r="C16058" s="5" t="s">
        <v>39</v>
      </c>
      <c r="D16058" s="5">
        <v>1</v>
      </c>
      <c r="E16058" s="5">
        <v>118123</v>
      </c>
    </row>
    <row r="16059" spans="1:5" x14ac:dyDescent="0.35">
      <c r="A16059" s="3">
        <v>46246</v>
      </c>
      <c r="B16059" s="5" t="s">
        <v>376</v>
      </c>
      <c r="C16059" s="5" t="s">
        <v>18</v>
      </c>
      <c r="D16059" s="5">
        <v>1</v>
      </c>
      <c r="E16059" s="5">
        <v>129941</v>
      </c>
    </row>
    <row r="16060" spans="1:5" x14ac:dyDescent="0.35">
      <c r="A16060" s="3">
        <v>46246</v>
      </c>
      <c r="B16060" s="5" t="s">
        <v>354</v>
      </c>
      <c r="C16060" s="5" t="s">
        <v>20</v>
      </c>
      <c r="D16060" s="5">
        <v>1</v>
      </c>
      <c r="E16060" s="5">
        <v>127942</v>
      </c>
    </row>
    <row r="16061" spans="1:5" x14ac:dyDescent="0.35">
      <c r="A16061" s="3">
        <v>46246</v>
      </c>
      <c r="B16061" s="5" t="s">
        <v>354</v>
      </c>
      <c r="C16061" s="5" t="s">
        <v>20</v>
      </c>
      <c r="D16061" s="5">
        <v>1</v>
      </c>
      <c r="E16061" s="5">
        <v>127942</v>
      </c>
    </row>
    <row r="16062" spans="1:5" x14ac:dyDescent="0.35">
      <c r="A16062" s="3">
        <v>46246</v>
      </c>
      <c r="B16062" s="5" t="s">
        <v>354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46246</v>
      </c>
      <c r="B16063" s="5" t="s">
        <v>354</v>
      </c>
      <c r="C16063" s="5" t="s">
        <v>19</v>
      </c>
      <c r="D16063" s="5">
        <v>1</v>
      </c>
      <c r="E16063" s="5">
        <v>127942</v>
      </c>
    </row>
    <row r="16064" spans="1:5" x14ac:dyDescent="0.35">
      <c r="A16064" s="3">
        <v>46246</v>
      </c>
      <c r="B16064" s="5" t="s">
        <v>354</v>
      </c>
      <c r="C16064" s="5" t="s">
        <v>20</v>
      </c>
      <c r="D16064" s="5">
        <v>1</v>
      </c>
      <c r="E16064" s="5">
        <v>127942</v>
      </c>
    </row>
    <row r="16065" spans="1:5" x14ac:dyDescent="0.35">
      <c r="A16065" s="3">
        <v>46246</v>
      </c>
      <c r="B16065" s="5" t="s">
        <v>354</v>
      </c>
      <c r="C16065" s="5" t="s">
        <v>20</v>
      </c>
      <c r="D16065" s="5">
        <v>1</v>
      </c>
      <c r="E16065" s="5">
        <v>127942</v>
      </c>
    </row>
    <row r="16066" spans="1:5" x14ac:dyDescent="0.35">
      <c r="A16066" s="3">
        <v>46246</v>
      </c>
      <c r="B16066" s="5" t="s">
        <v>354</v>
      </c>
      <c r="C16066" s="5" t="s">
        <v>19</v>
      </c>
      <c r="D16066" s="5">
        <v>1</v>
      </c>
      <c r="E16066" s="5">
        <v>127942</v>
      </c>
    </row>
    <row r="16067" spans="1:5" x14ac:dyDescent="0.35">
      <c r="A16067" s="3">
        <v>46246</v>
      </c>
      <c r="B16067" s="5" t="s">
        <v>354</v>
      </c>
      <c r="C16067" s="5" t="s">
        <v>19</v>
      </c>
      <c r="D16067" s="5">
        <v>1</v>
      </c>
      <c r="E16067" s="5">
        <v>127942</v>
      </c>
    </row>
    <row r="16068" spans="1:5" x14ac:dyDescent="0.35">
      <c r="A16068" s="3">
        <v>46246</v>
      </c>
      <c r="B16068" s="5" t="s">
        <v>354</v>
      </c>
      <c r="C16068" s="5" t="s">
        <v>19</v>
      </c>
      <c r="D16068" s="5">
        <v>1</v>
      </c>
      <c r="E16068" s="5">
        <v>127942</v>
      </c>
    </row>
    <row r="16069" spans="1:5" x14ac:dyDescent="0.35">
      <c r="A16069" s="3">
        <v>46246</v>
      </c>
      <c r="B16069" s="5" t="s">
        <v>364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46246</v>
      </c>
      <c r="B16070" s="5" t="s">
        <v>364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46246</v>
      </c>
      <c r="B16071" s="5" t="s">
        <v>364</v>
      </c>
      <c r="C16071" s="5" t="s">
        <v>66</v>
      </c>
      <c r="D16071" s="5">
        <v>1</v>
      </c>
      <c r="E16071" s="5">
        <v>116305</v>
      </c>
    </row>
    <row r="16072" spans="1:5" x14ac:dyDescent="0.35">
      <c r="A16072" s="3">
        <v>46246</v>
      </c>
      <c r="B16072" s="5" t="s">
        <v>354</v>
      </c>
      <c r="C16072" s="5" t="s">
        <v>19</v>
      </c>
      <c r="D16072" s="5">
        <v>1</v>
      </c>
      <c r="E16072" s="5">
        <v>127942</v>
      </c>
    </row>
    <row r="16073" spans="1:5" x14ac:dyDescent="0.35">
      <c r="A16073" s="3">
        <v>46246</v>
      </c>
      <c r="B16073" s="5" t="s">
        <v>364</v>
      </c>
      <c r="C16073" s="5" t="s">
        <v>65</v>
      </c>
      <c r="D16073" s="5">
        <v>1</v>
      </c>
      <c r="E16073" s="5">
        <v>116305</v>
      </c>
    </row>
    <row r="16074" spans="1:5" x14ac:dyDescent="0.35">
      <c r="A16074" s="3">
        <v>46246</v>
      </c>
      <c r="B16074" s="5" t="s">
        <v>364</v>
      </c>
      <c r="C16074" s="5" t="s">
        <v>66</v>
      </c>
      <c r="D16074" s="5">
        <v>1</v>
      </c>
      <c r="E16074" s="5">
        <v>116305</v>
      </c>
    </row>
    <row r="16075" spans="1:5" x14ac:dyDescent="0.35">
      <c r="A16075" s="3">
        <v>46246</v>
      </c>
      <c r="B16075" s="5" t="s">
        <v>364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46246</v>
      </c>
      <c r="B16076" s="5" t="s">
        <v>362</v>
      </c>
      <c r="C16076" s="5" t="s">
        <v>67</v>
      </c>
      <c r="D16076" s="5">
        <v>1</v>
      </c>
      <c r="E16076" s="5">
        <v>116305</v>
      </c>
    </row>
    <row r="16077" spans="1:5" x14ac:dyDescent="0.35">
      <c r="A16077" s="3">
        <v>46246</v>
      </c>
      <c r="B16077" s="5" t="s">
        <v>362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46246</v>
      </c>
      <c r="B16078" s="5" t="s">
        <v>362</v>
      </c>
      <c r="C16078" s="5" t="s">
        <v>67</v>
      </c>
      <c r="D16078" s="5">
        <v>1</v>
      </c>
      <c r="E16078" s="5">
        <v>116305</v>
      </c>
    </row>
    <row r="16079" spans="1:5" x14ac:dyDescent="0.35">
      <c r="A16079" s="3">
        <v>46246</v>
      </c>
      <c r="B16079" s="5" t="s">
        <v>362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46246</v>
      </c>
      <c r="B16080" s="5" t="s">
        <v>373</v>
      </c>
      <c r="C16080" s="5" t="s">
        <v>28</v>
      </c>
      <c r="D16080" s="5">
        <v>1</v>
      </c>
      <c r="E16080" s="5">
        <v>118123</v>
      </c>
    </row>
    <row r="16081" spans="1:5" x14ac:dyDescent="0.35">
      <c r="A16081" s="3">
        <v>46246</v>
      </c>
      <c r="B16081" s="5" t="s">
        <v>354</v>
      </c>
      <c r="C16081" s="5" t="s">
        <v>20</v>
      </c>
      <c r="D16081" s="5">
        <v>1</v>
      </c>
      <c r="E16081" s="5">
        <v>127942</v>
      </c>
    </row>
    <row r="16082" spans="1:5" x14ac:dyDescent="0.35">
      <c r="A16082" s="3">
        <v>46246</v>
      </c>
      <c r="B16082" s="5" t="s">
        <v>354</v>
      </c>
      <c r="C16082" s="5" t="s">
        <v>20</v>
      </c>
      <c r="D16082" s="5">
        <v>1</v>
      </c>
      <c r="E16082" s="5">
        <v>127942</v>
      </c>
    </row>
    <row r="16083" spans="1:5" x14ac:dyDescent="0.35">
      <c r="A16083" s="3">
        <v>46246</v>
      </c>
      <c r="B16083" s="5" t="s">
        <v>354</v>
      </c>
      <c r="C16083" s="5" t="s">
        <v>20</v>
      </c>
      <c r="D16083" s="5">
        <v>1</v>
      </c>
      <c r="E16083" s="5">
        <v>127942</v>
      </c>
    </row>
    <row r="16084" spans="1:5" x14ac:dyDescent="0.35">
      <c r="A16084" s="3">
        <v>46246</v>
      </c>
      <c r="B16084" s="5" t="s">
        <v>354</v>
      </c>
      <c r="C16084" s="5" t="s">
        <v>20</v>
      </c>
      <c r="D16084" s="5">
        <v>1</v>
      </c>
      <c r="E16084" s="5">
        <v>127942</v>
      </c>
    </row>
    <row r="16085" spans="1:5" x14ac:dyDescent="0.35">
      <c r="A16085" s="3">
        <v>46246</v>
      </c>
      <c r="B16085" s="5" t="s">
        <v>354</v>
      </c>
      <c r="C16085" s="5" t="s">
        <v>20</v>
      </c>
      <c r="D16085" s="5">
        <v>1</v>
      </c>
      <c r="E16085" s="5">
        <v>127942</v>
      </c>
    </row>
    <row r="16086" spans="1:5" x14ac:dyDescent="0.35">
      <c r="A16086" s="3">
        <v>46246</v>
      </c>
      <c r="B16086" s="5" t="s">
        <v>354</v>
      </c>
      <c r="C16086" s="5" t="s">
        <v>20</v>
      </c>
      <c r="D16086" s="5">
        <v>1</v>
      </c>
      <c r="E16086" s="5">
        <v>127942</v>
      </c>
    </row>
    <row r="16087" spans="1:5" x14ac:dyDescent="0.35">
      <c r="A16087" s="3">
        <v>46246</v>
      </c>
      <c r="B16087" s="5" t="s">
        <v>354</v>
      </c>
      <c r="C16087" s="5" t="s">
        <v>20</v>
      </c>
      <c r="D16087" s="5">
        <v>1</v>
      </c>
      <c r="E16087" s="5">
        <v>127942</v>
      </c>
    </row>
    <row r="16088" spans="1:5" x14ac:dyDescent="0.35">
      <c r="A16088" s="3">
        <v>46246</v>
      </c>
      <c r="B16088" s="5" t="s">
        <v>354</v>
      </c>
      <c r="C16088" s="5" t="s">
        <v>18</v>
      </c>
      <c r="D16088" s="5">
        <v>1</v>
      </c>
      <c r="E16088" s="5">
        <v>127942</v>
      </c>
    </row>
    <row r="16089" spans="1:5" x14ac:dyDescent="0.35">
      <c r="A16089" s="3">
        <v>46246</v>
      </c>
      <c r="B16089" s="5" t="s">
        <v>364</v>
      </c>
      <c r="C16089" s="5" t="s">
        <v>66</v>
      </c>
      <c r="D16089" s="5">
        <v>1</v>
      </c>
      <c r="E16089" s="5">
        <v>116305</v>
      </c>
    </row>
    <row r="16090" spans="1:5" x14ac:dyDescent="0.35">
      <c r="A16090" s="3">
        <v>46246</v>
      </c>
      <c r="B16090" s="5" t="s">
        <v>354</v>
      </c>
      <c r="C16090" s="5" t="s">
        <v>20</v>
      </c>
      <c r="D16090" s="5">
        <v>1</v>
      </c>
      <c r="E16090" s="5">
        <v>127942</v>
      </c>
    </row>
    <row r="16091" spans="1:5" x14ac:dyDescent="0.35">
      <c r="A16091" s="3">
        <v>46246</v>
      </c>
      <c r="B16091" s="5" t="s">
        <v>354</v>
      </c>
      <c r="C16091" s="5" t="s">
        <v>18</v>
      </c>
      <c r="D16091" s="5">
        <v>1</v>
      </c>
      <c r="E16091" s="5">
        <v>127942</v>
      </c>
    </row>
    <row r="16092" spans="1:5" x14ac:dyDescent="0.35">
      <c r="A16092" s="3">
        <v>46246</v>
      </c>
      <c r="B16092" s="5" t="s">
        <v>354</v>
      </c>
      <c r="C16092" s="5" t="s">
        <v>18</v>
      </c>
      <c r="D16092" s="5">
        <v>1</v>
      </c>
      <c r="E16092" s="5">
        <v>127942</v>
      </c>
    </row>
    <row r="16093" spans="1:5" x14ac:dyDescent="0.35">
      <c r="A16093" s="3">
        <v>46246</v>
      </c>
      <c r="B16093" s="5" t="s">
        <v>354</v>
      </c>
      <c r="C16093" s="5" t="s">
        <v>18</v>
      </c>
      <c r="D16093" s="5">
        <v>1</v>
      </c>
      <c r="E16093" s="5">
        <v>127942</v>
      </c>
    </row>
    <row r="16094" spans="1:5" x14ac:dyDescent="0.35">
      <c r="A16094" s="3">
        <v>46246</v>
      </c>
      <c r="B16094" s="5" t="s">
        <v>362</v>
      </c>
      <c r="C16094" s="5" t="s">
        <v>66</v>
      </c>
      <c r="D16094" s="5">
        <v>1</v>
      </c>
      <c r="E16094" s="5">
        <v>116305</v>
      </c>
    </row>
    <row r="16095" spans="1:5" x14ac:dyDescent="0.35">
      <c r="A16095" s="3">
        <v>46246</v>
      </c>
      <c r="B16095" s="5" t="s">
        <v>362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46246</v>
      </c>
      <c r="B16096" s="5" t="s">
        <v>362</v>
      </c>
      <c r="C16096" s="5" t="s">
        <v>66</v>
      </c>
      <c r="D16096" s="5">
        <v>1</v>
      </c>
      <c r="E16096" s="5">
        <v>116305</v>
      </c>
    </row>
    <row r="16097" spans="1:5" x14ac:dyDescent="0.35">
      <c r="A16097" s="3">
        <v>46246</v>
      </c>
      <c r="B16097" s="5" t="s">
        <v>362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46246</v>
      </c>
      <c r="B16098" s="5" t="s">
        <v>362</v>
      </c>
      <c r="C16098" s="5" t="s">
        <v>65</v>
      </c>
      <c r="D16098" s="5">
        <v>1</v>
      </c>
      <c r="E16098" s="5">
        <v>116305</v>
      </c>
    </row>
    <row r="16099" spans="1:5" x14ac:dyDescent="0.35">
      <c r="A16099" s="3">
        <v>46246</v>
      </c>
      <c r="B16099" s="5" t="s">
        <v>362</v>
      </c>
      <c r="C16099" s="5" t="s">
        <v>65</v>
      </c>
      <c r="D16099" s="5">
        <v>1</v>
      </c>
      <c r="E16099" s="5">
        <v>116305</v>
      </c>
    </row>
    <row r="16100" spans="1:5" x14ac:dyDescent="0.35">
      <c r="A16100" s="3">
        <v>46246</v>
      </c>
      <c r="B16100" s="5" t="s">
        <v>362</v>
      </c>
      <c r="C16100" s="5" t="s">
        <v>67</v>
      </c>
      <c r="D16100" s="5">
        <v>1</v>
      </c>
      <c r="E16100" s="5">
        <v>116305</v>
      </c>
    </row>
    <row r="16101" spans="1:5" x14ac:dyDescent="0.35">
      <c r="A16101" s="3">
        <v>46246</v>
      </c>
      <c r="B16101" s="5" t="s">
        <v>362</v>
      </c>
      <c r="C16101" s="5" t="s">
        <v>65</v>
      </c>
      <c r="D16101" s="5">
        <v>1</v>
      </c>
      <c r="E16101" s="5">
        <v>116305</v>
      </c>
    </row>
    <row r="16102" spans="1:5" x14ac:dyDescent="0.35">
      <c r="A16102" s="3">
        <v>46246</v>
      </c>
      <c r="B16102" s="5" t="s">
        <v>362</v>
      </c>
      <c r="C16102" s="5" t="s">
        <v>66</v>
      </c>
      <c r="D16102" s="5">
        <v>1</v>
      </c>
      <c r="E16102" s="5">
        <v>116305</v>
      </c>
    </row>
    <row r="16103" spans="1:5" x14ac:dyDescent="0.35">
      <c r="A16103" s="3">
        <v>46246</v>
      </c>
      <c r="B16103" s="5" t="s">
        <v>376</v>
      </c>
      <c r="C16103" s="5" t="s">
        <v>18</v>
      </c>
      <c r="D16103" s="5">
        <v>1</v>
      </c>
      <c r="E16103" s="5">
        <v>129941</v>
      </c>
    </row>
    <row r="16104" spans="1:5" x14ac:dyDescent="0.35">
      <c r="A16104" s="3">
        <v>46246</v>
      </c>
      <c r="B16104" s="5" t="s">
        <v>376</v>
      </c>
      <c r="C16104" s="5" t="s">
        <v>28</v>
      </c>
      <c r="D16104" s="5">
        <v>1</v>
      </c>
      <c r="E16104" s="5">
        <v>118123</v>
      </c>
    </row>
    <row r="16105" spans="1:5" x14ac:dyDescent="0.35">
      <c r="A16105" s="3">
        <v>46246</v>
      </c>
      <c r="B16105" s="5" t="s">
        <v>376</v>
      </c>
      <c r="C16105" s="5" t="s">
        <v>18</v>
      </c>
      <c r="D16105" s="5">
        <v>1</v>
      </c>
      <c r="E16105" s="5">
        <v>129941</v>
      </c>
    </row>
    <row r="16106" spans="1:5" x14ac:dyDescent="0.35">
      <c r="A16106" s="3">
        <v>46246</v>
      </c>
      <c r="B16106" s="5" t="s">
        <v>354</v>
      </c>
      <c r="C16106" s="5" t="s">
        <v>19</v>
      </c>
      <c r="D16106" s="5">
        <v>1</v>
      </c>
      <c r="E16106" s="5">
        <v>127942</v>
      </c>
    </row>
    <row r="16107" spans="1:5" x14ac:dyDescent="0.35">
      <c r="A16107" s="3">
        <v>46246</v>
      </c>
      <c r="B16107" s="5" t="s">
        <v>354</v>
      </c>
      <c r="C16107" s="5" t="s">
        <v>20</v>
      </c>
      <c r="D16107" s="5">
        <v>1</v>
      </c>
      <c r="E16107" s="5">
        <v>127942</v>
      </c>
    </row>
    <row r="16108" spans="1:5" x14ac:dyDescent="0.35">
      <c r="A16108" s="3">
        <v>46246</v>
      </c>
      <c r="B16108" s="5" t="s">
        <v>354</v>
      </c>
      <c r="C16108" s="5" t="s">
        <v>20</v>
      </c>
      <c r="D16108" s="5">
        <v>1</v>
      </c>
      <c r="E16108" s="5">
        <v>127942</v>
      </c>
    </row>
    <row r="16109" spans="1:5" x14ac:dyDescent="0.35">
      <c r="A16109" s="3">
        <v>46246</v>
      </c>
      <c r="B16109" s="5" t="s">
        <v>354</v>
      </c>
      <c r="C16109" s="5" t="s">
        <v>20</v>
      </c>
      <c r="D16109" s="5">
        <v>1</v>
      </c>
      <c r="E16109" s="5">
        <v>127942</v>
      </c>
    </row>
    <row r="16110" spans="1:5" x14ac:dyDescent="0.35">
      <c r="A16110" s="3">
        <v>46246</v>
      </c>
      <c r="B16110" s="5" t="s">
        <v>354</v>
      </c>
      <c r="C16110" s="5" t="s">
        <v>20</v>
      </c>
      <c r="D16110" s="5">
        <v>1</v>
      </c>
      <c r="E16110" s="5">
        <v>127942</v>
      </c>
    </row>
    <row r="16111" spans="1:5" x14ac:dyDescent="0.35">
      <c r="A16111" s="3">
        <v>46246</v>
      </c>
      <c r="B16111" s="5" t="s">
        <v>354</v>
      </c>
      <c r="C16111" s="5" t="s">
        <v>19</v>
      </c>
      <c r="D16111" s="5">
        <v>1</v>
      </c>
      <c r="E16111" s="5">
        <v>127942</v>
      </c>
    </row>
    <row r="16112" spans="1:5" x14ac:dyDescent="0.35">
      <c r="A16112" s="3">
        <v>46246</v>
      </c>
      <c r="B16112" s="5" t="s">
        <v>354</v>
      </c>
      <c r="C16112" s="5" t="s">
        <v>20</v>
      </c>
      <c r="D16112" s="5">
        <v>1</v>
      </c>
      <c r="E16112" s="5">
        <v>127942</v>
      </c>
    </row>
    <row r="16113" spans="1:5" x14ac:dyDescent="0.35">
      <c r="A16113" s="3">
        <v>46246</v>
      </c>
      <c r="B16113" s="5" t="s">
        <v>354</v>
      </c>
      <c r="C16113" s="5" t="s">
        <v>20</v>
      </c>
      <c r="D16113" s="5">
        <v>1</v>
      </c>
      <c r="E16113" s="5">
        <v>127942</v>
      </c>
    </row>
    <row r="16114" spans="1:5" x14ac:dyDescent="0.35">
      <c r="A16114" s="3">
        <v>46246</v>
      </c>
      <c r="B16114" s="5" t="s">
        <v>354</v>
      </c>
      <c r="C16114" s="5" t="s">
        <v>19</v>
      </c>
      <c r="D16114" s="5">
        <v>1</v>
      </c>
      <c r="E16114" s="5">
        <v>127942</v>
      </c>
    </row>
    <row r="16115" spans="1:5" x14ac:dyDescent="0.35">
      <c r="A16115" s="3">
        <v>46246</v>
      </c>
      <c r="B16115" s="5" t="s">
        <v>364</v>
      </c>
      <c r="C16115" s="5" t="s">
        <v>66</v>
      </c>
      <c r="D16115" s="5">
        <v>1</v>
      </c>
      <c r="E16115" s="5">
        <v>116305</v>
      </c>
    </row>
    <row r="16116" spans="1:5" x14ac:dyDescent="0.35">
      <c r="A16116" s="3">
        <v>46246</v>
      </c>
      <c r="B16116" s="5" t="s">
        <v>354</v>
      </c>
      <c r="C16116" s="5" t="s">
        <v>19</v>
      </c>
      <c r="D16116" s="5">
        <v>1</v>
      </c>
      <c r="E16116" s="5">
        <v>127942</v>
      </c>
    </row>
    <row r="16117" spans="1:5" x14ac:dyDescent="0.35">
      <c r="A16117" s="3">
        <v>46246</v>
      </c>
      <c r="B16117" s="5" t="s">
        <v>354</v>
      </c>
      <c r="C16117" s="5" t="s">
        <v>18</v>
      </c>
      <c r="D16117" s="5">
        <v>1</v>
      </c>
      <c r="E16117" s="5">
        <v>127942</v>
      </c>
    </row>
    <row r="16118" spans="1:5" x14ac:dyDescent="0.35">
      <c r="A16118" s="3">
        <v>46246</v>
      </c>
      <c r="B16118" s="5" t="s">
        <v>354</v>
      </c>
      <c r="C16118" s="5" t="s">
        <v>19</v>
      </c>
      <c r="D16118" s="5">
        <v>1</v>
      </c>
      <c r="E16118" s="5">
        <v>127942</v>
      </c>
    </row>
    <row r="16119" spans="1:5" x14ac:dyDescent="0.35">
      <c r="A16119" s="3">
        <v>46246</v>
      </c>
      <c r="B16119" s="5" t="s">
        <v>364</v>
      </c>
      <c r="C16119" s="5" t="s">
        <v>66</v>
      </c>
      <c r="D16119" s="5">
        <v>1</v>
      </c>
      <c r="E16119" s="5">
        <v>116305</v>
      </c>
    </row>
    <row r="16120" spans="1:5" x14ac:dyDescent="0.35">
      <c r="A16120" s="3">
        <v>46246</v>
      </c>
      <c r="B16120" s="5" t="s">
        <v>364</v>
      </c>
      <c r="C16120" s="5" t="s">
        <v>65</v>
      </c>
      <c r="D16120" s="5">
        <v>1</v>
      </c>
      <c r="E16120" s="5">
        <v>116305</v>
      </c>
    </row>
    <row r="16121" spans="1:5" x14ac:dyDescent="0.35">
      <c r="A16121" s="3">
        <v>46246</v>
      </c>
      <c r="B16121" s="5" t="s">
        <v>364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46246</v>
      </c>
      <c r="B16122" s="5" t="s">
        <v>354</v>
      </c>
      <c r="C16122" s="5" t="s">
        <v>19</v>
      </c>
      <c r="D16122" s="5">
        <v>1</v>
      </c>
      <c r="E16122" s="5">
        <v>127942</v>
      </c>
    </row>
    <row r="16123" spans="1:5" x14ac:dyDescent="0.35">
      <c r="A16123" s="3">
        <v>46246</v>
      </c>
      <c r="B16123" s="5" t="s">
        <v>237</v>
      </c>
      <c r="C16123" s="5" t="s">
        <v>38</v>
      </c>
      <c r="D16123" s="5">
        <v>1</v>
      </c>
      <c r="E16123" s="5">
        <v>203578</v>
      </c>
    </row>
    <row r="16124" spans="1:5" x14ac:dyDescent="0.35">
      <c r="A16124" s="3">
        <v>46246</v>
      </c>
      <c r="B16124" s="5" t="s">
        <v>362</v>
      </c>
      <c r="C16124" s="5" t="s">
        <v>66</v>
      </c>
      <c r="D16124" s="5">
        <v>1</v>
      </c>
      <c r="E16124" s="5">
        <v>116305</v>
      </c>
    </row>
    <row r="16125" spans="1:5" x14ac:dyDescent="0.35">
      <c r="A16125" s="3">
        <v>46246</v>
      </c>
      <c r="B16125" s="5" t="s">
        <v>237</v>
      </c>
      <c r="C16125" s="5" t="s">
        <v>38</v>
      </c>
      <c r="D16125" s="5">
        <v>1</v>
      </c>
      <c r="E16125" s="5">
        <v>203578</v>
      </c>
    </row>
    <row r="16126" spans="1:5" x14ac:dyDescent="0.35">
      <c r="A16126" s="3">
        <v>46246</v>
      </c>
      <c r="B16126" s="5" t="s">
        <v>362</v>
      </c>
      <c r="C16126" s="5" t="s">
        <v>67</v>
      </c>
      <c r="D16126" s="5">
        <v>1</v>
      </c>
      <c r="E16126" s="5">
        <v>116305</v>
      </c>
    </row>
    <row r="16127" spans="1:5" x14ac:dyDescent="0.35">
      <c r="A16127" s="3">
        <v>46246</v>
      </c>
      <c r="B16127" s="5" t="s">
        <v>376</v>
      </c>
      <c r="C16127" s="5" t="s">
        <v>32</v>
      </c>
      <c r="D16127" s="5">
        <v>1</v>
      </c>
      <c r="E16127" s="5">
        <v>177214</v>
      </c>
    </row>
    <row r="16128" spans="1:5" x14ac:dyDescent="0.35">
      <c r="A16128" s="3">
        <v>46246</v>
      </c>
      <c r="B16128" s="5" t="s">
        <v>376</v>
      </c>
      <c r="C16128" s="5" t="s">
        <v>18</v>
      </c>
      <c r="D16128" s="5">
        <v>1</v>
      </c>
      <c r="E16128" s="5">
        <v>129941</v>
      </c>
    </row>
    <row r="16129" spans="1:5" x14ac:dyDescent="0.35">
      <c r="A16129" s="3">
        <v>46246</v>
      </c>
      <c r="B16129" s="5" t="s">
        <v>376</v>
      </c>
      <c r="C16129" s="5" t="s">
        <v>42</v>
      </c>
      <c r="D16129" s="5">
        <v>1</v>
      </c>
      <c r="E16129" s="5">
        <v>206759</v>
      </c>
    </row>
    <row r="16130" spans="1:5" x14ac:dyDescent="0.35">
      <c r="A16130" s="3">
        <v>46246</v>
      </c>
      <c r="B16130" s="5" t="s">
        <v>354</v>
      </c>
      <c r="C16130" s="5" t="s">
        <v>20</v>
      </c>
      <c r="D16130" s="5">
        <v>1</v>
      </c>
      <c r="E16130" s="5">
        <v>127942</v>
      </c>
    </row>
    <row r="16131" spans="1:5" x14ac:dyDescent="0.35">
      <c r="A16131" s="3">
        <v>46246</v>
      </c>
      <c r="B16131" s="5" t="s">
        <v>354</v>
      </c>
      <c r="C16131" s="5" t="s">
        <v>20</v>
      </c>
      <c r="D16131" s="5">
        <v>1</v>
      </c>
      <c r="E16131" s="5">
        <v>127942</v>
      </c>
    </row>
    <row r="16132" spans="1:5" x14ac:dyDescent="0.35">
      <c r="A16132" s="3">
        <v>46246</v>
      </c>
      <c r="B16132" s="5" t="s">
        <v>354</v>
      </c>
      <c r="C16132" s="5" t="s">
        <v>18</v>
      </c>
      <c r="D16132" s="5">
        <v>1</v>
      </c>
      <c r="E16132" s="5">
        <v>127942</v>
      </c>
    </row>
    <row r="16133" spans="1:5" x14ac:dyDescent="0.35">
      <c r="A16133" s="3">
        <v>46246</v>
      </c>
      <c r="B16133" s="5" t="s">
        <v>354</v>
      </c>
      <c r="C16133" s="5" t="s">
        <v>19</v>
      </c>
      <c r="D16133" s="5">
        <v>1</v>
      </c>
      <c r="E16133" s="5">
        <v>127942</v>
      </c>
    </row>
    <row r="16134" spans="1:5" x14ac:dyDescent="0.35">
      <c r="A16134" s="3">
        <v>46246</v>
      </c>
      <c r="B16134" s="5" t="s">
        <v>354</v>
      </c>
      <c r="C16134" s="5" t="s">
        <v>20</v>
      </c>
      <c r="D16134" s="5">
        <v>1</v>
      </c>
      <c r="E16134" s="5">
        <v>127942</v>
      </c>
    </row>
    <row r="16135" spans="1:5" x14ac:dyDescent="0.35">
      <c r="A16135" s="3">
        <v>46246</v>
      </c>
      <c r="B16135" s="5" t="s">
        <v>354</v>
      </c>
      <c r="C16135" s="5" t="s">
        <v>18</v>
      </c>
      <c r="D16135" s="5">
        <v>1</v>
      </c>
      <c r="E16135" s="5">
        <v>127942</v>
      </c>
    </row>
    <row r="16136" spans="1:5" x14ac:dyDescent="0.35">
      <c r="A16136" s="3">
        <v>46246</v>
      </c>
      <c r="B16136" s="5" t="s">
        <v>354</v>
      </c>
      <c r="C16136" s="5" t="s">
        <v>19</v>
      </c>
      <c r="D16136" s="5">
        <v>1</v>
      </c>
      <c r="E16136" s="5">
        <v>127942</v>
      </c>
    </row>
    <row r="16137" spans="1:5" x14ac:dyDescent="0.35">
      <c r="A16137" s="3">
        <v>46246</v>
      </c>
      <c r="B16137" s="5" t="s">
        <v>354</v>
      </c>
      <c r="C16137" s="5" t="s">
        <v>18</v>
      </c>
      <c r="D16137" s="5">
        <v>1</v>
      </c>
      <c r="E16137" s="5">
        <v>127942</v>
      </c>
    </row>
    <row r="16138" spans="1:5" x14ac:dyDescent="0.35">
      <c r="A16138" s="3">
        <v>46246</v>
      </c>
      <c r="B16138" s="5" t="s">
        <v>354</v>
      </c>
      <c r="C16138" s="5" t="s">
        <v>18</v>
      </c>
      <c r="D16138" s="5">
        <v>1</v>
      </c>
      <c r="E16138" s="5">
        <v>127942</v>
      </c>
    </row>
    <row r="16139" spans="1:5" x14ac:dyDescent="0.35">
      <c r="A16139" s="3">
        <v>46246</v>
      </c>
      <c r="B16139" s="5" t="s">
        <v>354</v>
      </c>
      <c r="C16139" s="5" t="s">
        <v>18</v>
      </c>
      <c r="D16139" s="5">
        <v>1</v>
      </c>
      <c r="E16139" s="5">
        <v>127942</v>
      </c>
    </row>
    <row r="16140" spans="1:5" x14ac:dyDescent="0.35">
      <c r="A16140" s="3">
        <v>46246</v>
      </c>
      <c r="B16140" s="5" t="s">
        <v>354</v>
      </c>
      <c r="C16140" s="5" t="s">
        <v>18</v>
      </c>
      <c r="D16140" s="5">
        <v>1</v>
      </c>
      <c r="E16140" s="5">
        <v>127942</v>
      </c>
    </row>
    <row r="16141" spans="1:5" x14ac:dyDescent="0.35">
      <c r="A16141" s="3">
        <v>46246</v>
      </c>
      <c r="B16141" s="5" t="s">
        <v>354</v>
      </c>
      <c r="C16141" s="5" t="s">
        <v>18</v>
      </c>
      <c r="D16141" s="5">
        <v>1</v>
      </c>
      <c r="E16141" s="5">
        <v>127942</v>
      </c>
    </row>
    <row r="16142" spans="1:5" x14ac:dyDescent="0.35">
      <c r="A16142" s="3">
        <v>46246</v>
      </c>
      <c r="B16142" s="5" t="s">
        <v>364</v>
      </c>
      <c r="C16142" s="5" t="s">
        <v>65</v>
      </c>
      <c r="D16142" s="5">
        <v>1</v>
      </c>
      <c r="E16142" s="5">
        <v>116305</v>
      </c>
    </row>
    <row r="16143" spans="1:5" x14ac:dyDescent="0.35">
      <c r="A16143" s="3">
        <v>46246</v>
      </c>
      <c r="B16143" s="5" t="s">
        <v>354</v>
      </c>
      <c r="C16143" s="5" t="s">
        <v>18</v>
      </c>
      <c r="D16143" s="5">
        <v>1</v>
      </c>
      <c r="E16143" s="5">
        <v>127942</v>
      </c>
    </row>
    <row r="16144" spans="1:5" x14ac:dyDescent="0.35">
      <c r="A16144" s="3">
        <v>46246</v>
      </c>
      <c r="B16144" s="5" t="s">
        <v>354</v>
      </c>
      <c r="C16144" s="5" t="s">
        <v>18</v>
      </c>
      <c r="D16144" s="5">
        <v>1</v>
      </c>
      <c r="E16144" s="5">
        <v>127942</v>
      </c>
    </row>
    <row r="16145" spans="1:5" x14ac:dyDescent="0.35">
      <c r="A16145" s="3">
        <v>46246</v>
      </c>
      <c r="B16145" s="5" t="s">
        <v>354</v>
      </c>
      <c r="C16145" s="5" t="s">
        <v>18</v>
      </c>
      <c r="D16145" s="5">
        <v>1</v>
      </c>
      <c r="E16145" s="5">
        <v>127942</v>
      </c>
    </row>
    <row r="16146" spans="1:5" x14ac:dyDescent="0.35">
      <c r="A16146" s="3">
        <v>46246</v>
      </c>
      <c r="B16146" s="5" t="s">
        <v>362</v>
      </c>
      <c r="C16146" s="5" t="s">
        <v>66</v>
      </c>
      <c r="D16146" s="5">
        <v>1</v>
      </c>
      <c r="E16146" s="5">
        <v>116305</v>
      </c>
    </row>
    <row r="16147" spans="1:5" x14ac:dyDescent="0.35">
      <c r="A16147" s="3">
        <v>46246</v>
      </c>
      <c r="B16147" s="5" t="s">
        <v>237</v>
      </c>
      <c r="C16147" s="5" t="s">
        <v>38</v>
      </c>
      <c r="D16147" s="5">
        <v>1</v>
      </c>
      <c r="E16147" s="5">
        <v>203578</v>
      </c>
    </row>
    <row r="16148" spans="1:5" x14ac:dyDescent="0.35">
      <c r="A16148" s="3">
        <v>46246</v>
      </c>
      <c r="B16148" s="5" t="s">
        <v>362</v>
      </c>
      <c r="C16148" s="5" t="s">
        <v>66</v>
      </c>
      <c r="D16148" s="5">
        <v>1</v>
      </c>
      <c r="E16148" s="5">
        <v>116305</v>
      </c>
    </row>
    <row r="16149" spans="1:5" x14ac:dyDescent="0.35">
      <c r="A16149" s="3">
        <v>46246</v>
      </c>
      <c r="B16149" s="5" t="s">
        <v>362</v>
      </c>
      <c r="C16149" s="5" t="s">
        <v>66</v>
      </c>
      <c r="D16149" s="5">
        <v>1</v>
      </c>
      <c r="E16149" s="5">
        <v>116305</v>
      </c>
    </row>
    <row r="16150" spans="1:5" x14ac:dyDescent="0.35">
      <c r="A16150" s="3">
        <v>46246</v>
      </c>
      <c r="B16150" s="5" t="s">
        <v>354</v>
      </c>
      <c r="C16150" s="5" t="s">
        <v>20</v>
      </c>
      <c r="D16150" s="5">
        <v>1</v>
      </c>
      <c r="E16150" s="5">
        <v>127942</v>
      </c>
    </row>
    <row r="16151" spans="1:5" x14ac:dyDescent="0.35">
      <c r="A16151" s="3">
        <v>46246</v>
      </c>
      <c r="B16151" s="5" t="s">
        <v>354</v>
      </c>
      <c r="C16151" s="5" t="s">
        <v>20</v>
      </c>
      <c r="D16151" s="5">
        <v>1</v>
      </c>
      <c r="E16151" s="5">
        <v>127942</v>
      </c>
    </row>
    <row r="16152" spans="1:5" x14ac:dyDescent="0.35">
      <c r="A16152" s="3">
        <v>46246</v>
      </c>
      <c r="B16152" s="5" t="s">
        <v>354</v>
      </c>
      <c r="C16152" s="5" t="s">
        <v>20</v>
      </c>
      <c r="D16152" s="5">
        <v>1</v>
      </c>
      <c r="E16152" s="5">
        <v>127942</v>
      </c>
    </row>
    <row r="16153" spans="1:5" x14ac:dyDescent="0.35">
      <c r="A16153" s="3">
        <v>46246</v>
      </c>
      <c r="B16153" s="5" t="s">
        <v>354</v>
      </c>
      <c r="C16153" s="5" t="s">
        <v>19</v>
      </c>
      <c r="D16153" s="5">
        <v>1</v>
      </c>
      <c r="E16153" s="5">
        <v>127942</v>
      </c>
    </row>
    <row r="16154" spans="1:5" x14ac:dyDescent="0.35">
      <c r="A16154" s="3">
        <v>46246</v>
      </c>
      <c r="B16154" s="5" t="s">
        <v>354</v>
      </c>
      <c r="C16154" s="5" t="s">
        <v>19</v>
      </c>
      <c r="D16154" s="5">
        <v>1</v>
      </c>
      <c r="E16154" s="5">
        <v>127942</v>
      </c>
    </row>
    <row r="16155" spans="1:5" x14ac:dyDescent="0.35">
      <c r="A16155" s="3">
        <v>46246</v>
      </c>
      <c r="B16155" s="5" t="s">
        <v>354</v>
      </c>
      <c r="C16155" s="5" t="s">
        <v>20</v>
      </c>
      <c r="D16155" s="5">
        <v>1</v>
      </c>
      <c r="E16155" s="5">
        <v>127942</v>
      </c>
    </row>
    <row r="16156" spans="1:5" x14ac:dyDescent="0.35">
      <c r="A16156" s="3">
        <v>46246</v>
      </c>
      <c r="B16156" s="5" t="s">
        <v>354</v>
      </c>
      <c r="C16156" s="5" t="s">
        <v>20</v>
      </c>
      <c r="D16156" s="5">
        <v>1</v>
      </c>
      <c r="E16156" s="5">
        <v>127942</v>
      </c>
    </row>
    <row r="16157" spans="1:5" x14ac:dyDescent="0.35">
      <c r="A16157" s="3">
        <v>46246</v>
      </c>
      <c r="B16157" s="5" t="s">
        <v>354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46246</v>
      </c>
      <c r="B16158" s="5" t="s">
        <v>354</v>
      </c>
      <c r="C16158" s="5" t="s">
        <v>18</v>
      </c>
      <c r="D16158" s="5">
        <v>1</v>
      </c>
      <c r="E16158" s="5">
        <v>127942</v>
      </c>
    </row>
    <row r="16159" spans="1:5" x14ac:dyDescent="0.35">
      <c r="A16159" s="3">
        <v>46246</v>
      </c>
      <c r="B16159" s="5" t="s">
        <v>354</v>
      </c>
      <c r="C16159" s="5" t="s">
        <v>19</v>
      </c>
      <c r="D16159" s="5">
        <v>1</v>
      </c>
      <c r="E16159" s="5">
        <v>127942</v>
      </c>
    </row>
    <row r="16160" spans="1:5" x14ac:dyDescent="0.35">
      <c r="A16160" s="3">
        <v>46246</v>
      </c>
      <c r="B16160" s="5" t="s">
        <v>364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46246</v>
      </c>
      <c r="B16161" s="5" t="s">
        <v>364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46246</v>
      </c>
      <c r="B16162" s="5" t="s">
        <v>354</v>
      </c>
      <c r="C16162" s="5" t="s">
        <v>19</v>
      </c>
      <c r="D16162" s="5">
        <v>1</v>
      </c>
      <c r="E16162" s="5">
        <v>127942</v>
      </c>
    </row>
    <row r="16163" spans="1:5" x14ac:dyDescent="0.35">
      <c r="A16163" s="3">
        <v>46246</v>
      </c>
      <c r="B16163" s="5" t="s">
        <v>364</v>
      </c>
      <c r="C16163" s="5" t="s">
        <v>66</v>
      </c>
      <c r="D16163" s="5">
        <v>1</v>
      </c>
      <c r="E16163" s="5">
        <v>116305</v>
      </c>
    </row>
    <row r="16164" spans="1:5" x14ac:dyDescent="0.35">
      <c r="A16164" s="3">
        <v>46246</v>
      </c>
      <c r="B16164" s="5" t="s">
        <v>133</v>
      </c>
      <c r="C16164" s="5" t="s">
        <v>67</v>
      </c>
      <c r="D16164" s="5">
        <v>1</v>
      </c>
      <c r="E16164" s="5">
        <v>116305</v>
      </c>
    </row>
    <row r="16165" spans="1:5" x14ac:dyDescent="0.35">
      <c r="A16165" s="3">
        <v>46246</v>
      </c>
      <c r="B16165" s="5" t="s">
        <v>237</v>
      </c>
      <c r="C16165" s="5" t="s">
        <v>38</v>
      </c>
      <c r="D16165" s="5">
        <v>1</v>
      </c>
      <c r="E16165" s="5">
        <v>203578</v>
      </c>
    </row>
    <row r="16166" spans="1:5" x14ac:dyDescent="0.35">
      <c r="A16166" s="3">
        <v>46246</v>
      </c>
      <c r="B16166" s="5" t="s">
        <v>237</v>
      </c>
      <c r="C16166" s="5" t="s">
        <v>38</v>
      </c>
      <c r="D16166" s="5">
        <v>1</v>
      </c>
      <c r="E16166" s="5">
        <v>203578</v>
      </c>
    </row>
    <row r="16167" spans="1:5" x14ac:dyDescent="0.35">
      <c r="A16167" s="3">
        <v>46246</v>
      </c>
      <c r="B16167" s="5" t="s">
        <v>362</v>
      </c>
      <c r="C16167" s="5" t="s">
        <v>66</v>
      </c>
      <c r="D16167" s="5">
        <v>1</v>
      </c>
      <c r="E16167" s="5">
        <v>116305</v>
      </c>
    </row>
    <row r="16168" spans="1:5" x14ac:dyDescent="0.35">
      <c r="A16168" s="3">
        <v>46246</v>
      </c>
      <c r="B16168" s="5" t="s">
        <v>362</v>
      </c>
      <c r="C16168" s="5" t="s">
        <v>66</v>
      </c>
      <c r="D16168" s="5">
        <v>1</v>
      </c>
      <c r="E16168" s="5">
        <v>116305</v>
      </c>
    </row>
    <row r="16169" spans="1:5" x14ac:dyDescent="0.35">
      <c r="A16169" s="3">
        <v>46246</v>
      </c>
      <c r="B16169" s="5" t="s">
        <v>362</v>
      </c>
      <c r="C16169" s="5" t="s">
        <v>66</v>
      </c>
      <c r="D16169" s="5">
        <v>1</v>
      </c>
      <c r="E16169" s="5">
        <v>116305</v>
      </c>
    </row>
    <row r="16170" spans="1:5" x14ac:dyDescent="0.35">
      <c r="A16170" s="3">
        <v>46246</v>
      </c>
      <c r="B16170" s="5" t="s">
        <v>362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46246</v>
      </c>
      <c r="B16171" s="5" t="s">
        <v>244</v>
      </c>
      <c r="C16171" s="5" t="s">
        <v>25</v>
      </c>
      <c r="D16171" s="5">
        <v>1</v>
      </c>
      <c r="E16171" s="5">
        <v>460318</v>
      </c>
    </row>
    <row r="16172" spans="1:5" x14ac:dyDescent="0.35">
      <c r="A16172" s="3">
        <v>46246</v>
      </c>
      <c r="B16172" s="5" t="s">
        <v>354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46246</v>
      </c>
      <c r="B16173" s="5" t="s">
        <v>354</v>
      </c>
      <c r="C16173" s="5" t="s">
        <v>20</v>
      </c>
      <c r="D16173" s="5">
        <v>1</v>
      </c>
      <c r="E16173" s="5">
        <v>127942</v>
      </c>
    </row>
    <row r="16174" spans="1:5" x14ac:dyDescent="0.35">
      <c r="A16174" s="3">
        <v>46246</v>
      </c>
      <c r="B16174" s="5" t="s">
        <v>354</v>
      </c>
      <c r="C16174" s="5" t="s">
        <v>20</v>
      </c>
      <c r="D16174" s="5">
        <v>1</v>
      </c>
      <c r="E16174" s="5">
        <v>127942</v>
      </c>
    </row>
    <row r="16175" spans="1:5" x14ac:dyDescent="0.35">
      <c r="A16175" s="3">
        <v>46246</v>
      </c>
      <c r="B16175" s="5" t="s">
        <v>354</v>
      </c>
      <c r="C16175" s="5" t="s">
        <v>19</v>
      </c>
      <c r="D16175" s="5">
        <v>1</v>
      </c>
      <c r="E16175" s="5">
        <v>127942</v>
      </c>
    </row>
    <row r="16176" spans="1:5" x14ac:dyDescent="0.35">
      <c r="A16176" s="3">
        <v>46246</v>
      </c>
      <c r="B16176" s="5" t="s">
        <v>364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46246</v>
      </c>
      <c r="B16177" s="5" t="s">
        <v>354</v>
      </c>
      <c r="C16177" s="5" t="s">
        <v>19</v>
      </c>
      <c r="D16177" s="5">
        <v>1</v>
      </c>
      <c r="E16177" s="5">
        <v>127942</v>
      </c>
    </row>
    <row r="16178" spans="1:5" x14ac:dyDescent="0.35">
      <c r="A16178" s="3">
        <v>46246</v>
      </c>
      <c r="B16178" s="5" t="s">
        <v>354</v>
      </c>
      <c r="C16178" s="5" t="s">
        <v>20</v>
      </c>
      <c r="D16178" s="5">
        <v>1</v>
      </c>
      <c r="E16178" s="5">
        <v>127942</v>
      </c>
    </row>
    <row r="16179" spans="1:5" x14ac:dyDescent="0.35">
      <c r="A16179" s="3">
        <v>46246</v>
      </c>
      <c r="B16179" s="5" t="s">
        <v>354</v>
      </c>
      <c r="C16179" s="5" t="s">
        <v>20</v>
      </c>
      <c r="D16179" s="5">
        <v>1</v>
      </c>
      <c r="E16179" s="5">
        <v>127942</v>
      </c>
    </row>
    <row r="16180" spans="1:5" x14ac:dyDescent="0.35">
      <c r="A16180" s="3">
        <v>46246</v>
      </c>
      <c r="B16180" s="5" t="s">
        <v>354</v>
      </c>
      <c r="C16180" s="5" t="s">
        <v>18</v>
      </c>
      <c r="D16180" s="5">
        <v>1</v>
      </c>
      <c r="E16180" s="5">
        <v>127942</v>
      </c>
    </row>
    <row r="16181" spans="1:5" x14ac:dyDescent="0.35">
      <c r="A16181" s="3">
        <v>46246</v>
      </c>
      <c r="B16181" s="5" t="s">
        <v>354</v>
      </c>
      <c r="C16181" s="5" t="s">
        <v>18</v>
      </c>
      <c r="D16181" s="5">
        <v>1</v>
      </c>
      <c r="E16181" s="5">
        <v>127942</v>
      </c>
    </row>
    <row r="16182" spans="1:5" x14ac:dyDescent="0.35">
      <c r="A16182" s="3">
        <v>46246</v>
      </c>
      <c r="B16182" s="5" t="s">
        <v>364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46246</v>
      </c>
      <c r="B16183" s="5" t="s">
        <v>364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46246</v>
      </c>
      <c r="B16184" s="5" t="s">
        <v>354</v>
      </c>
      <c r="C16184" s="5" t="s">
        <v>18</v>
      </c>
      <c r="D16184" s="5">
        <v>1</v>
      </c>
      <c r="E16184" s="5">
        <v>127942</v>
      </c>
    </row>
    <row r="16185" spans="1:5" x14ac:dyDescent="0.35">
      <c r="A16185" s="3">
        <v>46246</v>
      </c>
      <c r="B16185" s="5" t="s">
        <v>354</v>
      </c>
      <c r="C16185" s="5" t="s">
        <v>18</v>
      </c>
      <c r="D16185" s="5">
        <v>1</v>
      </c>
      <c r="E16185" s="5">
        <v>127942</v>
      </c>
    </row>
    <row r="16186" spans="1:5" x14ac:dyDescent="0.35">
      <c r="A16186" s="3">
        <v>46246</v>
      </c>
      <c r="B16186" s="5" t="s">
        <v>354</v>
      </c>
      <c r="C16186" s="5" t="s">
        <v>18</v>
      </c>
      <c r="D16186" s="5">
        <v>1</v>
      </c>
      <c r="E16186" s="5">
        <v>127942</v>
      </c>
    </row>
    <row r="16187" spans="1:5" x14ac:dyDescent="0.35">
      <c r="A16187" s="3">
        <v>46246</v>
      </c>
      <c r="B16187" s="5" t="s">
        <v>364</v>
      </c>
      <c r="C16187" s="5" t="s">
        <v>66</v>
      </c>
      <c r="D16187" s="5">
        <v>1</v>
      </c>
      <c r="E16187" s="5">
        <v>116305</v>
      </c>
    </row>
    <row r="16188" spans="1:5" x14ac:dyDescent="0.35">
      <c r="A16188" s="3">
        <v>46246</v>
      </c>
      <c r="B16188" s="5" t="s">
        <v>364</v>
      </c>
      <c r="C16188" s="5" t="s">
        <v>66</v>
      </c>
      <c r="D16188" s="5">
        <v>1</v>
      </c>
      <c r="E16188" s="5">
        <v>116305</v>
      </c>
    </row>
    <row r="16189" spans="1:5" x14ac:dyDescent="0.35">
      <c r="A16189" s="3">
        <v>46246</v>
      </c>
      <c r="B16189" s="5" t="s">
        <v>362</v>
      </c>
      <c r="C16189" s="5" t="s">
        <v>66</v>
      </c>
      <c r="D16189" s="5">
        <v>1</v>
      </c>
      <c r="E16189" s="5">
        <v>116305</v>
      </c>
    </row>
    <row r="16190" spans="1:5" x14ac:dyDescent="0.35">
      <c r="A16190" s="3">
        <v>46246</v>
      </c>
      <c r="B16190" s="5" t="s">
        <v>362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46246</v>
      </c>
      <c r="B16191" s="5" t="s">
        <v>362</v>
      </c>
      <c r="C16191" s="5" t="s">
        <v>67</v>
      </c>
      <c r="D16191" s="5">
        <v>1</v>
      </c>
      <c r="E16191" s="5">
        <v>116305</v>
      </c>
    </row>
    <row r="16192" spans="1:5" x14ac:dyDescent="0.35">
      <c r="A16192" s="3">
        <v>46246</v>
      </c>
      <c r="B16192" s="5" t="s">
        <v>362</v>
      </c>
      <c r="C16192" s="5" t="s">
        <v>65</v>
      </c>
      <c r="D16192" s="5">
        <v>1</v>
      </c>
      <c r="E16192" s="5">
        <v>116305</v>
      </c>
    </row>
    <row r="16193" spans="1:5" x14ac:dyDescent="0.35">
      <c r="A16193" s="3">
        <v>46246</v>
      </c>
      <c r="B16193" s="5" t="s">
        <v>362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364</v>
      </c>
      <c r="C16194" s="5" t="s">
        <v>65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378</v>
      </c>
      <c r="C16195" s="5" t="s">
        <v>106</v>
      </c>
      <c r="D16195" s="5">
        <v>1</v>
      </c>
      <c r="E16195" s="5">
        <v>206759</v>
      </c>
    </row>
    <row r="16196" spans="1:5" x14ac:dyDescent="0.35">
      <c r="A16196" s="3">
        <v>46247</v>
      </c>
      <c r="B16196" s="5" t="s">
        <v>354</v>
      </c>
      <c r="C16196" s="5" t="s">
        <v>19</v>
      </c>
      <c r="D16196" s="5">
        <v>1</v>
      </c>
      <c r="E16196" s="5">
        <v>127942</v>
      </c>
    </row>
    <row r="16197" spans="1:5" x14ac:dyDescent="0.35">
      <c r="A16197" s="3">
        <v>46247</v>
      </c>
      <c r="B16197" s="5" t="s">
        <v>354</v>
      </c>
      <c r="C16197" s="5" t="s">
        <v>19</v>
      </c>
      <c r="D16197" s="5">
        <v>1</v>
      </c>
      <c r="E16197" s="5">
        <v>127942</v>
      </c>
    </row>
    <row r="16198" spans="1:5" x14ac:dyDescent="0.35">
      <c r="A16198" s="3">
        <v>46247</v>
      </c>
      <c r="B16198" s="5" t="s">
        <v>354</v>
      </c>
      <c r="C16198" s="5" t="s">
        <v>19</v>
      </c>
      <c r="D16198" s="5">
        <v>1</v>
      </c>
      <c r="E16198" s="5">
        <v>127942</v>
      </c>
    </row>
    <row r="16199" spans="1:5" x14ac:dyDescent="0.35">
      <c r="A16199" s="3">
        <v>46247</v>
      </c>
      <c r="B16199" s="5" t="s">
        <v>364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364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364</v>
      </c>
      <c r="C16201" s="5" t="s">
        <v>65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364</v>
      </c>
      <c r="C16202" s="5" t="s">
        <v>65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364</v>
      </c>
      <c r="C16203" s="5" t="s">
        <v>67</v>
      </c>
      <c r="D16203" s="5">
        <v>1</v>
      </c>
      <c r="E16203" s="5">
        <v>116305</v>
      </c>
    </row>
    <row r="16204" spans="1:5" x14ac:dyDescent="0.35">
      <c r="A16204" s="3">
        <v>46247</v>
      </c>
      <c r="B16204" s="5" t="s">
        <v>364</v>
      </c>
      <c r="C16204" s="5" t="s">
        <v>65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364</v>
      </c>
      <c r="C16205" s="5" t="s">
        <v>65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354</v>
      </c>
      <c r="C16206" s="5" t="s">
        <v>19</v>
      </c>
      <c r="D16206" s="5">
        <v>1</v>
      </c>
      <c r="E16206" s="5">
        <v>127942</v>
      </c>
    </row>
    <row r="16207" spans="1:5" x14ac:dyDescent="0.35">
      <c r="A16207" s="3">
        <v>46247</v>
      </c>
      <c r="B16207" s="5" t="s">
        <v>237</v>
      </c>
      <c r="C16207" s="5" t="s">
        <v>38</v>
      </c>
      <c r="D16207" s="5">
        <v>1</v>
      </c>
      <c r="E16207" s="5">
        <v>203578</v>
      </c>
    </row>
    <row r="16208" spans="1:5" x14ac:dyDescent="0.35">
      <c r="A16208" s="3">
        <v>46247</v>
      </c>
      <c r="B16208" s="5" t="s">
        <v>362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364</v>
      </c>
      <c r="C16209" s="5" t="s">
        <v>66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362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364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362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364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362</v>
      </c>
      <c r="C16214" s="5" t="s">
        <v>65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364</v>
      </c>
      <c r="C16215" s="5" t="s">
        <v>66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364</v>
      </c>
      <c r="C16216" s="5" t="s">
        <v>66</v>
      </c>
      <c r="D16216" s="5">
        <v>1</v>
      </c>
      <c r="E16216" s="5">
        <v>116305</v>
      </c>
    </row>
    <row r="16217" spans="1:5" x14ac:dyDescent="0.35">
      <c r="A16217" s="3">
        <v>46247</v>
      </c>
      <c r="B16217" s="5" t="s">
        <v>364</v>
      </c>
      <c r="C16217" s="5" t="s">
        <v>66</v>
      </c>
      <c r="D16217" s="5">
        <v>1</v>
      </c>
      <c r="E16217" s="5">
        <v>116305</v>
      </c>
    </row>
    <row r="16218" spans="1:5" x14ac:dyDescent="0.35">
      <c r="A16218" s="3">
        <v>46247</v>
      </c>
      <c r="B16218" s="5" t="s">
        <v>364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364</v>
      </c>
      <c r="C16219" s="5" t="s">
        <v>66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364</v>
      </c>
      <c r="C16220" s="5" t="s">
        <v>66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364</v>
      </c>
      <c r="C16221" s="5" t="s">
        <v>65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364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364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364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364</v>
      </c>
      <c r="C16225" s="5" t="s">
        <v>67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364</v>
      </c>
      <c r="C16226" s="5" t="s">
        <v>65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364</v>
      </c>
      <c r="C16227" s="5" t="s">
        <v>67</v>
      </c>
      <c r="D16227" s="5">
        <v>1</v>
      </c>
      <c r="E16227" s="5">
        <v>116305</v>
      </c>
    </row>
    <row r="16228" spans="1:5" x14ac:dyDescent="0.35">
      <c r="A16228" s="3">
        <v>46247</v>
      </c>
      <c r="B16228" s="5" t="s">
        <v>373</v>
      </c>
      <c r="C16228" s="5" t="s">
        <v>32</v>
      </c>
      <c r="D16228" s="5">
        <v>1</v>
      </c>
      <c r="E16228" s="5">
        <v>177214</v>
      </c>
    </row>
    <row r="16229" spans="1:5" x14ac:dyDescent="0.35">
      <c r="A16229" s="3">
        <v>46247</v>
      </c>
      <c r="B16229" s="5" t="s">
        <v>373</v>
      </c>
      <c r="C16229" s="5" t="s">
        <v>106</v>
      </c>
      <c r="D16229" s="5">
        <v>1</v>
      </c>
      <c r="E16229" s="5">
        <v>206759</v>
      </c>
    </row>
    <row r="16230" spans="1:5" x14ac:dyDescent="0.35">
      <c r="A16230" s="3">
        <v>46247</v>
      </c>
      <c r="B16230" s="5" t="s">
        <v>354</v>
      </c>
      <c r="C16230" s="5" t="s">
        <v>19</v>
      </c>
      <c r="D16230" s="5">
        <v>1</v>
      </c>
      <c r="E16230" s="5">
        <v>127942</v>
      </c>
    </row>
    <row r="16231" spans="1:5" x14ac:dyDescent="0.35">
      <c r="A16231" s="3">
        <v>46247</v>
      </c>
      <c r="B16231" s="5" t="s">
        <v>354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362</v>
      </c>
      <c r="C16232" s="5" t="s">
        <v>65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354</v>
      </c>
      <c r="C16233" s="5" t="s">
        <v>18</v>
      </c>
      <c r="D16233" s="5">
        <v>1</v>
      </c>
      <c r="E16233" s="5">
        <v>127942</v>
      </c>
    </row>
    <row r="16234" spans="1:5" x14ac:dyDescent="0.35">
      <c r="A16234" s="3">
        <v>46247</v>
      </c>
      <c r="B16234" s="5" t="s">
        <v>354</v>
      </c>
      <c r="C16234" s="5" t="s">
        <v>18</v>
      </c>
      <c r="D16234" s="5">
        <v>1</v>
      </c>
      <c r="E16234" s="5">
        <v>127942</v>
      </c>
    </row>
    <row r="16235" spans="1:5" x14ac:dyDescent="0.35">
      <c r="A16235" s="3">
        <v>46247</v>
      </c>
      <c r="B16235" s="5" t="s">
        <v>362</v>
      </c>
      <c r="C16235" s="5" t="s">
        <v>67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364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364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364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364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364</v>
      </c>
      <c r="C16240" s="5" t="s">
        <v>66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364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364</v>
      </c>
      <c r="C16242" s="5" t="s">
        <v>66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364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364</v>
      </c>
      <c r="C16244" s="5" t="s">
        <v>67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364</v>
      </c>
      <c r="C16245" s="5" t="s">
        <v>67</v>
      </c>
      <c r="D16245" s="5">
        <v>1</v>
      </c>
      <c r="E16245" s="5">
        <v>116305</v>
      </c>
    </row>
    <row r="16246" spans="1:5" x14ac:dyDescent="0.35">
      <c r="A16246" s="3">
        <v>46247</v>
      </c>
      <c r="B16246" s="5" t="s">
        <v>364</v>
      </c>
      <c r="C16246" s="5" t="s">
        <v>67</v>
      </c>
      <c r="D16246" s="5">
        <v>1</v>
      </c>
      <c r="E16246" s="5">
        <v>116305</v>
      </c>
    </row>
    <row r="16247" spans="1:5" x14ac:dyDescent="0.35">
      <c r="A16247" s="3">
        <v>46247</v>
      </c>
      <c r="B16247" s="5" t="s">
        <v>364</v>
      </c>
      <c r="C16247" s="5" t="s">
        <v>67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373</v>
      </c>
      <c r="C16248" s="5" t="s">
        <v>18</v>
      </c>
      <c r="D16248" s="5">
        <v>1</v>
      </c>
      <c r="E16248" s="5">
        <v>129941</v>
      </c>
    </row>
    <row r="16249" spans="1:5" x14ac:dyDescent="0.35">
      <c r="A16249" s="3">
        <v>46247</v>
      </c>
      <c r="B16249" s="5" t="s">
        <v>378</v>
      </c>
      <c r="C16249" s="5" t="s">
        <v>85</v>
      </c>
      <c r="D16249" s="5">
        <v>1</v>
      </c>
      <c r="E16249" s="5">
        <v>189032</v>
      </c>
    </row>
    <row r="16250" spans="1:5" x14ac:dyDescent="0.35">
      <c r="A16250" s="3">
        <v>46247</v>
      </c>
      <c r="B16250" s="5" t="s">
        <v>373</v>
      </c>
      <c r="C16250" s="5" t="s">
        <v>83</v>
      </c>
      <c r="D16250" s="5">
        <v>1</v>
      </c>
      <c r="E16250" s="5">
        <v>70850</v>
      </c>
    </row>
    <row r="16251" spans="1:5" x14ac:dyDescent="0.35">
      <c r="A16251" s="3">
        <v>46247</v>
      </c>
      <c r="B16251" s="5" t="s">
        <v>378</v>
      </c>
      <c r="C16251" s="5" t="s">
        <v>18</v>
      </c>
      <c r="D16251" s="5">
        <v>1</v>
      </c>
      <c r="E16251" s="5">
        <v>129941</v>
      </c>
    </row>
    <row r="16252" spans="1:5" x14ac:dyDescent="0.35">
      <c r="A16252" s="3">
        <v>46247</v>
      </c>
      <c r="B16252" s="5" t="s">
        <v>354</v>
      </c>
      <c r="C16252" s="5" t="s">
        <v>19</v>
      </c>
      <c r="D16252" s="5">
        <v>1</v>
      </c>
      <c r="E16252" s="5">
        <v>127942</v>
      </c>
    </row>
    <row r="16253" spans="1:5" x14ac:dyDescent="0.35">
      <c r="A16253" s="3">
        <v>46247</v>
      </c>
      <c r="B16253" s="5" t="s">
        <v>354</v>
      </c>
      <c r="C16253" s="5" t="s">
        <v>18</v>
      </c>
      <c r="D16253" s="5">
        <v>1</v>
      </c>
      <c r="E16253" s="5">
        <v>127942</v>
      </c>
    </row>
    <row r="16254" spans="1:5" x14ac:dyDescent="0.35">
      <c r="A16254" s="3">
        <v>46247</v>
      </c>
      <c r="B16254" s="5" t="s">
        <v>354</v>
      </c>
      <c r="C16254" s="5" t="s">
        <v>19</v>
      </c>
      <c r="D16254" s="5">
        <v>1</v>
      </c>
      <c r="E16254" s="5">
        <v>127942</v>
      </c>
    </row>
    <row r="16255" spans="1:5" x14ac:dyDescent="0.35">
      <c r="A16255" s="3">
        <v>46247</v>
      </c>
      <c r="B16255" s="5" t="s">
        <v>354</v>
      </c>
      <c r="C16255" s="5" t="s">
        <v>18</v>
      </c>
      <c r="D16255" s="5">
        <v>1</v>
      </c>
      <c r="E16255" s="5">
        <v>127942</v>
      </c>
    </row>
    <row r="16256" spans="1:5" x14ac:dyDescent="0.35">
      <c r="A16256" s="3">
        <v>46247</v>
      </c>
      <c r="B16256" s="5" t="s">
        <v>354</v>
      </c>
      <c r="C16256" s="5" t="s">
        <v>18</v>
      </c>
      <c r="D16256" s="5">
        <v>1</v>
      </c>
      <c r="E16256" s="5">
        <v>127942</v>
      </c>
    </row>
    <row r="16257" spans="1:5" x14ac:dyDescent="0.35">
      <c r="A16257" s="3">
        <v>46247</v>
      </c>
      <c r="B16257" s="5" t="s">
        <v>364</v>
      </c>
      <c r="C16257" s="5" t="s">
        <v>66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364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354</v>
      </c>
      <c r="C16259" s="5" t="s">
        <v>19</v>
      </c>
      <c r="D16259" s="5">
        <v>1</v>
      </c>
      <c r="E16259" s="5">
        <v>127942</v>
      </c>
    </row>
    <row r="16260" spans="1:5" x14ac:dyDescent="0.35">
      <c r="A16260" s="3">
        <v>46247</v>
      </c>
      <c r="B16260" s="5" t="s">
        <v>364</v>
      </c>
      <c r="C16260" s="5" t="s">
        <v>66</v>
      </c>
      <c r="D16260" s="5">
        <v>1</v>
      </c>
      <c r="E16260" s="5">
        <v>116305</v>
      </c>
    </row>
    <row r="16261" spans="1:5" x14ac:dyDescent="0.35">
      <c r="A16261" s="3">
        <v>46247</v>
      </c>
      <c r="B16261" s="5" t="s">
        <v>364</v>
      </c>
      <c r="C16261" s="5" t="s">
        <v>66</v>
      </c>
      <c r="D16261" s="5">
        <v>1</v>
      </c>
      <c r="E16261" s="5">
        <v>116305</v>
      </c>
    </row>
    <row r="16262" spans="1:5" x14ac:dyDescent="0.35">
      <c r="A16262" s="3">
        <v>46247</v>
      </c>
      <c r="B16262" s="5" t="s">
        <v>364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364</v>
      </c>
      <c r="C16263" s="5" t="s">
        <v>66</v>
      </c>
      <c r="D16263" s="5">
        <v>1</v>
      </c>
      <c r="E16263" s="5">
        <v>116305</v>
      </c>
    </row>
    <row r="16264" spans="1:5" x14ac:dyDescent="0.35">
      <c r="A16264" s="3">
        <v>46247</v>
      </c>
      <c r="B16264" s="5" t="s">
        <v>364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364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364</v>
      </c>
      <c r="C16266" s="5" t="s">
        <v>65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364</v>
      </c>
      <c r="C16267" s="5" t="s">
        <v>65</v>
      </c>
      <c r="D16267" s="5">
        <v>1</v>
      </c>
      <c r="E16267" s="5">
        <v>116305</v>
      </c>
    </row>
    <row r="16268" spans="1:5" x14ac:dyDescent="0.35">
      <c r="A16268" s="3">
        <v>46247</v>
      </c>
      <c r="B16268" s="5" t="s">
        <v>364</v>
      </c>
      <c r="C16268" s="5" t="s">
        <v>65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364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379</v>
      </c>
      <c r="C16270" s="5" t="s">
        <v>50</v>
      </c>
      <c r="D16270" s="5">
        <v>1</v>
      </c>
      <c r="E16270" s="5">
        <v>106305</v>
      </c>
    </row>
    <row r="16271" spans="1:5" x14ac:dyDescent="0.35">
      <c r="A16271" s="3">
        <v>46247</v>
      </c>
      <c r="B16271" s="5" t="s">
        <v>362</v>
      </c>
      <c r="C16271" s="5" t="s">
        <v>66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354</v>
      </c>
      <c r="C16272" s="5" t="s">
        <v>18</v>
      </c>
      <c r="D16272" s="5">
        <v>1</v>
      </c>
      <c r="E16272" s="5">
        <v>127942</v>
      </c>
    </row>
    <row r="16273" spans="1:5" x14ac:dyDescent="0.35">
      <c r="A16273" s="3">
        <v>46247</v>
      </c>
      <c r="B16273" s="5" t="s">
        <v>364</v>
      </c>
      <c r="C16273" s="5" t="s">
        <v>66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237</v>
      </c>
      <c r="C16274" s="5" t="s">
        <v>38</v>
      </c>
      <c r="D16274" s="5">
        <v>1</v>
      </c>
      <c r="E16274" s="5">
        <v>203578</v>
      </c>
    </row>
    <row r="16275" spans="1:5" x14ac:dyDescent="0.35">
      <c r="A16275" s="3">
        <v>46247</v>
      </c>
      <c r="B16275" s="5" t="s">
        <v>364</v>
      </c>
      <c r="C16275" s="5" t="s">
        <v>66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364</v>
      </c>
      <c r="C16276" s="5" t="s">
        <v>66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364</v>
      </c>
      <c r="C16277" s="5" t="s">
        <v>65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364</v>
      </c>
      <c r="C16278" s="5" t="s">
        <v>66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364</v>
      </c>
      <c r="C16279" s="5" t="s">
        <v>66</v>
      </c>
      <c r="D16279" s="5">
        <v>1</v>
      </c>
      <c r="E16279" s="5">
        <v>116305</v>
      </c>
    </row>
    <row r="16280" spans="1:5" x14ac:dyDescent="0.35">
      <c r="A16280" s="3">
        <v>46247</v>
      </c>
      <c r="B16280" s="5" t="s">
        <v>364</v>
      </c>
      <c r="C16280" s="5" t="s">
        <v>66</v>
      </c>
      <c r="D16280" s="5">
        <v>1</v>
      </c>
      <c r="E16280" s="5">
        <v>116305</v>
      </c>
    </row>
    <row r="16281" spans="1:5" x14ac:dyDescent="0.35">
      <c r="A16281" s="3">
        <v>46247</v>
      </c>
      <c r="B16281" s="5" t="s">
        <v>364</v>
      </c>
      <c r="C16281" s="5" t="s">
        <v>65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364</v>
      </c>
      <c r="C16282" s="5" t="s">
        <v>66</v>
      </c>
      <c r="D16282" s="5">
        <v>1</v>
      </c>
      <c r="E16282" s="5">
        <v>116305</v>
      </c>
    </row>
    <row r="16283" spans="1:5" x14ac:dyDescent="0.35">
      <c r="A16283" s="3">
        <v>46247</v>
      </c>
      <c r="B16283" s="5" t="s">
        <v>353</v>
      </c>
      <c r="C16283" s="5" t="s">
        <v>42</v>
      </c>
      <c r="D16283" s="5">
        <v>1</v>
      </c>
      <c r="E16283" s="5">
        <v>203578</v>
      </c>
    </row>
    <row r="16284" spans="1:5" x14ac:dyDescent="0.35">
      <c r="A16284" s="3">
        <v>46247</v>
      </c>
      <c r="B16284" s="5" t="s">
        <v>364</v>
      </c>
      <c r="C16284" s="5" t="s">
        <v>67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364</v>
      </c>
      <c r="C16285" s="5" t="s">
        <v>65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364</v>
      </c>
      <c r="C16286" s="5" t="s">
        <v>65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364</v>
      </c>
      <c r="C16287" s="5" t="s">
        <v>65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364</v>
      </c>
      <c r="C16288" s="5" t="s">
        <v>67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379</v>
      </c>
      <c r="C16289" s="5" t="s">
        <v>26</v>
      </c>
      <c r="D16289" s="5">
        <v>1</v>
      </c>
      <c r="E16289" s="5">
        <v>501682</v>
      </c>
    </row>
    <row r="16290" spans="1:5" x14ac:dyDescent="0.35">
      <c r="A16290" s="3">
        <v>46247</v>
      </c>
      <c r="B16290" s="5" t="s">
        <v>379</v>
      </c>
      <c r="C16290" s="5" t="s">
        <v>18</v>
      </c>
      <c r="D16290" s="5">
        <v>1</v>
      </c>
      <c r="E16290" s="5">
        <v>129941</v>
      </c>
    </row>
    <row r="16291" spans="1:5" x14ac:dyDescent="0.35">
      <c r="A16291" s="3">
        <v>46247</v>
      </c>
      <c r="B16291" s="5" t="s">
        <v>362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354</v>
      </c>
      <c r="C16292" s="5" t="s">
        <v>19</v>
      </c>
      <c r="D16292" s="5">
        <v>1</v>
      </c>
      <c r="E16292" s="5">
        <v>127942</v>
      </c>
    </row>
    <row r="16293" spans="1:5" x14ac:dyDescent="0.35">
      <c r="A16293" s="3">
        <v>46247</v>
      </c>
      <c r="B16293" s="5" t="s">
        <v>362</v>
      </c>
      <c r="C16293" s="5" t="s">
        <v>66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362</v>
      </c>
      <c r="C16294" s="5" t="s">
        <v>65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364</v>
      </c>
      <c r="C16295" s="5" t="s">
        <v>66</v>
      </c>
      <c r="D16295" s="5">
        <v>1</v>
      </c>
      <c r="E16295" s="5">
        <v>116305</v>
      </c>
    </row>
    <row r="16296" spans="1:5" x14ac:dyDescent="0.35">
      <c r="A16296" s="3">
        <v>46247</v>
      </c>
      <c r="B16296" s="5" t="s">
        <v>354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362</v>
      </c>
      <c r="C16297" s="5" t="s">
        <v>66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364</v>
      </c>
      <c r="C16298" s="5" t="s">
        <v>66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364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364</v>
      </c>
      <c r="C16300" s="5" t="s">
        <v>65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364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364</v>
      </c>
      <c r="C16302" s="5" t="s">
        <v>65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364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364</v>
      </c>
      <c r="C16304" s="5" t="s">
        <v>66</v>
      </c>
      <c r="D16304" s="5">
        <v>2</v>
      </c>
      <c r="E16304" s="5">
        <v>232611</v>
      </c>
    </row>
    <row r="16305" spans="1:5" x14ac:dyDescent="0.35">
      <c r="A16305" s="3">
        <v>46247</v>
      </c>
      <c r="B16305" s="5" t="s">
        <v>364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364</v>
      </c>
      <c r="C16306" s="5" t="s">
        <v>67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364</v>
      </c>
      <c r="C16307" s="5" t="s">
        <v>66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364</v>
      </c>
      <c r="C16308" s="5" t="s">
        <v>66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364</v>
      </c>
      <c r="C16309" s="5" t="s">
        <v>65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364</v>
      </c>
      <c r="C16310" s="5" t="s">
        <v>65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373</v>
      </c>
      <c r="C16311" s="5" t="s">
        <v>93</v>
      </c>
      <c r="D16311" s="5">
        <v>1</v>
      </c>
      <c r="E16311" s="5">
        <v>50168</v>
      </c>
    </row>
    <row r="16312" spans="1:5" x14ac:dyDescent="0.35">
      <c r="A16312" s="3">
        <v>46247</v>
      </c>
      <c r="B16312" s="5" t="s">
        <v>121</v>
      </c>
      <c r="C16312" s="5" t="s">
        <v>42</v>
      </c>
      <c r="D16312" s="5">
        <v>1</v>
      </c>
      <c r="E16312" s="5">
        <v>203578</v>
      </c>
    </row>
    <row r="16313" spans="1:5" x14ac:dyDescent="0.35">
      <c r="A16313" s="3">
        <v>46247</v>
      </c>
      <c r="B16313" s="5" t="s">
        <v>364</v>
      </c>
      <c r="C16313" s="5" t="s">
        <v>65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364</v>
      </c>
      <c r="C16314" s="5" t="s">
        <v>66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364</v>
      </c>
      <c r="C16315" s="5" t="s">
        <v>66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364</v>
      </c>
      <c r="C16316" s="5" t="s">
        <v>67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379</v>
      </c>
      <c r="C16317" s="5" t="s">
        <v>39</v>
      </c>
      <c r="D16317" s="5">
        <v>1</v>
      </c>
      <c r="E16317" s="5">
        <v>118123</v>
      </c>
    </row>
    <row r="16318" spans="1:5" x14ac:dyDescent="0.35">
      <c r="A16318" s="3">
        <v>46247</v>
      </c>
      <c r="B16318" s="5" t="s">
        <v>378</v>
      </c>
      <c r="C16318" s="5" t="s">
        <v>18</v>
      </c>
      <c r="D16318" s="5">
        <v>1</v>
      </c>
      <c r="E16318" s="5">
        <v>129941</v>
      </c>
    </row>
    <row r="16319" spans="1:5" x14ac:dyDescent="0.35">
      <c r="A16319" s="3">
        <v>46247</v>
      </c>
      <c r="B16319" s="5" t="s">
        <v>354</v>
      </c>
      <c r="C16319" s="5" t="s">
        <v>18</v>
      </c>
      <c r="D16319" s="5">
        <v>1</v>
      </c>
      <c r="E16319" s="5">
        <v>127942</v>
      </c>
    </row>
    <row r="16320" spans="1:5" x14ac:dyDescent="0.35">
      <c r="A16320" s="3">
        <v>46247</v>
      </c>
      <c r="B16320" s="5" t="s">
        <v>362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362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354</v>
      </c>
      <c r="C16322" s="5" t="s">
        <v>18</v>
      </c>
      <c r="D16322" s="5">
        <v>1</v>
      </c>
      <c r="E16322" s="5">
        <v>127942</v>
      </c>
    </row>
    <row r="16323" spans="1:5" x14ac:dyDescent="0.35">
      <c r="A16323" s="3">
        <v>46247</v>
      </c>
      <c r="B16323" s="5" t="s">
        <v>364</v>
      </c>
      <c r="C16323" s="5" t="s">
        <v>66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364</v>
      </c>
      <c r="C16324" s="5" t="s">
        <v>66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354</v>
      </c>
      <c r="C16325" s="5" t="s">
        <v>18</v>
      </c>
      <c r="D16325" s="5">
        <v>1</v>
      </c>
      <c r="E16325" s="5">
        <v>127942</v>
      </c>
    </row>
    <row r="16326" spans="1:5" x14ac:dyDescent="0.35">
      <c r="A16326" s="3">
        <v>46247</v>
      </c>
      <c r="B16326" s="5" t="s">
        <v>364</v>
      </c>
      <c r="C16326" s="5" t="s">
        <v>65</v>
      </c>
      <c r="D16326" s="5">
        <v>1</v>
      </c>
      <c r="E16326" s="5">
        <v>116305</v>
      </c>
    </row>
    <row r="16327" spans="1:5" x14ac:dyDescent="0.35">
      <c r="A16327" s="3">
        <v>46247</v>
      </c>
      <c r="B16327" s="5" t="s">
        <v>364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364</v>
      </c>
      <c r="C16328" s="5" t="s">
        <v>65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364</v>
      </c>
      <c r="C16329" s="5" t="s">
        <v>65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364</v>
      </c>
      <c r="C16330" s="5" t="s">
        <v>65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364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364</v>
      </c>
      <c r="C16332" s="5" t="s">
        <v>67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364</v>
      </c>
      <c r="C16333" s="5" t="s">
        <v>67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362</v>
      </c>
      <c r="C16334" s="5" t="s">
        <v>66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354</v>
      </c>
      <c r="C16335" s="5" t="s">
        <v>19</v>
      </c>
      <c r="D16335" s="5">
        <v>1</v>
      </c>
      <c r="E16335" s="5">
        <v>127942</v>
      </c>
    </row>
    <row r="16336" spans="1:5" x14ac:dyDescent="0.35">
      <c r="A16336" s="3">
        <v>46247</v>
      </c>
      <c r="B16336" s="5" t="s">
        <v>354</v>
      </c>
      <c r="C16336" s="5" t="s">
        <v>18</v>
      </c>
      <c r="D16336" s="5">
        <v>1</v>
      </c>
      <c r="E16336" s="5">
        <v>127942</v>
      </c>
    </row>
    <row r="16337" spans="1:5" x14ac:dyDescent="0.35">
      <c r="A16337" s="3">
        <v>46247</v>
      </c>
      <c r="B16337" s="5" t="s">
        <v>362</v>
      </c>
      <c r="C16337" s="5" t="s">
        <v>65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362</v>
      </c>
      <c r="C16338" s="5" t="s">
        <v>65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362</v>
      </c>
      <c r="C16339" s="5" t="s">
        <v>65</v>
      </c>
      <c r="D16339" s="5">
        <v>1</v>
      </c>
      <c r="E16339" s="5">
        <v>116305</v>
      </c>
    </row>
    <row r="16340" spans="1:5" x14ac:dyDescent="0.35">
      <c r="A16340" s="3">
        <v>46247</v>
      </c>
      <c r="B16340" s="5" t="s">
        <v>364</v>
      </c>
      <c r="C16340" s="5" t="s">
        <v>66</v>
      </c>
      <c r="D16340" s="5">
        <v>1</v>
      </c>
      <c r="E16340" s="5">
        <v>116305</v>
      </c>
    </row>
    <row r="16341" spans="1:5" x14ac:dyDescent="0.35">
      <c r="A16341" s="3">
        <v>46247</v>
      </c>
      <c r="B16341" s="5" t="s">
        <v>364</v>
      </c>
      <c r="C16341" s="5" t="s">
        <v>66</v>
      </c>
      <c r="D16341" s="5">
        <v>1</v>
      </c>
      <c r="E16341" s="5">
        <v>116305</v>
      </c>
    </row>
    <row r="16342" spans="1:5" x14ac:dyDescent="0.35">
      <c r="A16342" s="3">
        <v>46247</v>
      </c>
      <c r="B16342" s="5" t="s">
        <v>364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364</v>
      </c>
      <c r="C16343" s="5" t="s">
        <v>66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364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364</v>
      </c>
      <c r="C16345" s="5" t="s">
        <v>66</v>
      </c>
      <c r="D16345" s="5">
        <v>1</v>
      </c>
      <c r="E16345" s="5">
        <v>116305</v>
      </c>
    </row>
    <row r="16346" spans="1:5" x14ac:dyDescent="0.35">
      <c r="A16346" s="3">
        <v>46247</v>
      </c>
      <c r="B16346" s="5" t="s">
        <v>364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364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364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364</v>
      </c>
      <c r="C16349" s="5" t="s">
        <v>67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364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364</v>
      </c>
      <c r="C16351" s="5" t="s">
        <v>67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364</v>
      </c>
      <c r="C16352" s="5" t="s">
        <v>67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364</v>
      </c>
      <c r="C16353" s="5" t="s">
        <v>67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373</v>
      </c>
      <c r="C16354" s="5" t="s">
        <v>18</v>
      </c>
      <c r="D16354" s="5">
        <v>1</v>
      </c>
      <c r="E16354" s="5">
        <v>129941</v>
      </c>
    </row>
    <row r="16355" spans="1:5" x14ac:dyDescent="0.35">
      <c r="A16355" s="3">
        <v>46247</v>
      </c>
      <c r="B16355" s="5" t="s">
        <v>378</v>
      </c>
      <c r="C16355" s="5" t="s">
        <v>39</v>
      </c>
      <c r="D16355" s="5">
        <v>1</v>
      </c>
      <c r="E16355" s="5">
        <v>118123</v>
      </c>
    </row>
    <row r="16356" spans="1:5" x14ac:dyDescent="0.35">
      <c r="A16356" s="3">
        <v>46247</v>
      </c>
      <c r="B16356" s="5" t="s">
        <v>354</v>
      </c>
      <c r="C16356" s="5" t="s">
        <v>19</v>
      </c>
      <c r="D16356" s="5">
        <v>1</v>
      </c>
      <c r="E16356" s="5">
        <v>127942</v>
      </c>
    </row>
    <row r="16357" spans="1:5" x14ac:dyDescent="0.35">
      <c r="A16357" s="3">
        <v>46247</v>
      </c>
      <c r="B16357" s="5" t="s">
        <v>354</v>
      </c>
      <c r="C16357" s="5" t="s">
        <v>18</v>
      </c>
      <c r="D16357" s="5">
        <v>1</v>
      </c>
      <c r="E16357" s="5">
        <v>127942</v>
      </c>
    </row>
    <row r="16358" spans="1:5" x14ac:dyDescent="0.35">
      <c r="A16358" s="3">
        <v>46247</v>
      </c>
      <c r="B16358" s="5" t="s">
        <v>362</v>
      </c>
      <c r="C16358" s="5" t="s">
        <v>67</v>
      </c>
      <c r="D16358" s="5">
        <v>1</v>
      </c>
      <c r="E16358" s="5">
        <v>116305</v>
      </c>
    </row>
    <row r="16359" spans="1:5" x14ac:dyDescent="0.35">
      <c r="A16359" s="3">
        <v>46247</v>
      </c>
      <c r="B16359" s="5" t="s">
        <v>362</v>
      </c>
      <c r="C16359" s="5" t="s">
        <v>66</v>
      </c>
      <c r="D16359" s="5">
        <v>1</v>
      </c>
      <c r="E16359" s="5">
        <v>116305</v>
      </c>
    </row>
    <row r="16360" spans="1:5" x14ac:dyDescent="0.35">
      <c r="A16360" s="3">
        <v>46247</v>
      </c>
      <c r="B16360" s="5" t="s">
        <v>362</v>
      </c>
      <c r="C16360" s="5" t="s">
        <v>65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364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354</v>
      </c>
      <c r="C16362" s="5" t="s">
        <v>19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362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364</v>
      </c>
      <c r="C16364" s="5" t="s">
        <v>65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364</v>
      </c>
      <c r="C16365" s="5" t="s">
        <v>66</v>
      </c>
      <c r="D16365" s="5">
        <v>1</v>
      </c>
      <c r="E16365" s="5">
        <v>116305</v>
      </c>
    </row>
    <row r="16366" spans="1:5" x14ac:dyDescent="0.35">
      <c r="A16366" s="3">
        <v>46247</v>
      </c>
      <c r="B16366" s="5" t="s">
        <v>364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364</v>
      </c>
      <c r="C16367" s="5" t="s">
        <v>66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364</v>
      </c>
      <c r="C16368" s="5" t="s">
        <v>65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364</v>
      </c>
      <c r="C16369" s="5" t="s">
        <v>65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364</v>
      </c>
      <c r="C16370" s="5" t="s">
        <v>66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364</v>
      </c>
      <c r="C16371" s="5" t="s">
        <v>67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364</v>
      </c>
      <c r="C16372" s="5" t="s">
        <v>67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364</v>
      </c>
      <c r="C16373" s="5" t="s">
        <v>67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378</v>
      </c>
      <c r="C16374" s="5" t="s">
        <v>18</v>
      </c>
      <c r="D16374" s="5">
        <v>1</v>
      </c>
      <c r="E16374" s="5">
        <v>129941</v>
      </c>
    </row>
    <row r="16375" spans="1:5" x14ac:dyDescent="0.35">
      <c r="A16375" s="3">
        <v>46247</v>
      </c>
      <c r="B16375" s="5" t="s">
        <v>237</v>
      </c>
      <c r="C16375" s="5" t="s">
        <v>38</v>
      </c>
      <c r="D16375" s="5">
        <v>1</v>
      </c>
      <c r="E16375" s="5">
        <v>203578</v>
      </c>
    </row>
    <row r="16376" spans="1:5" x14ac:dyDescent="0.35">
      <c r="A16376" s="3">
        <v>46247</v>
      </c>
      <c r="B16376" s="5" t="s">
        <v>364</v>
      </c>
      <c r="C16376" s="5" t="s">
        <v>66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354</v>
      </c>
      <c r="C16377" s="5" t="s">
        <v>19</v>
      </c>
      <c r="D16377" s="5">
        <v>1</v>
      </c>
      <c r="E16377" s="5">
        <v>127942</v>
      </c>
    </row>
    <row r="16378" spans="1:5" x14ac:dyDescent="0.35">
      <c r="A16378" s="3">
        <v>46247</v>
      </c>
      <c r="B16378" s="5" t="s">
        <v>354</v>
      </c>
      <c r="C16378" s="5" t="s">
        <v>19</v>
      </c>
      <c r="D16378" s="5">
        <v>1</v>
      </c>
      <c r="E16378" s="5">
        <v>127942</v>
      </c>
    </row>
    <row r="16379" spans="1:5" x14ac:dyDescent="0.35">
      <c r="A16379" s="3">
        <v>46247</v>
      </c>
      <c r="B16379" s="5" t="s">
        <v>364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364</v>
      </c>
      <c r="C16380" s="5" t="s">
        <v>66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364</v>
      </c>
      <c r="C16381" s="5" t="s">
        <v>66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364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364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364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364</v>
      </c>
      <c r="C16385" s="5" t="s">
        <v>66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364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364</v>
      </c>
      <c r="C16387" s="5" t="s">
        <v>66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364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364</v>
      </c>
      <c r="C16389" s="5" t="s">
        <v>66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364</v>
      </c>
      <c r="C16390" s="5" t="s">
        <v>67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364</v>
      </c>
      <c r="C16391" s="5" t="s">
        <v>67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364</v>
      </c>
      <c r="C16392" s="5" t="s">
        <v>66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373</v>
      </c>
      <c r="C16393" s="5" t="s">
        <v>18</v>
      </c>
      <c r="D16393" s="5">
        <v>1</v>
      </c>
      <c r="E16393" s="5">
        <v>129941</v>
      </c>
    </row>
    <row r="16394" spans="1:5" x14ac:dyDescent="0.35">
      <c r="A16394" s="3">
        <v>46247</v>
      </c>
      <c r="B16394" s="5" t="s">
        <v>378</v>
      </c>
      <c r="C16394" s="5" t="s">
        <v>26</v>
      </c>
      <c r="D16394" s="5">
        <v>1</v>
      </c>
      <c r="E16394" s="5">
        <v>501682</v>
      </c>
    </row>
    <row r="16395" spans="1:5" x14ac:dyDescent="0.35">
      <c r="A16395" s="3">
        <v>46247</v>
      </c>
      <c r="B16395" s="5" t="s">
        <v>237</v>
      </c>
      <c r="C16395" s="5" t="s">
        <v>38</v>
      </c>
      <c r="D16395" s="5">
        <v>1</v>
      </c>
      <c r="E16395" s="5">
        <v>203578</v>
      </c>
    </row>
    <row r="16396" spans="1:5" x14ac:dyDescent="0.35">
      <c r="A16396" s="3">
        <v>46247</v>
      </c>
      <c r="B16396" s="5" t="s">
        <v>354</v>
      </c>
      <c r="C16396" s="5" t="s">
        <v>18</v>
      </c>
      <c r="D16396" s="5">
        <v>1</v>
      </c>
      <c r="E16396" s="5">
        <v>127942</v>
      </c>
    </row>
    <row r="16397" spans="1:5" x14ac:dyDescent="0.35">
      <c r="A16397" s="3">
        <v>46247</v>
      </c>
      <c r="B16397" s="5" t="s">
        <v>364</v>
      </c>
      <c r="C16397" s="5" t="s">
        <v>66</v>
      </c>
      <c r="D16397" s="5">
        <v>2</v>
      </c>
      <c r="E16397" s="5">
        <v>232611</v>
      </c>
    </row>
    <row r="16398" spans="1:5" x14ac:dyDescent="0.35">
      <c r="A16398" s="3">
        <v>46247</v>
      </c>
      <c r="B16398" s="5" t="s">
        <v>364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354</v>
      </c>
      <c r="C16399" s="5" t="s">
        <v>19</v>
      </c>
      <c r="D16399" s="5">
        <v>1</v>
      </c>
      <c r="E16399" s="5">
        <v>127942</v>
      </c>
    </row>
    <row r="16400" spans="1:5" x14ac:dyDescent="0.35">
      <c r="A16400" s="3">
        <v>46247</v>
      </c>
      <c r="B16400" s="5" t="s">
        <v>354</v>
      </c>
      <c r="C16400" s="5" t="s">
        <v>18</v>
      </c>
      <c r="D16400" s="5">
        <v>1</v>
      </c>
      <c r="E16400" s="5">
        <v>127942</v>
      </c>
    </row>
    <row r="16401" spans="1:5" x14ac:dyDescent="0.35">
      <c r="A16401" s="3">
        <v>46247</v>
      </c>
      <c r="B16401" s="5" t="s">
        <v>364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364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354</v>
      </c>
      <c r="C16403" s="5" t="s">
        <v>19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364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364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364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364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364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364</v>
      </c>
      <c r="C16409" s="5" t="s">
        <v>66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364</v>
      </c>
      <c r="C16410" s="5" t="s">
        <v>66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378</v>
      </c>
      <c r="C16411" s="5" t="s">
        <v>39</v>
      </c>
      <c r="D16411" s="5">
        <v>1</v>
      </c>
      <c r="E16411" s="5">
        <v>118123</v>
      </c>
    </row>
    <row r="16412" spans="1:5" x14ac:dyDescent="0.35">
      <c r="A16412" s="3">
        <v>46247</v>
      </c>
      <c r="B16412" s="5" t="s">
        <v>379</v>
      </c>
      <c r="C16412" s="5" t="s">
        <v>18</v>
      </c>
      <c r="D16412" s="5">
        <v>1</v>
      </c>
      <c r="E16412" s="5">
        <v>129941</v>
      </c>
    </row>
    <row r="16413" spans="1:5" x14ac:dyDescent="0.35">
      <c r="A16413" s="3">
        <v>46247</v>
      </c>
      <c r="B16413" s="5" t="s">
        <v>354</v>
      </c>
      <c r="C16413" s="5" t="s">
        <v>19</v>
      </c>
      <c r="D16413" s="5">
        <v>1</v>
      </c>
      <c r="E16413" s="5">
        <v>127942</v>
      </c>
    </row>
    <row r="16414" spans="1:5" x14ac:dyDescent="0.35">
      <c r="A16414" s="3">
        <v>46247</v>
      </c>
      <c r="B16414" s="5" t="s">
        <v>364</v>
      </c>
      <c r="C16414" s="5" t="s">
        <v>66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364</v>
      </c>
      <c r="C16415" s="5" t="s">
        <v>66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364</v>
      </c>
      <c r="C16416" s="5" t="s">
        <v>66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354</v>
      </c>
      <c r="C16417" s="5" t="s">
        <v>18</v>
      </c>
      <c r="D16417" s="5">
        <v>1</v>
      </c>
      <c r="E16417" s="5">
        <v>127942</v>
      </c>
    </row>
    <row r="16418" spans="1:5" x14ac:dyDescent="0.35">
      <c r="A16418" s="3">
        <v>46247</v>
      </c>
      <c r="B16418" s="5" t="s">
        <v>364</v>
      </c>
      <c r="C16418" s="5" t="s">
        <v>66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364</v>
      </c>
      <c r="C16419" s="5" t="s">
        <v>65</v>
      </c>
      <c r="D16419" s="5">
        <v>1</v>
      </c>
      <c r="E16419" s="5">
        <v>116305</v>
      </c>
    </row>
    <row r="16420" spans="1:5" x14ac:dyDescent="0.35">
      <c r="A16420" s="3">
        <v>46247</v>
      </c>
      <c r="B16420" s="5" t="s">
        <v>364</v>
      </c>
      <c r="C16420" s="5" t="s">
        <v>66</v>
      </c>
      <c r="D16420" s="5">
        <v>1</v>
      </c>
      <c r="E16420" s="5">
        <v>116305</v>
      </c>
    </row>
    <row r="16421" spans="1:5" x14ac:dyDescent="0.35">
      <c r="A16421" s="3">
        <v>46247</v>
      </c>
      <c r="B16421" s="5" t="s">
        <v>364</v>
      </c>
      <c r="C16421" s="5" t="s">
        <v>66</v>
      </c>
      <c r="D16421" s="5">
        <v>1</v>
      </c>
      <c r="E16421" s="5">
        <v>116305</v>
      </c>
    </row>
    <row r="16422" spans="1:5" x14ac:dyDescent="0.35">
      <c r="A16422" s="3">
        <v>46247</v>
      </c>
      <c r="B16422" s="5" t="s">
        <v>364</v>
      </c>
      <c r="C16422" s="5" t="s">
        <v>65</v>
      </c>
      <c r="D16422" s="5">
        <v>1</v>
      </c>
      <c r="E16422" s="5">
        <v>116305</v>
      </c>
    </row>
    <row r="16423" spans="1:5" x14ac:dyDescent="0.35">
      <c r="A16423" s="3">
        <v>46247</v>
      </c>
      <c r="B16423" s="5" t="s">
        <v>364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364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364</v>
      </c>
      <c r="C16425" s="5" t="s">
        <v>65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354</v>
      </c>
      <c r="C16426" s="5" t="s">
        <v>20</v>
      </c>
      <c r="D16426" s="5">
        <v>1</v>
      </c>
      <c r="E16426" s="5">
        <v>127942</v>
      </c>
    </row>
    <row r="16427" spans="1:5" x14ac:dyDescent="0.35">
      <c r="A16427" s="3">
        <v>46247</v>
      </c>
      <c r="B16427" s="5" t="s">
        <v>237</v>
      </c>
      <c r="C16427" s="5" t="s">
        <v>38</v>
      </c>
      <c r="D16427" s="5">
        <v>1</v>
      </c>
      <c r="E16427" s="5">
        <v>203578</v>
      </c>
    </row>
    <row r="16428" spans="1:5" x14ac:dyDescent="0.35">
      <c r="A16428" s="3">
        <v>46247</v>
      </c>
      <c r="B16428" s="5" t="s">
        <v>364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362</v>
      </c>
      <c r="C16429" s="5" t="s">
        <v>65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362</v>
      </c>
      <c r="C16430" s="5" t="s">
        <v>65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364</v>
      </c>
      <c r="C16431" s="5" t="s">
        <v>66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364</v>
      </c>
      <c r="C16432" s="5" t="s">
        <v>66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364</v>
      </c>
      <c r="C16433" s="5" t="s">
        <v>66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364</v>
      </c>
      <c r="C16434" s="5" t="s">
        <v>66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364</v>
      </c>
      <c r="C16435" s="5" t="s">
        <v>65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364</v>
      </c>
      <c r="C16436" s="5" t="s">
        <v>67</v>
      </c>
      <c r="D16436" s="5">
        <v>1</v>
      </c>
      <c r="E16436" s="5">
        <v>116305</v>
      </c>
    </row>
    <row r="16437" spans="1:5" x14ac:dyDescent="0.35">
      <c r="A16437" s="3">
        <v>46247</v>
      </c>
      <c r="B16437" s="5" t="s">
        <v>373</v>
      </c>
      <c r="C16437" s="5" t="s">
        <v>93</v>
      </c>
      <c r="D16437" s="5">
        <v>1</v>
      </c>
      <c r="E16437" s="5">
        <v>50168</v>
      </c>
    </row>
    <row r="16438" spans="1:5" x14ac:dyDescent="0.35">
      <c r="A16438" s="3">
        <v>46247</v>
      </c>
      <c r="B16438" s="5" t="s">
        <v>373</v>
      </c>
      <c r="C16438" s="5" t="s">
        <v>18</v>
      </c>
      <c r="D16438" s="5">
        <v>1</v>
      </c>
      <c r="E16438" s="5">
        <v>129941</v>
      </c>
    </row>
    <row r="16439" spans="1:5" x14ac:dyDescent="0.35">
      <c r="A16439" s="3">
        <v>46247</v>
      </c>
      <c r="B16439" s="5" t="s">
        <v>354</v>
      </c>
      <c r="C16439" s="5" t="s">
        <v>19</v>
      </c>
      <c r="D16439" s="5">
        <v>1</v>
      </c>
      <c r="E16439" s="5">
        <v>127942</v>
      </c>
    </row>
    <row r="16440" spans="1:5" x14ac:dyDescent="0.35">
      <c r="A16440" s="3">
        <v>46247</v>
      </c>
      <c r="B16440" s="5" t="s">
        <v>354</v>
      </c>
      <c r="C16440" s="5" t="s">
        <v>19</v>
      </c>
      <c r="D16440" s="5">
        <v>1</v>
      </c>
      <c r="E16440" s="5">
        <v>127942</v>
      </c>
    </row>
    <row r="16441" spans="1:5" x14ac:dyDescent="0.35">
      <c r="A16441" s="3">
        <v>46247</v>
      </c>
      <c r="B16441" s="5" t="s">
        <v>354</v>
      </c>
      <c r="C16441" s="5" t="s">
        <v>18</v>
      </c>
      <c r="D16441" s="5">
        <v>1</v>
      </c>
      <c r="E16441" s="5">
        <v>127942</v>
      </c>
    </row>
    <row r="16442" spans="1:5" x14ac:dyDescent="0.35">
      <c r="A16442" s="3">
        <v>46247</v>
      </c>
      <c r="B16442" s="5" t="s">
        <v>364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354</v>
      </c>
      <c r="C16443" s="5" t="s">
        <v>18</v>
      </c>
      <c r="D16443" s="5">
        <v>1</v>
      </c>
      <c r="E16443" s="5">
        <v>127942</v>
      </c>
    </row>
    <row r="16444" spans="1:5" x14ac:dyDescent="0.35">
      <c r="A16444" s="3">
        <v>46247</v>
      </c>
      <c r="B16444" s="5" t="s">
        <v>362</v>
      </c>
      <c r="C16444" s="5" t="s">
        <v>66</v>
      </c>
      <c r="D16444" s="5">
        <v>1</v>
      </c>
      <c r="E16444" s="5">
        <v>116305</v>
      </c>
    </row>
    <row r="16445" spans="1:5" x14ac:dyDescent="0.35">
      <c r="A16445" s="3">
        <v>46247</v>
      </c>
      <c r="B16445" s="5" t="s">
        <v>364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364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364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362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364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364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364</v>
      </c>
      <c r="C16451" s="5" t="s">
        <v>66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364</v>
      </c>
      <c r="C16452" s="5" t="s">
        <v>65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364</v>
      </c>
      <c r="C16453" s="5" t="s">
        <v>65</v>
      </c>
      <c r="D16453" s="5">
        <v>1</v>
      </c>
      <c r="E16453" s="5">
        <v>116305</v>
      </c>
    </row>
    <row r="16454" spans="1:5" x14ac:dyDescent="0.35">
      <c r="A16454" s="3">
        <v>46247</v>
      </c>
      <c r="B16454" s="5" t="s">
        <v>364</v>
      </c>
      <c r="C16454" s="5" t="s">
        <v>65</v>
      </c>
      <c r="D16454" s="5">
        <v>1</v>
      </c>
      <c r="E16454" s="5">
        <v>116305</v>
      </c>
    </row>
    <row r="16455" spans="1:5" x14ac:dyDescent="0.35">
      <c r="A16455" s="3">
        <v>46247</v>
      </c>
      <c r="B16455" s="5" t="s">
        <v>364</v>
      </c>
      <c r="C16455" s="5" t="s">
        <v>67</v>
      </c>
      <c r="D16455" s="5">
        <v>1</v>
      </c>
      <c r="E16455" s="5">
        <v>116305</v>
      </c>
    </row>
    <row r="16456" spans="1:5" x14ac:dyDescent="0.35">
      <c r="A16456" s="3">
        <v>46247</v>
      </c>
      <c r="B16456" s="5" t="s">
        <v>364</v>
      </c>
      <c r="C16456" s="5" t="s">
        <v>65</v>
      </c>
      <c r="D16456" s="5">
        <v>1</v>
      </c>
      <c r="E16456" s="5">
        <v>116305</v>
      </c>
    </row>
    <row r="16457" spans="1:5" x14ac:dyDescent="0.35">
      <c r="A16457" s="3">
        <v>46247</v>
      </c>
      <c r="B16457" s="5" t="s">
        <v>378</v>
      </c>
      <c r="C16457" s="5" t="s">
        <v>62</v>
      </c>
      <c r="D16457" s="5">
        <v>1</v>
      </c>
      <c r="E16457" s="5">
        <v>177214</v>
      </c>
    </row>
    <row r="16458" spans="1:5" x14ac:dyDescent="0.35">
      <c r="A16458" s="3">
        <v>46247</v>
      </c>
      <c r="B16458" s="5" t="s">
        <v>237</v>
      </c>
      <c r="C16458" s="5" t="s">
        <v>38</v>
      </c>
      <c r="D16458" s="5">
        <v>1</v>
      </c>
      <c r="E16458" s="5">
        <v>203578</v>
      </c>
    </row>
    <row r="16459" spans="1:5" x14ac:dyDescent="0.35">
      <c r="A16459" s="3">
        <v>46247</v>
      </c>
      <c r="B16459" s="5" t="s">
        <v>354</v>
      </c>
      <c r="C16459" s="5" t="s">
        <v>19</v>
      </c>
      <c r="D16459" s="5">
        <v>1</v>
      </c>
      <c r="E16459" s="5">
        <v>127942</v>
      </c>
    </row>
    <row r="16460" spans="1:5" x14ac:dyDescent="0.35">
      <c r="A16460" s="3">
        <v>46247</v>
      </c>
      <c r="B16460" s="5" t="s">
        <v>362</v>
      </c>
      <c r="C16460" s="5" t="s">
        <v>65</v>
      </c>
      <c r="D16460" s="5">
        <v>1</v>
      </c>
      <c r="E16460" s="5">
        <v>116305</v>
      </c>
    </row>
    <row r="16461" spans="1:5" x14ac:dyDescent="0.35">
      <c r="A16461" s="3">
        <v>46247</v>
      </c>
      <c r="B16461" s="5" t="s">
        <v>364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46247</v>
      </c>
      <c r="B16462" s="5" t="s">
        <v>362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46247</v>
      </c>
      <c r="B16463" s="5" t="s">
        <v>364</v>
      </c>
      <c r="C16463" s="5" t="s">
        <v>66</v>
      </c>
      <c r="D16463" s="5">
        <v>1</v>
      </c>
      <c r="E16463" s="5">
        <v>116305</v>
      </c>
    </row>
    <row r="16464" spans="1:5" x14ac:dyDescent="0.35">
      <c r="A16464" s="3">
        <v>46247</v>
      </c>
      <c r="B16464" s="5" t="s">
        <v>364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46247</v>
      </c>
      <c r="B16465" s="5" t="s">
        <v>364</v>
      </c>
      <c r="C16465" s="5" t="s">
        <v>66</v>
      </c>
      <c r="D16465" s="5">
        <v>1</v>
      </c>
      <c r="E16465" s="5">
        <v>116305</v>
      </c>
    </row>
    <row r="16466" spans="1:5" x14ac:dyDescent="0.35">
      <c r="A16466" s="3">
        <v>46247</v>
      </c>
      <c r="B16466" s="5" t="s">
        <v>364</v>
      </c>
      <c r="C16466" s="5" t="s">
        <v>66</v>
      </c>
      <c r="D16466" s="5">
        <v>1</v>
      </c>
      <c r="E16466" s="5">
        <v>116305</v>
      </c>
    </row>
    <row r="16467" spans="1:5" x14ac:dyDescent="0.35">
      <c r="A16467" s="3">
        <v>46247</v>
      </c>
      <c r="B16467" s="5" t="s">
        <v>364</v>
      </c>
      <c r="C16467" s="5" t="s">
        <v>66</v>
      </c>
      <c r="D16467" s="5">
        <v>1</v>
      </c>
      <c r="E16467" s="5">
        <v>116305</v>
      </c>
    </row>
    <row r="16468" spans="1:5" x14ac:dyDescent="0.35">
      <c r="A16468" s="3">
        <v>46247</v>
      </c>
      <c r="B16468" s="5" t="s">
        <v>364</v>
      </c>
      <c r="C16468" s="5" t="s">
        <v>66</v>
      </c>
      <c r="D16468" s="5">
        <v>1</v>
      </c>
      <c r="E16468" s="5">
        <v>116305</v>
      </c>
    </row>
    <row r="16469" spans="1:5" x14ac:dyDescent="0.35">
      <c r="A16469" s="3">
        <v>46247</v>
      </c>
      <c r="B16469" s="5" t="s">
        <v>364</v>
      </c>
      <c r="C16469" s="5" t="s">
        <v>66</v>
      </c>
      <c r="D16469" s="5">
        <v>1</v>
      </c>
      <c r="E16469" s="5">
        <v>116305</v>
      </c>
    </row>
    <row r="16470" spans="1:5" x14ac:dyDescent="0.35">
      <c r="A16470" s="3">
        <v>46247</v>
      </c>
      <c r="B16470" s="5" t="s">
        <v>364</v>
      </c>
      <c r="C16470" s="5" t="s">
        <v>67</v>
      </c>
      <c r="D16470" s="5">
        <v>1</v>
      </c>
      <c r="E16470" s="5">
        <v>116305</v>
      </c>
    </row>
    <row r="16471" spans="1:5" x14ac:dyDescent="0.35">
      <c r="A16471" s="3">
        <v>46247</v>
      </c>
      <c r="B16471" s="5" t="s">
        <v>380</v>
      </c>
      <c r="C16471" s="5" t="s">
        <v>66</v>
      </c>
      <c r="D16471" s="5">
        <v>1</v>
      </c>
      <c r="E16471" s="5">
        <v>116305</v>
      </c>
    </row>
    <row r="16472" spans="1:5" x14ac:dyDescent="0.35">
      <c r="A16472" s="3">
        <v>46247</v>
      </c>
      <c r="B16472" s="5" t="s">
        <v>364</v>
      </c>
      <c r="C16472" s="5" t="s">
        <v>66</v>
      </c>
      <c r="D16472" s="5">
        <v>1</v>
      </c>
      <c r="E16472" s="5">
        <v>116305</v>
      </c>
    </row>
    <row r="16473" spans="1:5" x14ac:dyDescent="0.35">
      <c r="A16473" s="3">
        <v>46247</v>
      </c>
      <c r="B16473" s="5" t="s">
        <v>364</v>
      </c>
      <c r="C16473" s="5" t="s">
        <v>67</v>
      </c>
      <c r="D16473" s="5">
        <v>1</v>
      </c>
      <c r="E16473" s="5">
        <v>116305</v>
      </c>
    </row>
    <row r="16474" spans="1:5" x14ac:dyDescent="0.35">
      <c r="A16474" s="3">
        <v>46247</v>
      </c>
      <c r="B16474" s="5" t="s">
        <v>373</v>
      </c>
      <c r="C16474" s="5" t="s">
        <v>18</v>
      </c>
      <c r="D16474" s="5">
        <v>1</v>
      </c>
      <c r="E16474" s="5">
        <v>129941</v>
      </c>
    </row>
    <row r="16475" spans="1:5" x14ac:dyDescent="0.35">
      <c r="A16475" s="3">
        <v>46247</v>
      </c>
      <c r="B16475" s="5" t="s">
        <v>378</v>
      </c>
      <c r="C16475" s="5" t="s">
        <v>36</v>
      </c>
      <c r="D16475" s="5">
        <v>1</v>
      </c>
      <c r="E16475" s="5">
        <v>236305</v>
      </c>
    </row>
    <row r="16476" spans="1:5" x14ac:dyDescent="0.35">
      <c r="A16476" s="3">
        <v>46247</v>
      </c>
      <c r="B16476" s="5" t="s">
        <v>378</v>
      </c>
      <c r="C16476" s="5" t="s">
        <v>62</v>
      </c>
      <c r="D16476" s="5">
        <v>1</v>
      </c>
      <c r="E16476" s="5">
        <v>177214</v>
      </c>
    </row>
    <row r="16477" spans="1:5" x14ac:dyDescent="0.35">
      <c r="A16477" s="3">
        <v>46247</v>
      </c>
      <c r="B16477" s="5" t="s">
        <v>354</v>
      </c>
      <c r="C16477" s="5" t="s">
        <v>18</v>
      </c>
      <c r="D16477" s="5">
        <v>1</v>
      </c>
      <c r="E16477" s="5">
        <v>127942</v>
      </c>
    </row>
    <row r="16478" spans="1:5" x14ac:dyDescent="0.35">
      <c r="A16478" s="3">
        <v>46247</v>
      </c>
      <c r="B16478" s="5" t="s">
        <v>354</v>
      </c>
      <c r="C16478" s="5" t="s">
        <v>18</v>
      </c>
      <c r="D16478" s="5">
        <v>1</v>
      </c>
      <c r="E16478" s="5">
        <v>127942</v>
      </c>
    </row>
    <row r="16479" spans="1:5" x14ac:dyDescent="0.35">
      <c r="A16479" s="3">
        <v>46247</v>
      </c>
      <c r="B16479" s="5" t="s">
        <v>364</v>
      </c>
      <c r="C16479" s="5" t="s">
        <v>66</v>
      </c>
      <c r="D16479" s="5">
        <v>1</v>
      </c>
      <c r="E16479" s="5">
        <v>116305</v>
      </c>
    </row>
    <row r="16480" spans="1:5" x14ac:dyDescent="0.35">
      <c r="A16480" s="3">
        <v>46247</v>
      </c>
      <c r="B16480" s="5" t="s">
        <v>354</v>
      </c>
      <c r="C16480" s="5" t="s">
        <v>19</v>
      </c>
      <c r="D16480" s="5">
        <v>1</v>
      </c>
      <c r="E16480" s="5">
        <v>127942</v>
      </c>
    </row>
    <row r="16481" spans="1:5" x14ac:dyDescent="0.35">
      <c r="A16481" s="3">
        <v>46247</v>
      </c>
      <c r="B16481" s="5" t="s">
        <v>364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46247</v>
      </c>
      <c r="B16482" s="5" t="s">
        <v>362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46247</v>
      </c>
      <c r="B16483" s="5" t="s">
        <v>362</v>
      </c>
      <c r="C16483" s="5" t="s">
        <v>67</v>
      </c>
      <c r="D16483" s="5">
        <v>1</v>
      </c>
      <c r="E16483" s="5">
        <v>116305</v>
      </c>
    </row>
    <row r="16484" spans="1:5" x14ac:dyDescent="0.35">
      <c r="A16484" s="3">
        <v>46247</v>
      </c>
      <c r="B16484" s="5" t="s">
        <v>354</v>
      </c>
      <c r="C16484" s="5" t="s">
        <v>19</v>
      </c>
      <c r="D16484" s="5">
        <v>1</v>
      </c>
      <c r="E16484" s="5">
        <v>127942</v>
      </c>
    </row>
    <row r="16485" spans="1:5" x14ac:dyDescent="0.35">
      <c r="A16485" s="3">
        <v>46247</v>
      </c>
      <c r="B16485" s="5" t="s">
        <v>364</v>
      </c>
      <c r="C16485" s="5" t="s">
        <v>66</v>
      </c>
      <c r="D16485" s="5">
        <v>1</v>
      </c>
      <c r="E16485" s="5">
        <v>116305</v>
      </c>
    </row>
    <row r="16486" spans="1:5" x14ac:dyDescent="0.35">
      <c r="A16486" s="3">
        <v>46247</v>
      </c>
      <c r="B16486" s="5" t="s">
        <v>362</v>
      </c>
      <c r="C16486" s="5" t="s">
        <v>65</v>
      </c>
      <c r="D16486" s="5">
        <v>1</v>
      </c>
      <c r="E16486" s="5">
        <v>116305</v>
      </c>
    </row>
    <row r="16487" spans="1:5" x14ac:dyDescent="0.35">
      <c r="A16487" s="3">
        <v>46247</v>
      </c>
      <c r="B16487" s="5" t="s">
        <v>364</v>
      </c>
      <c r="C16487" s="5" t="s">
        <v>66</v>
      </c>
      <c r="D16487" s="5">
        <v>1</v>
      </c>
      <c r="E16487" s="5">
        <v>116305</v>
      </c>
    </row>
    <row r="16488" spans="1:5" x14ac:dyDescent="0.35">
      <c r="A16488" s="3">
        <v>46247</v>
      </c>
      <c r="B16488" s="5" t="s">
        <v>364</v>
      </c>
      <c r="C16488" s="5" t="s">
        <v>65</v>
      </c>
      <c r="D16488" s="5">
        <v>1</v>
      </c>
      <c r="E16488" s="5">
        <v>116305</v>
      </c>
    </row>
    <row r="16489" spans="1:5" x14ac:dyDescent="0.35">
      <c r="A16489" s="3">
        <v>46247</v>
      </c>
      <c r="B16489" s="5" t="s">
        <v>364</v>
      </c>
      <c r="C16489" s="5" t="s">
        <v>66</v>
      </c>
      <c r="D16489" s="5">
        <v>1</v>
      </c>
      <c r="E16489" s="5">
        <v>116305</v>
      </c>
    </row>
    <row r="16490" spans="1:5" x14ac:dyDescent="0.35">
      <c r="A16490" s="3">
        <v>46247</v>
      </c>
      <c r="B16490" s="5" t="s">
        <v>364</v>
      </c>
      <c r="C16490" s="5" t="s">
        <v>65</v>
      </c>
      <c r="D16490" s="5">
        <v>1</v>
      </c>
      <c r="E16490" s="5">
        <v>116305</v>
      </c>
    </row>
    <row r="16491" spans="1:5" x14ac:dyDescent="0.35">
      <c r="A16491" s="3">
        <v>46247</v>
      </c>
      <c r="B16491" s="5" t="s">
        <v>364</v>
      </c>
      <c r="C16491" s="5" t="s">
        <v>67</v>
      </c>
      <c r="D16491" s="5">
        <v>1</v>
      </c>
      <c r="E16491" s="5">
        <v>116305</v>
      </c>
    </row>
    <row r="16492" spans="1:5" x14ac:dyDescent="0.35">
      <c r="A16492" s="3">
        <v>46247</v>
      </c>
      <c r="B16492" s="5" t="s">
        <v>364</v>
      </c>
      <c r="C16492" s="5" t="s">
        <v>65</v>
      </c>
      <c r="D16492" s="5">
        <v>1</v>
      </c>
      <c r="E16492" s="5">
        <v>116305</v>
      </c>
    </row>
    <row r="16493" spans="1:5" x14ac:dyDescent="0.35">
      <c r="A16493" s="3">
        <v>46247</v>
      </c>
      <c r="B16493" s="5" t="s">
        <v>364</v>
      </c>
      <c r="C16493" s="5" t="s">
        <v>65</v>
      </c>
      <c r="D16493" s="5">
        <v>1</v>
      </c>
      <c r="E16493" s="5">
        <v>116305</v>
      </c>
    </row>
    <row r="16494" spans="1:5" x14ac:dyDescent="0.35">
      <c r="A16494" s="3">
        <v>46247</v>
      </c>
      <c r="B16494" s="5" t="s">
        <v>364</v>
      </c>
      <c r="C16494" s="5" t="s">
        <v>67</v>
      </c>
      <c r="D16494" s="5">
        <v>1</v>
      </c>
      <c r="E16494" s="5">
        <v>116305</v>
      </c>
    </row>
    <row r="16495" spans="1:5" x14ac:dyDescent="0.35">
      <c r="A16495" s="3">
        <v>46247</v>
      </c>
      <c r="B16495" s="5" t="s">
        <v>364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46247</v>
      </c>
      <c r="B16496" s="5" t="s">
        <v>373</v>
      </c>
      <c r="C16496" s="5" t="s">
        <v>38</v>
      </c>
      <c r="D16496" s="5">
        <v>1</v>
      </c>
      <c r="E16496" s="5">
        <v>236305</v>
      </c>
    </row>
    <row r="16497" spans="1:5" x14ac:dyDescent="0.35">
      <c r="A16497" s="3">
        <v>46247</v>
      </c>
      <c r="B16497" s="5" t="s">
        <v>378</v>
      </c>
      <c r="C16497" s="5" t="s">
        <v>107</v>
      </c>
      <c r="D16497" s="5">
        <v>1</v>
      </c>
      <c r="E16497" s="5">
        <v>442591</v>
      </c>
    </row>
    <row r="16498" spans="1:5" x14ac:dyDescent="0.35">
      <c r="A16498" s="3">
        <v>46247</v>
      </c>
      <c r="B16498" s="5" t="s">
        <v>378</v>
      </c>
      <c r="C16498" s="5" t="s">
        <v>18</v>
      </c>
      <c r="D16498" s="5">
        <v>1</v>
      </c>
      <c r="E16498" s="5">
        <v>129941</v>
      </c>
    </row>
    <row r="16499" spans="1:5" x14ac:dyDescent="0.35">
      <c r="A16499" s="3">
        <v>46247</v>
      </c>
      <c r="B16499" s="5" t="s">
        <v>354</v>
      </c>
      <c r="C16499" s="5" t="s">
        <v>18</v>
      </c>
      <c r="D16499" s="5">
        <v>1</v>
      </c>
      <c r="E16499" s="5">
        <v>127942</v>
      </c>
    </row>
    <row r="16500" spans="1:5" x14ac:dyDescent="0.35">
      <c r="A16500" s="3">
        <v>46247</v>
      </c>
      <c r="B16500" s="5" t="s">
        <v>354</v>
      </c>
      <c r="C16500" s="5" t="s">
        <v>18</v>
      </c>
      <c r="D16500" s="5">
        <v>1</v>
      </c>
      <c r="E16500" s="5">
        <v>127942</v>
      </c>
    </row>
    <row r="16501" spans="1:5" x14ac:dyDescent="0.35">
      <c r="A16501" s="3">
        <v>46247</v>
      </c>
      <c r="B16501" s="5" t="s">
        <v>364</v>
      </c>
      <c r="C16501" s="5" t="s">
        <v>66</v>
      </c>
      <c r="D16501" s="5">
        <v>1</v>
      </c>
      <c r="E16501" s="5">
        <v>116305</v>
      </c>
    </row>
    <row r="16502" spans="1:5" x14ac:dyDescent="0.35">
      <c r="A16502" s="3">
        <v>46247</v>
      </c>
      <c r="B16502" s="5" t="s">
        <v>354</v>
      </c>
      <c r="C16502" s="5" t="s">
        <v>19</v>
      </c>
      <c r="D16502" s="5">
        <v>1</v>
      </c>
      <c r="E16502" s="5">
        <v>127942</v>
      </c>
    </row>
    <row r="16503" spans="1:5" x14ac:dyDescent="0.35">
      <c r="A16503" s="3">
        <v>46247</v>
      </c>
      <c r="B16503" s="5" t="s">
        <v>364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46247</v>
      </c>
      <c r="B16504" s="5" t="s">
        <v>364</v>
      </c>
      <c r="C16504" s="5" t="s">
        <v>66</v>
      </c>
      <c r="D16504" s="5">
        <v>1</v>
      </c>
      <c r="E16504" s="5">
        <v>116305</v>
      </c>
    </row>
    <row r="16505" spans="1:5" x14ac:dyDescent="0.35">
      <c r="A16505" s="3">
        <v>46247</v>
      </c>
      <c r="B16505" s="5" t="s">
        <v>364</v>
      </c>
      <c r="C16505" s="5" t="s">
        <v>66</v>
      </c>
      <c r="D16505" s="5">
        <v>1</v>
      </c>
      <c r="E16505" s="5">
        <v>116305</v>
      </c>
    </row>
    <row r="16506" spans="1:5" x14ac:dyDescent="0.35">
      <c r="A16506" s="3">
        <v>46247</v>
      </c>
      <c r="B16506" s="5" t="s">
        <v>364</v>
      </c>
      <c r="C16506" s="5" t="s">
        <v>66</v>
      </c>
      <c r="D16506" s="5">
        <v>1</v>
      </c>
      <c r="E16506" s="5">
        <v>116305</v>
      </c>
    </row>
    <row r="16507" spans="1:5" x14ac:dyDescent="0.35">
      <c r="A16507" s="3">
        <v>46247</v>
      </c>
      <c r="B16507" s="5" t="s">
        <v>364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46247</v>
      </c>
      <c r="B16508" s="5" t="s">
        <v>364</v>
      </c>
      <c r="C16508" s="5" t="s">
        <v>66</v>
      </c>
      <c r="D16508" s="5">
        <v>1</v>
      </c>
      <c r="E16508" s="5">
        <v>116305</v>
      </c>
    </row>
    <row r="16509" spans="1:5" x14ac:dyDescent="0.35">
      <c r="A16509" s="3">
        <v>46247</v>
      </c>
      <c r="B16509" s="5" t="s">
        <v>364</v>
      </c>
      <c r="C16509" s="5" t="s">
        <v>67</v>
      </c>
      <c r="D16509" s="5">
        <v>1</v>
      </c>
      <c r="E16509" s="5">
        <v>116305</v>
      </c>
    </row>
    <row r="16510" spans="1:5" x14ac:dyDescent="0.35">
      <c r="A16510" s="3">
        <v>46247</v>
      </c>
      <c r="B16510" s="5" t="s">
        <v>364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46247</v>
      </c>
      <c r="B16511" s="5" t="s">
        <v>364</v>
      </c>
      <c r="C16511" s="5" t="s">
        <v>66</v>
      </c>
      <c r="D16511" s="5">
        <v>1</v>
      </c>
      <c r="E16511" s="5">
        <v>116305</v>
      </c>
    </row>
    <row r="16512" spans="1:5" x14ac:dyDescent="0.35">
      <c r="A16512" s="3">
        <v>46247</v>
      </c>
      <c r="B16512" s="5" t="s">
        <v>364</v>
      </c>
      <c r="C16512" s="5" t="s">
        <v>66</v>
      </c>
      <c r="D16512" s="5">
        <v>1</v>
      </c>
      <c r="E16512" s="5">
        <v>116305</v>
      </c>
    </row>
    <row r="16513" spans="1:5" x14ac:dyDescent="0.35">
      <c r="A16513" s="3">
        <v>46247</v>
      </c>
      <c r="B16513" s="5" t="s">
        <v>364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46247</v>
      </c>
      <c r="B16514" s="5" t="s">
        <v>364</v>
      </c>
      <c r="C16514" s="5" t="s">
        <v>67</v>
      </c>
      <c r="D16514" s="5">
        <v>1</v>
      </c>
      <c r="E16514" s="5">
        <v>116305</v>
      </c>
    </row>
    <row r="16515" spans="1:5" x14ac:dyDescent="0.35">
      <c r="A16515" s="3">
        <v>46247</v>
      </c>
      <c r="B16515" s="5" t="s">
        <v>237</v>
      </c>
      <c r="C16515" s="5" t="s">
        <v>38</v>
      </c>
      <c r="D16515" s="5">
        <v>1</v>
      </c>
      <c r="E16515" s="5">
        <v>203578</v>
      </c>
    </row>
    <row r="16516" spans="1:5" x14ac:dyDescent="0.35">
      <c r="A16516" s="3">
        <v>46247</v>
      </c>
      <c r="B16516" s="5" t="s">
        <v>354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46247</v>
      </c>
      <c r="B16517" s="5" t="s">
        <v>362</v>
      </c>
      <c r="C16517" s="5" t="s">
        <v>65</v>
      </c>
      <c r="D16517" s="5">
        <v>1</v>
      </c>
      <c r="E16517" s="5">
        <v>116305</v>
      </c>
    </row>
    <row r="16518" spans="1:5" x14ac:dyDescent="0.35">
      <c r="A16518" s="3">
        <v>46247</v>
      </c>
      <c r="B16518" s="5" t="s">
        <v>362</v>
      </c>
      <c r="C16518" s="5" t="s">
        <v>65</v>
      </c>
      <c r="D16518" s="5">
        <v>1</v>
      </c>
      <c r="E16518" s="5">
        <v>116305</v>
      </c>
    </row>
    <row r="16519" spans="1:5" x14ac:dyDescent="0.35">
      <c r="A16519" s="3">
        <v>46247</v>
      </c>
      <c r="B16519" s="5" t="s">
        <v>364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46247</v>
      </c>
      <c r="B16520" s="5" t="s">
        <v>364</v>
      </c>
      <c r="C16520" s="5" t="s">
        <v>66</v>
      </c>
      <c r="D16520" s="5">
        <v>1</v>
      </c>
      <c r="E16520" s="5">
        <v>116305</v>
      </c>
    </row>
    <row r="16521" spans="1:5" x14ac:dyDescent="0.35">
      <c r="A16521" s="3">
        <v>46247</v>
      </c>
      <c r="B16521" s="5" t="s">
        <v>364</v>
      </c>
      <c r="C16521" s="5" t="s">
        <v>66</v>
      </c>
      <c r="D16521" s="5">
        <v>1</v>
      </c>
      <c r="E16521" s="5">
        <v>116305</v>
      </c>
    </row>
    <row r="16522" spans="1:5" x14ac:dyDescent="0.35">
      <c r="A16522" s="3">
        <v>46247</v>
      </c>
      <c r="B16522" s="5" t="s">
        <v>364</v>
      </c>
      <c r="C16522" s="5" t="s">
        <v>66</v>
      </c>
      <c r="D16522" s="5">
        <v>1</v>
      </c>
      <c r="E16522" s="5">
        <v>116305</v>
      </c>
    </row>
    <row r="16523" spans="1:5" x14ac:dyDescent="0.35">
      <c r="A16523" s="3">
        <v>46247</v>
      </c>
      <c r="B16523" s="5" t="s">
        <v>364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46247</v>
      </c>
      <c r="B16524" s="5" t="s">
        <v>364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46247</v>
      </c>
      <c r="B16525" s="5" t="s">
        <v>364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46247</v>
      </c>
      <c r="B16526" s="5" t="s">
        <v>364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46247</v>
      </c>
      <c r="B16527" s="5" t="s">
        <v>364</v>
      </c>
      <c r="C16527" s="5" t="s">
        <v>65</v>
      </c>
      <c r="D16527" s="5">
        <v>1</v>
      </c>
      <c r="E16527" s="5">
        <v>116305</v>
      </c>
    </row>
    <row r="16528" spans="1:5" x14ac:dyDescent="0.35">
      <c r="A16528" s="3">
        <v>46247</v>
      </c>
      <c r="B16528" s="5" t="s">
        <v>364</v>
      </c>
      <c r="C16528" s="5" t="s">
        <v>65</v>
      </c>
      <c r="D16528" s="5">
        <v>1</v>
      </c>
      <c r="E16528" s="5">
        <v>116305</v>
      </c>
    </row>
    <row r="16529" spans="1:5" x14ac:dyDescent="0.35">
      <c r="A16529" s="3">
        <v>46247</v>
      </c>
      <c r="B16529" s="5" t="s">
        <v>364</v>
      </c>
      <c r="C16529" s="5" t="s">
        <v>66</v>
      </c>
      <c r="D16529" s="5">
        <v>1</v>
      </c>
      <c r="E16529" s="5">
        <v>116305</v>
      </c>
    </row>
    <row r="16530" spans="1:5" x14ac:dyDescent="0.35">
      <c r="A16530" s="3">
        <v>46247</v>
      </c>
      <c r="B16530" s="5" t="s">
        <v>364</v>
      </c>
      <c r="C16530" s="5" t="s">
        <v>67</v>
      </c>
      <c r="D16530" s="5">
        <v>1</v>
      </c>
      <c r="E16530" s="5">
        <v>116305</v>
      </c>
    </row>
    <row r="16531" spans="1:5" x14ac:dyDescent="0.35">
      <c r="A16531" s="3">
        <v>46247</v>
      </c>
      <c r="B16531" s="5" t="s">
        <v>364</v>
      </c>
      <c r="C16531" s="5" t="s">
        <v>67</v>
      </c>
      <c r="D16531" s="5">
        <v>1</v>
      </c>
      <c r="E16531" s="5">
        <v>116305</v>
      </c>
    </row>
    <row r="16532" spans="1:5" x14ac:dyDescent="0.35">
      <c r="A16532" s="3">
        <v>46247</v>
      </c>
      <c r="B16532" s="5" t="s">
        <v>364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46247</v>
      </c>
      <c r="B16533" s="5" t="s">
        <v>364</v>
      </c>
      <c r="C16533" s="5" t="s">
        <v>67</v>
      </c>
      <c r="D16533" s="5">
        <v>1</v>
      </c>
      <c r="E16533" s="5">
        <v>116305</v>
      </c>
    </row>
    <row r="16534" spans="1:5" x14ac:dyDescent="0.35">
      <c r="A16534" s="3">
        <v>46247</v>
      </c>
      <c r="B16534" s="5" t="s">
        <v>364</v>
      </c>
      <c r="C16534" s="5" t="s">
        <v>67</v>
      </c>
      <c r="D16534" s="5">
        <v>1</v>
      </c>
      <c r="E16534" s="5">
        <v>116305</v>
      </c>
    </row>
    <row r="16535" spans="1:5" x14ac:dyDescent="0.35">
      <c r="A16535" s="3">
        <v>46247</v>
      </c>
      <c r="B16535" s="5" t="s">
        <v>364</v>
      </c>
      <c r="C16535" s="5" t="s">
        <v>67</v>
      </c>
      <c r="D16535" s="5">
        <v>1</v>
      </c>
      <c r="E16535" s="5">
        <v>116305</v>
      </c>
    </row>
    <row r="16536" spans="1:5" x14ac:dyDescent="0.35">
      <c r="A16536" s="3">
        <v>46247</v>
      </c>
      <c r="B16536" s="5" t="s">
        <v>364</v>
      </c>
      <c r="C16536" s="5" t="s">
        <v>65</v>
      </c>
      <c r="D16536" s="5">
        <v>1</v>
      </c>
      <c r="E16536" s="5">
        <v>116305</v>
      </c>
    </row>
    <row r="16537" spans="1:5" x14ac:dyDescent="0.35">
      <c r="A16537" s="3">
        <v>46247</v>
      </c>
      <c r="B16537" s="5" t="s">
        <v>362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46247</v>
      </c>
      <c r="B16538" s="5" t="s">
        <v>362</v>
      </c>
      <c r="C16538" s="5" t="s">
        <v>66</v>
      </c>
      <c r="D16538" s="5">
        <v>1</v>
      </c>
      <c r="E16538" s="5">
        <v>116305</v>
      </c>
    </row>
    <row r="16539" spans="1:5" x14ac:dyDescent="0.35">
      <c r="A16539" s="3">
        <v>46247</v>
      </c>
      <c r="B16539" s="5" t="s">
        <v>364</v>
      </c>
      <c r="C16539" s="5" t="s">
        <v>66</v>
      </c>
      <c r="D16539" s="5">
        <v>1</v>
      </c>
      <c r="E16539" s="5">
        <v>116305</v>
      </c>
    </row>
    <row r="16540" spans="1:5" x14ac:dyDescent="0.35">
      <c r="A16540" s="3">
        <v>46247</v>
      </c>
      <c r="B16540" s="5" t="s">
        <v>364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46247</v>
      </c>
      <c r="B16541" s="5" t="s">
        <v>364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46247</v>
      </c>
      <c r="B16542" s="5" t="s">
        <v>364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46247</v>
      </c>
      <c r="B16543" s="5" t="s">
        <v>364</v>
      </c>
      <c r="C16543" s="5" t="s">
        <v>65</v>
      </c>
      <c r="D16543" s="5">
        <v>1</v>
      </c>
      <c r="E16543" s="5">
        <v>116305</v>
      </c>
    </row>
    <row r="16544" spans="1:5" x14ac:dyDescent="0.35">
      <c r="A16544" s="3">
        <v>46247</v>
      </c>
      <c r="B16544" s="5" t="s">
        <v>364</v>
      </c>
      <c r="C16544" s="5" t="s">
        <v>65</v>
      </c>
      <c r="D16544" s="5">
        <v>1</v>
      </c>
      <c r="E16544" s="5">
        <v>116305</v>
      </c>
    </row>
    <row r="16545" spans="1:5" x14ac:dyDescent="0.35">
      <c r="A16545" s="3">
        <v>46247</v>
      </c>
      <c r="B16545" s="5" t="s">
        <v>379</v>
      </c>
      <c r="C16545" s="5" t="s">
        <v>18</v>
      </c>
      <c r="D16545" s="5">
        <v>1</v>
      </c>
      <c r="E16545" s="5">
        <v>129941</v>
      </c>
    </row>
    <row r="16546" spans="1:5" x14ac:dyDescent="0.35">
      <c r="A16546" s="3">
        <v>46247</v>
      </c>
      <c r="B16546" s="5" t="s">
        <v>121</v>
      </c>
      <c r="C16546" s="5" t="s">
        <v>42</v>
      </c>
      <c r="D16546" s="5">
        <v>1</v>
      </c>
      <c r="E16546" s="5">
        <v>203578</v>
      </c>
    </row>
    <row r="16547" spans="1:5" x14ac:dyDescent="0.35">
      <c r="A16547" s="3">
        <v>46247</v>
      </c>
      <c r="B16547" s="5" t="s">
        <v>237</v>
      </c>
      <c r="C16547" s="5" t="s">
        <v>38</v>
      </c>
      <c r="D16547" s="5">
        <v>1</v>
      </c>
      <c r="E16547" s="5">
        <v>203578</v>
      </c>
    </row>
    <row r="16548" spans="1:5" x14ac:dyDescent="0.35">
      <c r="A16548" s="3">
        <v>46247</v>
      </c>
      <c r="B16548" s="5" t="s">
        <v>362</v>
      </c>
      <c r="C16548" s="5" t="s">
        <v>65</v>
      </c>
      <c r="D16548" s="5">
        <v>1</v>
      </c>
      <c r="E16548" s="5">
        <v>116305</v>
      </c>
    </row>
    <row r="16549" spans="1:5" x14ac:dyDescent="0.35">
      <c r="A16549" s="3">
        <v>46247</v>
      </c>
      <c r="B16549" s="5" t="s">
        <v>364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46247</v>
      </c>
      <c r="B16550" s="5" t="s">
        <v>364</v>
      </c>
      <c r="C16550" s="5" t="s">
        <v>66</v>
      </c>
      <c r="D16550" s="5">
        <v>1</v>
      </c>
      <c r="E16550" s="5">
        <v>116305</v>
      </c>
    </row>
    <row r="16551" spans="1:5" x14ac:dyDescent="0.35">
      <c r="A16551" s="3">
        <v>46247</v>
      </c>
      <c r="B16551" s="5" t="s">
        <v>362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46247</v>
      </c>
      <c r="B16552" s="5" t="s">
        <v>362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46247</v>
      </c>
      <c r="B16553" s="5" t="s">
        <v>362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46247</v>
      </c>
      <c r="B16554" s="5" t="s">
        <v>364</v>
      </c>
      <c r="C16554" s="5" t="s">
        <v>66</v>
      </c>
      <c r="D16554" s="5">
        <v>1</v>
      </c>
      <c r="E16554" s="5">
        <v>116305</v>
      </c>
    </row>
    <row r="16555" spans="1:5" x14ac:dyDescent="0.35">
      <c r="A16555" s="3">
        <v>46247</v>
      </c>
      <c r="B16555" s="5" t="s">
        <v>364</v>
      </c>
      <c r="C16555" s="5" t="s">
        <v>65</v>
      </c>
      <c r="D16555" s="5">
        <v>1</v>
      </c>
      <c r="E16555" s="5">
        <v>116305</v>
      </c>
    </row>
    <row r="16556" spans="1:5" x14ac:dyDescent="0.35">
      <c r="A16556" s="3">
        <v>46247</v>
      </c>
      <c r="B16556" s="5" t="s">
        <v>364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46247</v>
      </c>
      <c r="B16557" s="5" t="s">
        <v>364</v>
      </c>
      <c r="C16557" s="5" t="s">
        <v>66</v>
      </c>
      <c r="D16557" s="5">
        <v>1</v>
      </c>
      <c r="E16557" s="5">
        <v>116305</v>
      </c>
    </row>
    <row r="16558" spans="1:5" x14ac:dyDescent="0.35">
      <c r="A16558" s="3">
        <v>46247</v>
      </c>
      <c r="B16558" s="5" t="s">
        <v>364</v>
      </c>
      <c r="C16558" s="5" t="s">
        <v>67</v>
      </c>
      <c r="D16558" s="5">
        <v>1</v>
      </c>
      <c r="E16558" s="5">
        <v>116305</v>
      </c>
    </row>
    <row r="16559" spans="1:5" x14ac:dyDescent="0.35">
      <c r="A16559" s="3">
        <v>46247</v>
      </c>
      <c r="B16559" s="5" t="s">
        <v>364</v>
      </c>
      <c r="C16559" s="5" t="s">
        <v>67</v>
      </c>
      <c r="D16559" s="5">
        <v>1</v>
      </c>
      <c r="E16559" s="5">
        <v>116305</v>
      </c>
    </row>
    <row r="16560" spans="1:5" x14ac:dyDescent="0.35">
      <c r="A16560" s="3">
        <v>46247</v>
      </c>
      <c r="B16560" s="5" t="s">
        <v>237</v>
      </c>
      <c r="C16560" s="5" t="s">
        <v>38</v>
      </c>
      <c r="D16560" s="5">
        <v>1</v>
      </c>
      <c r="E16560" s="5">
        <v>203578</v>
      </c>
    </row>
    <row r="16561" spans="1:5" x14ac:dyDescent="0.35">
      <c r="A16561" s="3">
        <v>46247</v>
      </c>
      <c r="B16561" s="5" t="s">
        <v>354</v>
      </c>
      <c r="C16561" s="5" t="s">
        <v>19</v>
      </c>
      <c r="D16561" s="5">
        <v>1</v>
      </c>
      <c r="E16561" s="5">
        <v>127942</v>
      </c>
    </row>
    <row r="16562" spans="1:5" x14ac:dyDescent="0.35">
      <c r="A16562" s="3">
        <v>46247</v>
      </c>
      <c r="B16562" s="5" t="s">
        <v>354</v>
      </c>
      <c r="C16562" s="5" t="s">
        <v>19</v>
      </c>
      <c r="D16562" s="5">
        <v>1</v>
      </c>
      <c r="E16562" s="5">
        <v>127942</v>
      </c>
    </row>
    <row r="16563" spans="1:5" x14ac:dyDescent="0.35">
      <c r="A16563" s="3">
        <v>46247</v>
      </c>
      <c r="B16563" s="5" t="s">
        <v>364</v>
      </c>
      <c r="C16563" s="5" t="s">
        <v>66</v>
      </c>
      <c r="D16563" s="5">
        <v>1</v>
      </c>
      <c r="E16563" s="5">
        <v>116305</v>
      </c>
    </row>
    <row r="16564" spans="1:5" x14ac:dyDescent="0.35">
      <c r="A16564" s="3">
        <v>46247</v>
      </c>
      <c r="B16564" s="5" t="s">
        <v>364</v>
      </c>
      <c r="C16564" s="5" t="s">
        <v>65</v>
      </c>
      <c r="D16564" s="5">
        <v>1</v>
      </c>
      <c r="E16564" s="5">
        <v>116305</v>
      </c>
    </row>
    <row r="16565" spans="1:5" x14ac:dyDescent="0.35">
      <c r="A16565" s="3">
        <v>46247</v>
      </c>
      <c r="B16565" s="5" t="s">
        <v>364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46247</v>
      </c>
      <c r="B16566" s="5" t="s">
        <v>354</v>
      </c>
      <c r="C16566" s="5" t="s">
        <v>19</v>
      </c>
      <c r="D16566" s="5">
        <v>1</v>
      </c>
      <c r="E16566" s="5">
        <v>127942</v>
      </c>
    </row>
    <row r="16567" spans="1:5" x14ac:dyDescent="0.35">
      <c r="A16567" s="3">
        <v>46247</v>
      </c>
      <c r="B16567" s="5" t="s">
        <v>364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46247</v>
      </c>
      <c r="B16568" s="5" t="s">
        <v>364</v>
      </c>
      <c r="C16568" s="5" t="s">
        <v>66</v>
      </c>
      <c r="D16568" s="5">
        <v>1</v>
      </c>
      <c r="E16568" s="5">
        <v>116305</v>
      </c>
    </row>
    <row r="16569" spans="1:5" x14ac:dyDescent="0.35">
      <c r="A16569" s="3">
        <v>46247</v>
      </c>
      <c r="B16569" s="5" t="s">
        <v>364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46247</v>
      </c>
      <c r="B16570" s="5" t="s">
        <v>364</v>
      </c>
      <c r="C16570" s="5" t="s">
        <v>66</v>
      </c>
      <c r="D16570" s="5">
        <v>1</v>
      </c>
      <c r="E16570" s="5">
        <v>116305</v>
      </c>
    </row>
    <row r="16571" spans="1:5" x14ac:dyDescent="0.35">
      <c r="A16571" s="3">
        <v>46247</v>
      </c>
      <c r="B16571" s="5" t="s">
        <v>364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46247</v>
      </c>
      <c r="B16572" s="5" t="s">
        <v>364</v>
      </c>
      <c r="C16572" s="5" t="s">
        <v>66</v>
      </c>
      <c r="D16572" s="5">
        <v>1</v>
      </c>
      <c r="E16572" s="5">
        <v>116305</v>
      </c>
    </row>
    <row r="16573" spans="1:5" x14ac:dyDescent="0.35">
      <c r="A16573" s="3">
        <v>46247</v>
      </c>
      <c r="B16573" s="5" t="s">
        <v>364</v>
      </c>
      <c r="C16573" s="5" t="s">
        <v>66</v>
      </c>
      <c r="D16573" s="5">
        <v>1</v>
      </c>
      <c r="E16573" s="5">
        <v>116305</v>
      </c>
    </row>
    <row r="16574" spans="1:5" x14ac:dyDescent="0.35">
      <c r="A16574" s="3">
        <v>46247</v>
      </c>
      <c r="B16574" s="5" t="s">
        <v>364</v>
      </c>
      <c r="C16574" s="5" t="s">
        <v>66</v>
      </c>
      <c r="D16574" s="5">
        <v>1</v>
      </c>
      <c r="E16574" s="5">
        <v>116305</v>
      </c>
    </row>
    <row r="16575" spans="1:5" x14ac:dyDescent="0.35">
      <c r="A16575" s="3">
        <v>46247</v>
      </c>
      <c r="B16575" s="5" t="s">
        <v>364</v>
      </c>
      <c r="C16575" s="5" t="s">
        <v>66</v>
      </c>
      <c r="D16575" s="5">
        <v>1</v>
      </c>
      <c r="E16575" s="5">
        <v>116305</v>
      </c>
    </row>
    <row r="16576" spans="1:5" x14ac:dyDescent="0.35">
      <c r="A16576" s="3">
        <v>46247</v>
      </c>
      <c r="B16576" s="5" t="s">
        <v>364</v>
      </c>
      <c r="C16576" s="5" t="s">
        <v>66</v>
      </c>
      <c r="D16576" s="5">
        <v>1</v>
      </c>
      <c r="E16576" s="5">
        <v>116305</v>
      </c>
    </row>
    <row r="16577" spans="1:5" x14ac:dyDescent="0.35">
      <c r="A16577" s="3">
        <v>46247</v>
      </c>
      <c r="B16577" s="5" t="s">
        <v>364</v>
      </c>
      <c r="C16577" s="5" t="s">
        <v>67</v>
      </c>
      <c r="D16577" s="5">
        <v>1</v>
      </c>
      <c r="E16577" s="5">
        <v>116305</v>
      </c>
    </row>
    <row r="16578" spans="1:5" x14ac:dyDescent="0.35">
      <c r="A16578" s="3">
        <v>46247</v>
      </c>
      <c r="B16578" s="5" t="s">
        <v>378</v>
      </c>
      <c r="C16578" s="5" t="s">
        <v>93</v>
      </c>
      <c r="D16578" s="5">
        <v>1</v>
      </c>
      <c r="E16578" s="5">
        <v>50168</v>
      </c>
    </row>
    <row r="16579" spans="1:5" x14ac:dyDescent="0.35">
      <c r="A16579" s="3">
        <v>46247</v>
      </c>
      <c r="B16579" s="5" t="s">
        <v>378</v>
      </c>
      <c r="C16579" s="5" t="s">
        <v>32</v>
      </c>
      <c r="D16579" s="5">
        <v>1</v>
      </c>
      <c r="E16579" s="5">
        <v>177214</v>
      </c>
    </row>
    <row r="16580" spans="1:5" x14ac:dyDescent="0.35">
      <c r="A16580" s="3">
        <v>46247</v>
      </c>
      <c r="B16580" s="5" t="s">
        <v>362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46247</v>
      </c>
      <c r="B16581" s="5" t="s">
        <v>237</v>
      </c>
      <c r="C16581" s="5" t="s">
        <v>38</v>
      </c>
      <c r="D16581" s="5">
        <v>1</v>
      </c>
      <c r="E16581" s="5">
        <v>203578</v>
      </c>
    </row>
    <row r="16582" spans="1:5" x14ac:dyDescent="0.35">
      <c r="A16582" s="3">
        <v>46247</v>
      </c>
      <c r="B16582" s="5" t="s">
        <v>354</v>
      </c>
      <c r="C16582" s="5" t="s">
        <v>19</v>
      </c>
      <c r="D16582" s="5">
        <v>1</v>
      </c>
      <c r="E16582" s="5">
        <v>127942</v>
      </c>
    </row>
    <row r="16583" spans="1:5" x14ac:dyDescent="0.35">
      <c r="A16583" s="3">
        <v>46247</v>
      </c>
      <c r="B16583" s="5" t="s">
        <v>362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46247</v>
      </c>
      <c r="B16584" s="5" t="s">
        <v>364</v>
      </c>
      <c r="C16584" s="5" t="s">
        <v>66</v>
      </c>
      <c r="D16584" s="5">
        <v>1</v>
      </c>
      <c r="E16584" s="5">
        <v>116305</v>
      </c>
    </row>
    <row r="16585" spans="1:5" x14ac:dyDescent="0.35">
      <c r="A16585" s="3">
        <v>46247</v>
      </c>
      <c r="B16585" s="5" t="s">
        <v>354</v>
      </c>
      <c r="C16585" s="5" t="s">
        <v>18</v>
      </c>
      <c r="D16585" s="5">
        <v>1</v>
      </c>
      <c r="E16585" s="5">
        <v>127942</v>
      </c>
    </row>
    <row r="16586" spans="1:5" x14ac:dyDescent="0.35">
      <c r="A16586" s="3">
        <v>46247</v>
      </c>
      <c r="B16586" s="5" t="s">
        <v>364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46247</v>
      </c>
      <c r="B16587" s="5" t="s">
        <v>364</v>
      </c>
      <c r="C16587" s="5" t="s">
        <v>66</v>
      </c>
      <c r="D16587" s="5">
        <v>1</v>
      </c>
      <c r="E16587" s="5">
        <v>116305</v>
      </c>
    </row>
    <row r="16588" spans="1:5" x14ac:dyDescent="0.35">
      <c r="A16588" s="3">
        <v>46247</v>
      </c>
      <c r="B16588" s="5" t="s">
        <v>354</v>
      </c>
      <c r="C16588" s="5" t="s">
        <v>19</v>
      </c>
      <c r="D16588" s="5">
        <v>1</v>
      </c>
      <c r="E16588" s="5">
        <v>127942</v>
      </c>
    </row>
    <row r="16589" spans="1:5" x14ac:dyDescent="0.35">
      <c r="A16589" s="3">
        <v>46247</v>
      </c>
      <c r="B16589" s="5" t="s">
        <v>364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46247</v>
      </c>
      <c r="B16590" s="5" t="s">
        <v>364</v>
      </c>
      <c r="C16590" s="5" t="s">
        <v>65</v>
      </c>
      <c r="D16590" s="5">
        <v>1</v>
      </c>
      <c r="E16590" s="5">
        <v>116305</v>
      </c>
    </row>
    <row r="16591" spans="1:5" x14ac:dyDescent="0.35">
      <c r="A16591" s="3">
        <v>46247</v>
      </c>
      <c r="B16591" s="5" t="s">
        <v>364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46247</v>
      </c>
      <c r="B16592" s="5" t="s">
        <v>364</v>
      </c>
      <c r="C16592" s="5" t="s">
        <v>66</v>
      </c>
      <c r="D16592" s="5">
        <v>1</v>
      </c>
      <c r="E16592" s="5">
        <v>116305</v>
      </c>
    </row>
    <row r="16593" spans="1:5" x14ac:dyDescent="0.35">
      <c r="A16593" s="3">
        <v>46247</v>
      </c>
      <c r="B16593" s="5" t="s">
        <v>364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46247</v>
      </c>
      <c r="B16594" s="5" t="s">
        <v>364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46247</v>
      </c>
      <c r="B16595" s="5" t="s">
        <v>364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46247</v>
      </c>
      <c r="B16596" s="5" t="s">
        <v>364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46247</v>
      </c>
      <c r="B16597" s="5" t="s">
        <v>364</v>
      </c>
      <c r="C16597" s="5" t="s">
        <v>66</v>
      </c>
      <c r="D16597" s="5">
        <v>1</v>
      </c>
      <c r="E16597" s="5">
        <v>116305</v>
      </c>
    </row>
    <row r="16598" spans="1:5" x14ac:dyDescent="0.35">
      <c r="A16598" s="3">
        <v>46247</v>
      </c>
      <c r="B16598" s="5" t="s">
        <v>364</v>
      </c>
      <c r="C16598" s="5" t="s">
        <v>65</v>
      </c>
      <c r="D16598" s="5">
        <v>1</v>
      </c>
      <c r="E16598" s="5">
        <v>116305</v>
      </c>
    </row>
    <row r="16599" spans="1:5" x14ac:dyDescent="0.35">
      <c r="A16599" s="3">
        <v>46247</v>
      </c>
      <c r="B16599" s="5" t="s">
        <v>364</v>
      </c>
      <c r="C16599" s="5" t="s">
        <v>67</v>
      </c>
      <c r="D16599" s="5">
        <v>1</v>
      </c>
      <c r="E16599" s="5">
        <v>116305</v>
      </c>
    </row>
    <row r="16600" spans="1:5" x14ac:dyDescent="0.35">
      <c r="A16600" s="3">
        <v>46247</v>
      </c>
      <c r="B16600" s="5" t="s">
        <v>364</v>
      </c>
      <c r="C16600" s="5" t="s">
        <v>65</v>
      </c>
      <c r="D16600" s="5">
        <v>1</v>
      </c>
      <c r="E16600" s="5">
        <v>116305</v>
      </c>
    </row>
    <row r="16601" spans="1:5" x14ac:dyDescent="0.35">
      <c r="A16601" s="3">
        <v>46247</v>
      </c>
      <c r="B16601" s="5" t="s">
        <v>373</v>
      </c>
      <c r="C16601" s="5" t="s">
        <v>107</v>
      </c>
      <c r="D16601" s="5">
        <v>1</v>
      </c>
      <c r="E16601" s="5">
        <v>442591</v>
      </c>
    </row>
    <row r="16602" spans="1:5" x14ac:dyDescent="0.35">
      <c r="A16602" s="3">
        <v>46247</v>
      </c>
      <c r="B16602" s="5" t="s">
        <v>373</v>
      </c>
      <c r="C16602" s="5" t="s">
        <v>42</v>
      </c>
      <c r="D16602" s="5">
        <v>1</v>
      </c>
      <c r="E16602" s="5">
        <v>206759</v>
      </c>
    </row>
    <row r="16603" spans="1:5" x14ac:dyDescent="0.35">
      <c r="A16603" s="3">
        <v>46247</v>
      </c>
      <c r="B16603" s="5" t="s">
        <v>378</v>
      </c>
      <c r="C16603" s="5" t="s">
        <v>41</v>
      </c>
      <c r="D16603" s="5">
        <v>1</v>
      </c>
      <c r="E16603" s="5">
        <v>159486</v>
      </c>
    </row>
    <row r="16604" spans="1:5" x14ac:dyDescent="0.35">
      <c r="A16604" s="3">
        <v>46247</v>
      </c>
      <c r="B16604" s="5" t="s">
        <v>378</v>
      </c>
      <c r="C16604" s="5" t="s">
        <v>18</v>
      </c>
      <c r="D16604" s="5">
        <v>1</v>
      </c>
      <c r="E16604" s="5">
        <v>129941</v>
      </c>
    </row>
    <row r="16605" spans="1:5" x14ac:dyDescent="0.35">
      <c r="A16605" s="3">
        <v>46247</v>
      </c>
      <c r="B16605" s="5" t="s">
        <v>362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46247</v>
      </c>
      <c r="B16606" s="5" t="s">
        <v>364</v>
      </c>
      <c r="C16606" s="5" t="s">
        <v>66</v>
      </c>
      <c r="D16606" s="5">
        <v>1</v>
      </c>
      <c r="E16606" s="5">
        <v>116305</v>
      </c>
    </row>
    <row r="16607" spans="1:5" x14ac:dyDescent="0.35">
      <c r="A16607" s="3">
        <v>46247</v>
      </c>
      <c r="B16607" s="5" t="s">
        <v>362</v>
      </c>
      <c r="C16607" s="5" t="s">
        <v>67</v>
      </c>
      <c r="D16607" s="5">
        <v>1</v>
      </c>
      <c r="E16607" s="5">
        <v>116305</v>
      </c>
    </row>
    <row r="16608" spans="1:5" x14ac:dyDescent="0.35">
      <c r="A16608" s="3">
        <v>46247</v>
      </c>
      <c r="B16608" s="5" t="s">
        <v>362</v>
      </c>
      <c r="C16608" s="5" t="s">
        <v>67</v>
      </c>
      <c r="D16608" s="5">
        <v>1</v>
      </c>
      <c r="E16608" s="5">
        <v>116305</v>
      </c>
    </row>
    <row r="16609" spans="1:5" x14ac:dyDescent="0.35">
      <c r="A16609" s="3">
        <v>46247</v>
      </c>
      <c r="B16609" s="5" t="s">
        <v>364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46247</v>
      </c>
      <c r="B16610" s="5" t="s">
        <v>364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46247</v>
      </c>
      <c r="B16611" s="5" t="s">
        <v>364</v>
      </c>
      <c r="C16611" s="5" t="s">
        <v>66</v>
      </c>
      <c r="D16611" s="5">
        <v>1</v>
      </c>
      <c r="E16611" s="5">
        <v>116305</v>
      </c>
    </row>
    <row r="16612" spans="1:5" x14ac:dyDescent="0.35">
      <c r="A16612" s="3">
        <v>46247</v>
      </c>
      <c r="B16612" s="5" t="s">
        <v>364</v>
      </c>
      <c r="C16612" s="5" t="s">
        <v>65</v>
      </c>
      <c r="D16612" s="5">
        <v>1</v>
      </c>
      <c r="E16612" s="5">
        <v>116305</v>
      </c>
    </row>
    <row r="16613" spans="1:5" x14ac:dyDescent="0.35">
      <c r="A16613" s="3">
        <v>46247</v>
      </c>
      <c r="B16613" s="5" t="s">
        <v>364</v>
      </c>
      <c r="C16613" s="5" t="s">
        <v>66</v>
      </c>
      <c r="D16613" s="5">
        <v>1</v>
      </c>
      <c r="E16613" s="5">
        <v>116305</v>
      </c>
    </row>
    <row r="16614" spans="1:5" x14ac:dyDescent="0.35">
      <c r="A16614" s="3">
        <v>46247</v>
      </c>
      <c r="B16614" s="5" t="s">
        <v>364</v>
      </c>
      <c r="C16614" s="5" t="s">
        <v>65</v>
      </c>
      <c r="D16614" s="5">
        <v>1</v>
      </c>
      <c r="E16614" s="5">
        <v>116305</v>
      </c>
    </row>
    <row r="16615" spans="1:5" x14ac:dyDescent="0.35">
      <c r="A16615" s="3">
        <v>46247</v>
      </c>
      <c r="B16615" s="5" t="s">
        <v>364</v>
      </c>
      <c r="C16615" s="5" t="s">
        <v>66</v>
      </c>
      <c r="D16615" s="5">
        <v>1</v>
      </c>
      <c r="E16615" s="5">
        <v>116305</v>
      </c>
    </row>
    <row r="16616" spans="1:5" x14ac:dyDescent="0.35">
      <c r="A16616" s="3">
        <v>46247</v>
      </c>
      <c r="B16616" s="5" t="s">
        <v>364</v>
      </c>
      <c r="C16616" s="5" t="s">
        <v>65</v>
      </c>
      <c r="D16616" s="5">
        <v>1</v>
      </c>
      <c r="E16616" s="5">
        <v>116305</v>
      </c>
    </row>
    <row r="16617" spans="1:5" x14ac:dyDescent="0.35">
      <c r="A16617" s="3">
        <v>46247</v>
      </c>
      <c r="B16617" s="5" t="s">
        <v>364</v>
      </c>
      <c r="C16617" s="5" t="s">
        <v>66</v>
      </c>
      <c r="D16617" s="5">
        <v>1</v>
      </c>
      <c r="E16617" s="5">
        <v>116305</v>
      </c>
    </row>
    <row r="16618" spans="1:5" x14ac:dyDescent="0.35">
      <c r="A16618" s="3">
        <v>46247</v>
      </c>
      <c r="B16618" s="5" t="s">
        <v>364</v>
      </c>
      <c r="C16618" s="5" t="s">
        <v>65</v>
      </c>
      <c r="D16618" s="5">
        <v>1</v>
      </c>
      <c r="E16618" s="5">
        <v>116305</v>
      </c>
    </row>
    <row r="16619" spans="1:5" x14ac:dyDescent="0.35">
      <c r="A16619" s="3">
        <v>46247</v>
      </c>
      <c r="B16619" s="5" t="s">
        <v>364</v>
      </c>
      <c r="C16619" s="5" t="s">
        <v>67</v>
      </c>
      <c r="D16619" s="5">
        <v>1</v>
      </c>
      <c r="E16619" s="5">
        <v>116305</v>
      </c>
    </row>
    <row r="16620" spans="1:5" x14ac:dyDescent="0.35">
      <c r="A16620" s="3">
        <v>46247</v>
      </c>
      <c r="B16620" s="5" t="s">
        <v>364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46247</v>
      </c>
      <c r="B16621" s="5" t="s">
        <v>364</v>
      </c>
      <c r="C16621" s="5" t="s">
        <v>67</v>
      </c>
      <c r="D16621" s="5">
        <v>1</v>
      </c>
      <c r="E16621" s="5">
        <v>116305</v>
      </c>
    </row>
    <row r="16622" spans="1:5" x14ac:dyDescent="0.35">
      <c r="A16622" s="3">
        <v>46247</v>
      </c>
      <c r="B16622" s="5" t="s">
        <v>364</v>
      </c>
      <c r="C16622" s="5" t="s">
        <v>67</v>
      </c>
      <c r="D16622" s="5">
        <v>1</v>
      </c>
      <c r="E16622" s="5">
        <v>116305</v>
      </c>
    </row>
    <row r="16623" spans="1:5" x14ac:dyDescent="0.35">
      <c r="A16623" s="3">
        <v>46247</v>
      </c>
      <c r="B16623" s="5" t="s">
        <v>378</v>
      </c>
      <c r="C16623" s="5" t="s">
        <v>18</v>
      </c>
      <c r="D16623" s="5">
        <v>1</v>
      </c>
      <c r="E16623" s="5">
        <v>129941</v>
      </c>
    </row>
    <row r="16624" spans="1:5" x14ac:dyDescent="0.35">
      <c r="A16624" s="3">
        <v>46247</v>
      </c>
      <c r="B16624" s="5" t="s">
        <v>362</v>
      </c>
      <c r="C16624" s="5" t="s">
        <v>65</v>
      </c>
      <c r="D16624" s="5">
        <v>1</v>
      </c>
      <c r="E16624" s="5">
        <v>116305</v>
      </c>
    </row>
    <row r="16625" spans="1:5" x14ac:dyDescent="0.35">
      <c r="A16625" s="3">
        <v>46247</v>
      </c>
      <c r="B16625" s="5" t="s">
        <v>362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46247</v>
      </c>
      <c r="B16626" s="5" t="s">
        <v>362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46247</v>
      </c>
      <c r="B16627" s="5" t="s">
        <v>362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46247</v>
      </c>
      <c r="B16628" s="5" t="s">
        <v>362</v>
      </c>
      <c r="C16628" s="5" t="s">
        <v>65</v>
      </c>
      <c r="D16628" s="5">
        <v>1</v>
      </c>
      <c r="E16628" s="5">
        <v>116305</v>
      </c>
    </row>
    <row r="16629" spans="1:5" x14ac:dyDescent="0.35">
      <c r="A16629" s="3">
        <v>46247</v>
      </c>
      <c r="B16629" s="5" t="s">
        <v>362</v>
      </c>
      <c r="C16629" s="5" t="s">
        <v>66</v>
      </c>
      <c r="D16629" s="5">
        <v>1</v>
      </c>
      <c r="E16629" s="5">
        <v>116305</v>
      </c>
    </row>
    <row r="16630" spans="1:5" x14ac:dyDescent="0.35">
      <c r="A16630" s="3">
        <v>46247</v>
      </c>
      <c r="B16630" s="5" t="s">
        <v>362</v>
      </c>
      <c r="C16630" s="5" t="s">
        <v>66</v>
      </c>
      <c r="D16630" s="5">
        <v>1</v>
      </c>
      <c r="E16630" s="5">
        <v>116305</v>
      </c>
    </row>
    <row r="16631" spans="1:5" x14ac:dyDescent="0.35">
      <c r="A16631" s="3">
        <v>46247</v>
      </c>
      <c r="B16631" s="5" t="s">
        <v>354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46247</v>
      </c>
      <c r="B16632" s="5" t="s">
        <v>362</v>
      </c>
      <c r="C16632" s="5" t="s">
        <v>66</v>
      </c>
      <c r="D16632" s="5">
        <v>1</v>
      </c>
      <c r="E16632" s="5">
        <v>116305</v>
      </c>
    </row>
    <row r="16633" spans="1:5" x14ac:dyDescent="0.35">
      <c r="A16633" s="3">
        <v>46247</v>
      </c>
      <c r="B16633" s="5" t="s">
        <v>362</v>
      </c>
      <c r="C16633" s="5" t="s">
        <v>66</v>
      </c>
      <c r="D16633" s="5">
        <v>1</v>
      </c>
      <c r="E16633" s="5">
        <v>116305</v>
      </c>
    </row>
    <row r="16634" spans="1:5" x14ac:dyDescent="0.35">
      <c r="A16634" s="3">
        <v>46247</v>
      </c>
      <c r="B16634" s="5" t="s">
        <v>364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46247</v>
      </c>
      <c r="B16635" s="5" t="s">
        <v>364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46247</v>
      </c>
      <c r="B16636" s="5" t="s">
        <v>364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46247</v>
      </c>
      <c r="B16637" s="5" t="s">
        <v>364</v>
      </c>
      <c r="C16637" s="5" t="s">
        <v>65</v>
      </c>
      <c r="D16637" s="5">
        <v>1</v>
      </c>
      <c r="E16637" s="5">
        <v>116305</v>
      </c>
    </row>
    <row r="16638" spans="1:5" x14ac:dyDescent="0.35">
      <c r="A16638" s="3">
        <v>46247</v>
      </c>
      <c r="B16638" s="5" t="s">
        <v>364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46247</v>
      </c>
      <c r="B16639" s="5" t="s">
        <v>364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46247</v>
      </c>
      <c r="B16640" s="5" t="s">
        <v>364</v>
      </c>
      <c r="C16640" s="5" t="s">
        <v>65</v>
      </c>
      <c r="D16640" s="5">
        <v>1</v>
      </c>
      <c r="E16640" s="5">
        <v>116305</v>
      </c>
    </row>
    <row r="16641" spans="1:5" x14ac:dyDescent="0.35">
      <c r="A16641" s="3">
        <v>46247</v>
      </c>
      <c r="B16641" s="5" t="s">
        <v>364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46247</v>
      </c>
      <c r="B16642" s="5" t="s">
        <v>364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46247</v>
      </c>
      <c r="B16643" s="5" t="s">
        <v>364</v>
      </c>
      <c r="C16643" s="5" t="s">
        <v>67</v>
      </c>
      <c r="D16643" s="5">
        <v>1</v>
      </c>
      <c r="E16643" s="5">
        <v>116305</v>
      </c>
    </row>
    <row r="16644" spans="1:5" x14ac:dyDescent="0.35">
      <c r="A16644" s="3">
        <v>46247</v>
      </c>
      <c r="B16644" s="5" t="s">
        <v>364</v>
      </c>
      <c r="C16644" s="5" t="s">
        <v>65</v>
      </c>
      <c r="D16644" s="5">
        <v>1</v>
      </c>
      <c r="E16644" s="5">
        <v>116305</v>
      </c>
    </row>
    <row r="16645" spans="1:5" x14ac:dyDescent="0.35">
      <c r="A16645" s="3">
        <v>46247</v>
      </c>
      <c r="B16645" s="5" t="s">
        <v>364</v>
      </c>
      <c r="C16645" s="5" t="s">
        <v>67</v>
      </c>
      <c r="D16645" s="5">
        <v>1</v>
      </c>
      <c r="E16645" s="5">
        <v>116305</v>
      </c>
    </row>
    <row r="16646" spans="1:5" x14ac:dyDescent="0.35">
      <c r="A16646" s="3">
        <v>46247</v>
      </c>
      <c r="B16646" s="5" t="s">
        <v>364</v>
      </c>
      <c r="C16646" s="5" t="s">
        <v>65</v>
      </c>
      <c r="D16646" s="5">
        <v>1</v>
      </c>
      <c r="E16646" s="5">
        <v>116305</v>
      </c>
    </row>
    <row r="16647" spans="1:5" x14ac:dyDescent="0.35">
      <c r="A16647" s="3">
        <v>46247</v>
      </c>
      <c r="B16647" s="5" t="s">
        <v>373</v>
      </c>
      <c r="C16647" s="5" t="s">
        <v>82</v>
      </c>
      <c r="D16647" s="5">
        <v>1</v>
      </c>
      <c r="E16647" s="5">
        <v>70850</v>
      </c>
    </row>
    <row r="16648" spans="1:5" x14ac:dyDescent="0.35">
      <c r="A16648" s="3">
        <v>46247</v>
      </c>
      <c r="B16648" s="5" t="s">
        <v>373</v>
      </c>
      <c r="C16648" s="5" t="s">
        <v>18</v>
      </c>
      <c r="D16648" s="5">
        <v>1</v>
      </c>
      <c r="E16648" s="5">
        <v>129941</v>
      </c>
    </row>
    <row r="16649" spans="1:5" x14ac:dyDescent="0.35">
      <c r="A16649" s="3">
        <v>46247</v>
      </c>
      <c r="B16649" s="5" t="s">
        <v>354</v>
      </c>
      <c r="C16649" s="5" t="s">
        <v>18</v>
      </c>
      <c r="D16649" s="5">
        <v>1</v>
      </c>
      <c r="E16649" s="5">
        <v>127942</v>
      </c>
    </row>
    <row r="16650" spans="1:5" x14ac:dyDescent="0.35">
      <c r="A16650" s="3">
        <v>46247</v>
      </c>
      <c r="B16650" s="5" t="s">
        <v>354</v>
      </c>
      <c r="C16650" s="5" t="s">
        <v>18</v>
      </c>
      <c r="D16650" s="5">
        <v>1</v>
      </c>
      <c r="E16650" s="5">
        <v>127942</v>
      </c>
    </row>
    <row r="16651" spans="1:5" x14ac:dyDescent="0.35">
      <c r="A16651" s="3">
        <v>46247</v>
      </c>
      <c r="B16651" s="5" t="s">
        <v>354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46247</v>
      </c>
      <c r="B16652" s="5" t="s">
        <v>354</v>
      </c>
      <c r="C16652" s="5" t="s">
        <v>19</v>
      </c>
      <c r="D16652" s="5">
        <v>1</v>
      </c>
      <c r="E16652" s="5">
        <v>127942</v>
      </c>
    </row>
    <row r="16653" spans="1:5" x14ac:dyDescent="0.35">
      <c r="A16653" s="3">
        <v>46247</v>
      </c>
      <c r="B16653" s="5" t="s">
        <v>364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46247</v>
      </c>
      <c r="B16654" s="5" t="s">
        <v>364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46247</v>
      </c>
      <c r="B16655" s="5" t="s">
        <v>364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46247</v>
      </c>
      <c r="B16656" s="5" t="s">
        <v>364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46247</v>
      </c>
      <c r="B16657" s="5" t="s">
        <v>364</v>
      </c>
      <c r="C16657" s="5" t="s">
        <v>66</v>
      </c>
      <c r="D16657" s="5">
        <v>1</v>
      </c>
      <c r="E16657" s="5">
        <v>116305</v>
      </c>
    </row>
    <row r="16658" spans="1:5" x14ac:dyDescent="0.35">
      <c r="A16658" s="3">
        <v>46247</v>
      </c>
      <c r="B16658" s="5" t="s">
        <v>364</v>
      </c>
      <c r="C16658" s="5" t="s">
        <v>66</v>
      </c>
      <c r="D16658" s="5">
        <v>1</v>
      </c>
      <c r="E16658" s="5">
        <v>116305</v>
      </c>
    </row>
    <row r="16659" spans="1:5" x14ac:dyDescent="0.35">
      <c r="A16659" s="3">
        <v>46247</v>
      </c>
      <c r="B16659" s="5" t="s">
        <v>364</v>
      </c>
      <c r="C16659" s="5" t="s">
        <v>66</v>
      </c>
      <c r="D16659" s="5">
        <v>1</v>
      </c>
      <c r="E16659" s="5">
        <v>116305</v>
      </c>
    </row>
    <row r="16660" spans="1:5" x14ac:dyDescent="0.35">
      <c r="A16660" s="3">
        <v>46247</v>
      </c>
      <c r="B16660" s="5" t="s">
        <v>364</v>
      </c>
      <c r="C16660" s="5" t="s">
        <v>66</v>
      </c>
      <c r="D16660" s="5">
        <v>1</v>
      </c>
      <c r="E16660" s="5">
        <v>116305</v>
      </c>
    </row>
    <row r="16661" spans="1:5" x14ac:dyDescent="0.35">
      <c r="A16661" s="3">
        <v>46247</v>
      </c>
      <c r="B16661" s="5" t="s">
        <v>364</v>
      </c>
      <c r="C16661" s="5" t="s">
        <v>67</v>
      </c>
      <c r="D16661" s="5">
        <v>1</v>
      </c>
      <c r="E16661" s="5">
        <v>116305</v>
      </c>
    </row>
    <row r="16662" spans="1:5" x14ac:dyDescent="0.35">
      <c r="A16662" s="3">
        <v>46247</v>
      </c>
      <c r="B16662" s="5" t="s">
        <v>364</v>
      </c>
      <c r="C16662" s="5" t="s">
        <v>65</v>
      </c>
      <c r="D16662" s="5">
        <v>1</v>
      </c>
      <c r="E16662" s="5">
        <v>116305</v>
      </c>
    </row>
    <row r="16663" spans="1:5" x14ac:dyDescent="0.35">
      <c r="A16663" s="3">
        <v>46247</v>
      </c>
      <c r="B16663" s="5" t="s">
        <v>364</v>
      </c>
      <c r="C16663" s="5" t="s">
        <v>65</v>
      </c>
      <c r="D16663" s="5">
        <v>1</v>
      </c>
      <c r="E16663" s="5">
        <v>116305</v>
      </c>
    </row>
    <row r="16664" spans="1:5" x14ac:dyDescent="0.35">
      <c r="A16664" s="3">
        <v>46247</v>
      </c>
      <c r="B16664" s="5" t="s">
        <v>364</v>
      </c>
      <c r="C16664" s="5" t="s">
        <v>67</v>
      </c>
      <c r="D16664" s="5">
        <v>1</v>
      </c>
      <c r="E16664" s="5">
        <v>116305</v>
      </c>
    </row>
    <row r="16665" spans="1:5" x14ac:dyDescent="0.35">
      <c r="A16665" s="3">
        <v>46247</v>
      </c>
      <c r="B16665" s="5" t="s">
        <v>364</v>
      </c>
      <c r="C16665" s="5" t="s">
        <v>67</v>
      </c>
      <c r="D16665" s="5">
        <v>1</v>
      </c>
      <c r="E16665" s="5">
        <v>116305</v>
      </c>
    </row>
    <row r="16666" spans="1:5" x14ac:dyDescent="0.35">
      <c r="A16666" s="3">
        <v>46247</v>
      </c>
      <c r="B16666" s="5" t="s">
        <v>379</v>
      </c>
      <c r="C16666" s="5" t="s">
        <v>39</v>
      </c>
      <c r="D16666" s="5">
        <v>1</v>
      </c>
      <c r="E16666" s="5">
        <v>118123</v>
      </c>
    </row>
    <row r="16667" spans="1:5" x14ac:dyDescent="0.35">
      <c r="A16667" s="3">
        <v>46247</v>
      </c>
      <c r="B16667" s="5" t="s">
        <v>379</v>
      </c>
      <c r="C16667" s="5" t="s">
        <v>108</v>
      </c>
      <c r="D16667" s="5">
        <v>1</v>
      </c>
      <c r="E16667" s="5">
        <v>106305</v>
      </c>
    </row>
    <row r="16668" spans="1:5" x14ac:dyDescent="0.35">
      <c r="A16668" s="3">
        <v>46247</v>
      </c>
      <c r="B16668" s="5" t="s">
        <v>379</v>
      </c>
      <c r="C16668" s="5" t="s">
        <v>18</v>
      </c>
      <c r="D16668" s="5">
        <v>1</v>
      </c>
      <c r="E16668" s="5">
        <v>129941</v>
      </c>
    </row>
    <row r="16669" spans="1:5" x14ac:dyDescent="0.35">
      <c r="A16669" s="3">
        <v>46247</v>
      </c>
      <c r="B16669" s="5" t="s">
        <v>121</v>
      </c>
      <c r="C16669" s="5" t="s">
        <v>42</v>
      </c>
      <c r="D16669" s="5">
        <v>1</v>
      </c>
      <c r="E16669" s="5">
        <v>203578</v>
      </c>
    </row>
    <row r="16670" spans="1:5" x14ac:dyDescent="0.35">
      <c r="A16670" s="3">
        <v>46247</v>
      </c>
      <c r="B16670" s="5" t="s">
        <v>362</v>
      </c>
      <c r="C16670" s="5" t="s">
        <v>65</v>
      </c>
      <c r="D16670" s="5">
        <v>1</v>
      </c>
      <c r="E16670" s="5">
        <v>116305</v>
      </c>
    </row>
    <row r="16671" spans="1:5" x14ac:dyDescent="0.35">
      <c r="A16671" s="3">
        <v>46247</v>
      </c>
      <c r="B16671" s="5" t="s">
        <v>362</v>
      </c>
      <c r="C16671" s="5" t="s">
        <v>66</v>
      </c>
      <c r="D16671" s="5">
        <v>1</v>
      </c>
      <c r="E16671" s="5">
        <v>116305</v>
      </c>
    </row>
    <row r="16672" spans="1:5" x14ac:dyDescent="0.35">
      <c r="A16672" s="3">
        <v>46247</v>
      </c>
      <c r="B16672" s="5" t="s">
        <v>362</v>
      </c>
      <c r="C16672" s="5" t="s">
        <v>65</v>
      </c>
      <c r="D16672" s="5">
        <v>1</v>
      </c>
      <c r="E16672" s="5">
        <v>116305</v>
      </c>
    </row>
    <row r="16673" spans="1:5" x14ac:dyDescent="0.35">
      <c r="A16673" s="3">
        <v>46247</v>
      </c>
      <c r="B16673" s="5" t="s">
        <v>364</v>
      </c>
      <c r="C16673" s="5" t="s">
        <v>66</v>
      </c>
      <c r="D16673" s="5">
        <v>1</v>
      </c>
      <c r="E16673" s="5">
        <v>116305</v>
      </c>
    </row>
    <row r="16674" spans="1:5" x14ac:dyDescent="0.35">
      <c r="A16674" s="3">
        <v>46247</v>
      </c>
      <c r="B16674" s="5" t="s">
        <v>364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46247</v>
      </c>
      <c r="B16675" s="5" t="s">
        <v>364</v>
      </c>
      <c r="C16675" s="5" t="s">
        <v>66</v>
      </c>
      <c r="D16675" s="5">
        <v>1</v>
      </c>
      <c r="E16675" s="5">
        <v>116305</v>
      </c>
    </row>
    <row r="16676" spans="1:5" x14ac:dyDescent="0.35">
      <c r="A16676" s="3">
        <v>46247</v>
      </c>
      <c r="B16676" s="5" t="s">
        <v>364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46247</v>
      </c>
      <c r="B16677" s="5" t="s">
        <v>354</v>
      </c>
      <c r="C16677" s="5" t="s">
        <v>18</v>
      </c>
      <c r="D16677" s="5">
        <v>1</v>
      </c>
      <c r="E16677" s="5">
        <v>127942</v>
      </c>
    </row>
    <row r="16678" spans="1:5" x14ac:dyDescent="0.35">
      <c r="A16678" s="3">
        <v>46247</v>
      </c>
      <c r="B16678" s="5" t="s">
        <v>364</v>
      </c>
      <c r="C16678" s="5" t="s">
        <v>66</v>
      </c>
      <c r="D16678" s="5">
        <v>1</v>
      </c>
      <c r="E16678" s="5">
        <v>116305</v>
      </c>
    </row>
    <row r="16679" spans="1:5" x14ac:dyDescent="0.35">
      <c r="A16679" s="3">
        <v>46247</v>
      </c>
      <c r="B16679" s="5" t="s">
        <v>364</v>
      </c>
      <c r="C16679" s="5" t="s">
        <v>66</v>
      </c>
      <c r="D16679" s="5">
        <v>1</v>
      </c>
      <c r="E16679" s="5">
        <v>116305</v>
      </c>
    </row>
    <row r="16680" spans="1:5" x14ac:dyDescent="0.35">
      <c r="A16680" s="3">
        <v>46247</v>
      </c>
      <c r="B16680" s="5" t="s">
        <v>364</v>
      </c>
      <c r="C16680" s="5" t="s">
        <v>66</v>
      </c>
      <c r="D16680" s="5">
        <v>1</v>
      </c>
      <c r="E16680" s="5">
        <v>116305</v>
      </c>
    </row>
    <row r="16681" spans="1:5" x14ac:dyDescent="0.35">
      <c r="A16681" s="3">
        <v>46247</v>
      </c>
      <c r="B16681" s="5" t="s">
        <v>364</v>
      </c>
      <c r="C16681" s="5" t="s">
        <v>66</v>
      </c>
      <c r="D16681" s="5">
        <v>1</v>
      </c>
      <c r="E16681" s="5">
        <v>116305</v>
      </c>
    </row>
    <row r="16682" spans="1:5" x14ac:dyDescent="0.35">
      <c r="A16682" s="3">
        <v>46247</v>
      </c>
      <c r="B16682" s="5" t="s">
        <v>364</v>
      </c>
      <c r="C16682" s="5" t="s">
        <v>66</v>
      </c>
      <c r="D16682" s="5">
        <v>1</v>
      </c>
      <c r="E16682" s="5">
        <v>116305</v>
      </c>
    </row>
    <row r="16683" spans="1:5" x14ac:dyDescent="0.35">
      <c r="A16683" s="3">
        <v>46247</v>
      </c>
      <c r="B16683" s="5" t="s">
        <v>364</v>
      </c>
      <c r="C16683" s="5" t="s">
        <v>66</v>
      </c>
      <c r="D16683" s="5">
        <v>1</v>
      </c>
      <c r="E16683" s="5">
        <v>116305</v>
      </c>
    </row>
    <row r="16684" spans="1:5" x14ac:dyDescent="0.35">
      <c r="A16684" s="3">
        <v>46247</v>
      </c>
      <c r="B16684" s="5" t="s">
        <v>364</v>
      </c>
      <c r="C16684" s="5" t="s">
        <v>67</v>
      </c>
      <c r="D16684" s="5">
        <v>1</v>
      </c>
      <c r="E16684" s="5">
        <v>116305</v>
      </c>
    </row>
    <row r="16685" spans="1:5" x14ac:dyDescent="0.35">
      <c r="A16685" s="3">
        <v>46247</v>
      </c>
      <c r="B16685" s="5" t="s">
        <v>364</v>
      </c>
      <c r="C16685" s="5" t="s">
        <v>67</v>
      </c>
      <c r="D16685" s="5">
        <v>1</v>
      </c>
      <c r="E16685" s="5">
        <v>116305</v>
      </c>
    </row>
    <row r="16686" spans="1:5" x14ac:dyDescent="0.35">
      <c r="A16686" s="3">
        <v>46247</v>
      </c>
      <c r="B16686" s="5" t="s">
        <v>364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315</v>
      </c>
      <c r="C16687" s="5" t="s">
        <v>66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237</v>
      </c>
      <c r="C16688" s="5" t="s">
        <v>38</v>
      </c>
      <c r="D16688" s="5">
        <v>1</v>
      </c>
      <c r="E16688" s="5">
        <v>203578</v>
      </c>
    </row>
    <row r="16689" spans="1:5" x14ac:dyDescent="0.35">
      <c r="A16689" s="3">
        <v>46252</v>
      </c>
      <c r="B16689" s="5" t="s">
        <v>354</v>
      </c>
      <c r="C16689" s="5" t="s">
        <v>18</v>
      </c>
      <c r="D16689" s="5">
        <v>1</v>
      </c>
      <c r="E16689" s="5">
        <v>127942</v>
      </c>
    </row>
    <row r="16690" spans="1:5" x14ac:dyDescent="0.35">
      <c r="A16690" s="3">
        <v>46252</v>
      </c>
      <c r="B16690" s="5" t="s">
        <v>355</v>
      </c>
      <c r="C16690" s="5" t="s">
        <v>20</v>
      </c>
      <c r="D16690" s="5">
        <v>1</v>
      </c>
      <c r="E16690" s="5">
        <v>127942</v>
      </c>
    </row>
    <row r="16691" spans="1:5" x14ac:dyDescent="0.35">
      <c r="A16691" s="3">
        <v>46252</v>
      </c>
      <c r="B16691" s="5" t="s">
        <v>244</v>
      </c>
      <c r="C16691" s="5" t="s">
        <v>18</v>
      </c>
      <c r="D16691" s="5">
        <v>1</v>
      </c>
      <c r="E16691" s="5">
        <v>129941</v>
      </c>
    </row>
    <row r="16692" spans="1:5" x14ac:dyDescent="0.35">
      <c r="A16692" s="3">
        <v>46252</v>
      </c>
      <c r="B16692" s="5" t="s">
        <v>373</v>
      </c>
      <c r="C16692" s="5" t="s">
        <v>83</v>
      </c>
      <c r="D16692" s="5">
        <v>1</v>
      </c>
      <c r="E16692" s="5">
        <v>70850</v>
      </c>
    </row>
    <row r="16693" spans="1:5" x14ac:dyDescent="0.35">
      <c r="A16693" s="3">
        <v>46252</v>
      </c>
      <c r="B16693" s="5" t="s">
        <v>244</v>
      </c>
      <c r="C16693" s="5" t="s">
        <v>18</v>
      </c>
      <c r="D16693" s="5">
        <v>1</v>
      </c>
      <c r="E16693" s="5">
        <v>129941</v>
      </c>
    </row>
    <row r="16694" spans="1:5" x14ac:dyDescent="0.35">
      <c r="A16694" s="3">
        <v>46252</v>
      </c>
      <c r="B16694" s="5" t="s">
        <v>315</v>
      </c>
      <c r="C16694" s="5" t="s">
        <v>66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315</v>
      </c>
      <c r="C16695" s="5" t="s">
        <v>66</v>
      </c>
      <c r="D16695" s="5">
        <v>1</v>
      </c>
      <c r="E16695" s="5">
        <v>116305</v>
      </c>
    </row>
    <row r="16696" spans="1:5" x14ac:dyDescent="0.35">
      <c r="A16696" s="3">
        <v>46252</v>
      </c>
      <c r="B16696" s="5" t="s">
        <v>315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315</v>
      </c>
      <c r="C16697" s="5" t="s">
        <v>65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315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315</v>
      </c>
      <c r="C16699" s="5" t="s">
        <v>65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354</v>
      </c>
      <c r="C16700" s="5" t="s">
        <v>18</v>
      </c>
      <c r="D16700" s="5">
        <v>1</v>
      </c>
      <c r="E16700" s="5">
        <v>127942</v>
      </c>
    </row>
    <row r="16701" spans="1:5" x14ac:dyDescent="0.35">
      <c r="A16701" s="3">
        <v>46252</v>
      </c>
      <c r="B16701" s="5" t="s">
        <v>355</v>
      </c>
      <c r="C16701" s="5" t="s">
        <v>20</v>
      </c>
      <c r="D16701" s="5">
        <v>1</v>
      </c>
      <c r="E16701" s="5">
        <v>127942</v>
      </c>
    </row>
    <row r="16702" spans="1:5" x14ac:dyDescent="0.35">
      <c r="A16702" s="3">
        <v>46252</v>
      </c>
      <c r="B16702" s="5" t="s">
        <v>355</v>
      </c>
      <c r="C16702" s="5" t="s">
        <v>18</v>
      </c>
      <c r="D16702" s="5">
        <v>1</v>
      </c>
      <c r="E16702" s="5">
        <v>127942</v>
      </c>
    </row>
    <row r="16703" spans="1:5" x14ac:dyDescent="0.35">
      <c r="A16703" s="3">
        <v>46252</v>
      </c>
      <c r="B16703" s="5" t="s">
        <v>258</v>
      </c>
      <c r="C16703" s="5" t="s">
        <v>19</v>
      </c>
      <c r="D16703" s="5">
        <v>1</v>
      </c>
      <c r="E16703" s="5">
        <v>127942</v>
      </c>
    </row>
    <row r="16704" spans="1:5" x14ac:dyDescent="0.35">
      <c r="A16704" s="3">
        <v>46252</v>
      </c>
      <c r="B16704" s="5" t="s">
        <v>258</v>
      </c>
      <c r="C16704" s="5" t="s">
        <v>19</v>
      </c>
      <c r="D16704" s="5">
        <v>1</v>
      </c>
      <c r="E16704" s="5">
        <v>127942</v>
      </c>
    </row>
    <row r="16705" spans="1:5" x14ac:dyDescent="0.35">
      <c r="A16705" s="3">
        <v>46252</v>
      </c>
      <c r="B16705" s="5" t="s">
        <v>258</v>
      </c>
      <c r="C16705" s="5" t="s">
        <v>19</v>
      </c>
      <c r="D16705" s="5">
        <v>1</v>
      </c>
      <c r="E16705" s="5">
        <v>127942</v>
      </c>
    </row>
    <row r="16706" spans="1:5" x14ac:dyDescent="0.35">
      <c r="A16706" s="3">
        <v>46252</v>
      </c>
      <c r="B16706" s="5" t="s">
        <v>258</v>
      </c>
      <c r="C16706" s="5" t="s">
        <v>19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364</v>
      </c>
      <c r="C16707" s="5" t="s">
        <v>66</v>
      </c>
      <c r="D16707" s="5">
        <v>1</v>
      </c>
      <c r="E16707" s="5">
        <v>116305</v>
      </c>
    </row>
    <row r="16708" spans="1:5" x14ac:dyDescent="0.35">
      <c r="A16708" s="3">
        <v>46252</v>
      </c>
      <c r="B16708" s="5" t="s">
        <v>354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364</v>
      </c>
      <c r="C16709" s="5" t="s">
        <v>66</v>
      </c>
      <c r="D16709" s="5">
        <v>1</v>
      </c>
      <c r="E16709" s="5">
        <v>116305</v>
      </c>
    </row>
    <row r="16710" spans="1:5" x14ac:dyDescent="0.35">
      <c r="A16710" s="3">
        <v>46252</v>
      </c>
      <c r="B16710" s="5" t="s">
        <v>364</v>
      </c>
      <c r="C16710" s="5" t="s">
        <v>67</v>
      </c>
      <c r="D16710" s="5">
        <v>1</v>
      </c>
      <c r="E16710" s="5">
        <v>116305</v>
      </c>
    </row>
    <row r="16711" spans="1:5" x14ac:dyDescent="0.35">
      <c r="A16711" s="3">
        <v>46252</v>
      </c>
      <c r="B16711" s="5" t="s">
        <v>362</v>
      </c>
      <c r="C16711" s="5" t="s">
        <v>65</v>
      </c>
      <c r="D16711" s="5">
        <v>1</v>
      </c>
      <c r="E16711" s="5">
        <v>116305</v>
      </c>
    </row>
    <row r="16712" spans="1:5" x14ac:dyDescent="0.35">
      <c r="A16712" s="3">
        <v>46252</v>
      </c>
      <c r="B16712" s="5" t="s">
        <v>362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373</v>
      </c>
      <c r="C16713" s="5" t="s">
        <v>18</v>
      </c>
      <c r="D16713" s="5">
        <v>1</v>
      </c>
      <c r="E16713" s="5">
        <v>129941</v>
      </c>
    </row>
    <row r="16714" spans="1:5" x14ac:dyDescent="0.35">
      <c r="A16714" s="3">
        <v>46252</v>
      </c>
      <c r="B16714" s="5" t="s">
        <v>244</v>
      </c>
      <c r="C16714" s="5" t="s">
        <v>18</v>
      </c>
      <c r="D16714" s="5">
        <v>1</v>
      </c>
      <c r="E16714" s="5">
        <v>129941</v>
      </c>
    </row>
    <row r="16715" spans="1:5" x14ac:dyDescent="0.35">
      <c r="A16715" s="3">
        <v>46252</v>
      </c>
      <c r="B16715" s="5" t="s">
        <v>315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315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315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315</v>
      </c>
      <c r="C16718" s="5" t="s">
        <v>66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315</v>
      </c>
      <c r="C16719" s="5" t="s">
        <v>66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315</v>
      </c>
      <c r="C16720" s="5" t="s">
        <v>65</v>
      </c>
      <c r="D16720" s="5">
        <v>1</v>
      </c>
      <c r="E16720" s="5">
        <v>116305</v>
      </c>
    </row>
    <row r="16721" spans="1:5" x14ac:dyDescent="0.35">
      <c r="A16721" s="3">
        <v>46252</v>
      </c>
      <c r="B16721" s="5" t="s">
        <v>315</v>
      </c>
      <c r="C16721" s="5" t="s">
        <v>66</v>
      </c>
      <c r="D16721" s="5">
        <v>1</v>
      </c>
      <c r="E16721" s="5">
        <v>116305</v>
      </c>
    </row>
    <row r="16722" spans="1:5" x14ac:dyDescent="0.35">
      <c r="A16722" s="3">
        <v>46252</v>
      </c>
      <c r="B16722" s="5" t="s">
        <v>355</v>
      </c>
      <c r="C16722" s="5" t="s">
        <v>18</v>
      </c>
      <c r="D16722" s="5">
        <v>1</v>
      </c>
      <c r="E16722" s="5">
        <v>127942</v>
      </c>
    </row>
    <row r="16723" spans="1:5" x14ac:dyDescent="0.35">
      <c r="A16723" s="3">
        <v>46252</v>
      </c>
      <c r="B16723" s="5" t="s">
        <v>237</v>
      </c>
      <c r="C16723" s="5" t="s">
        <v>38</v>
      </c>
      <c r="D16723" s="5">
        <v>1</v>
      </c>
      <c r="E16723" s="5">
        <v>203578</v>
      </c>
    </row>
    <row r="16724" spans="1:5" x14ac:dyDescent="0.35">
      <c r="A16724" s="3">
        <v>46252</v>
      </c>
      <c r="B16724" s="5" t="s">
        <v>315</v>
      </c>
      <c r="C16724" s="5" t="s">
        <v>65</v>
      </c>
      <c r="D16724" s="5">
        <v>1</v>
      </c>
      <c r="E16724" s="5">
        <v>116305</v>
      </c>
    </row>
    <row r="16725" spans="1:5" x14ac:dyDescent="0.35">
      <c r="A16725" s="3">
        <v>46252</v>
      </c>
      <c r="B16725" s="5" t="s">
        <v>364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364</v>
      </c>
      <c r="C16726" s="5" t="s">
        <v>66</v>
      </c>
      <c r="D16726" s="5">
        <v>1</v>
      </c>
      <c r="E16726" s="5">
        <v>116305</v>
      </c>
    </row>
    <row r="16727" spans="1:5" x14ac:dyDescent="0.35">
      <c r="A16727" s="3">
        <v>46252</v>
      </c>
      <c r="B16727" s="5" t="s">
        <v>364</v>
      </c>
      <c r="C16727" s="5" t="s">
        <v>66</v>
      </c>
      <c r="D16727" s="5">
        <v>1</v>
      </c>
      <c r="E16727" s="5">
        <v>116305</v>
      </c>
    </row>
    <row r="16728" spans="1:5" x14ac:dyDescent="0.35">
      <c r="A16728" s="3">
        <v>46252</v>
      </c>
      <c r="B16728" s="5" t="s">
        <v>364</v>
      </c>
      <c r="C16728" s="5" t="s">
        <v>66</v>
      </c>
      <c r="D16728" s="5">
        <v>1</v>
      </c>
      <c r="E16728" s="5">
        <v>116305</v>
      </c>
    </row>
    <row r="16729" spans="1:5" x14ac:dyDescent="0.35">
      <c r="A16729" s="3">
        <v>46252</v>
      </c>
      <c r="B16729" s="5" t="s">
        <v>364</v>
      </c>
      <c r="C16729" s="5" t="s">
        <v>65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364</v>
      </c>
      <c r="C16730" s="5" t="s">
        <v>67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364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364</v>
      </c>
      <c r="C16732" s="5" t="s">
        <v>65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364</v>
      </c>
      <c r="C16733" s="5" t="s">
        <v>65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373</v>
      </c>
      <c r="C16734" s="5" t="s">
        <v>82</v>
      </c>
      <c r="D16734" s="5">
        <v>1</v>
      </c>
      <c r="E16734" s="5">
        <v>70850</v>
      </c>
    </row>
    <row r="16735" spans="1:5" x14ac:dyDescent="0.35">
      <c r="A16735" s="3">
        <v>46252</v>
      </c>
      <c r="B16735" s="5" t="s">
        <v>376</v>
      </c>
      <c r="C16735" s="5" t="s">
        <v>50</v>
      </c>
      <c r="D16735" s="5">
        <v>1</v>
      </c>
      <c r="E16735" s="5">
        <v>106305</v>
      </c>
    </row>
    <row r="16736" spans="1:5" x14ac:dyDescent="0.35">
      <c r="A16736" s="3">
        <v>46252</v>
      </c>
      <c r="B16736" s="5" t="s">
        <v>315</v>
      </c>
      <c r="C16736" s="5" t="s">
        <v>66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315</v>
      </c>
      <c r="C16737" s="5" t="s">
        <v>65</v>
      </c>
      <c r="D16737" s="5">
        <v>1</v>
      </c>
      <c r="E16737" s="5">
        <v>116305</v>
      </c>
    </row>
    <row r="16738" spans="1:5" x14ac:dyDescent="0.35">
      <c r="A16738" s="3">
        <v>46252</v>
      </c>
      <c r="B16738" s="5" t="s">
        <v>315</v>
      </c>
      <c r="C16738" s="5" t="s">
        <v>65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315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363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258</v>
      </c>
      <c r="C16741" s="5" t="s">
        <v>19</v>
      </c>
      <c r="D16741" s="5">
        <v>1</v>
      </c>
      <c r="E16741" s="5">
        <v>127942</v>
      </c>
    </row>
    <row r="16742" spans="1:5" x14ac:dyDescent="0.35">
      <c r="A16742" s="3">
        <v>46252</v>
      </c>
      <c r="B16742" s="5" t="s">
        <v>364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364</v>
      </c>
      <c r="C16743" s="5" t="s">
        <v>65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364</v>
      </c>
      <c r="C16744" s="5" t="s">
        <v>66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376</v>
      </c>
      <c r="C16745" s="5" t="s">
        <v>37</v>
      </c>
      <c r="D16745" s="5">
        <v>1</v>
      </c>
      <c r="E16745" s="5">
        <v>118123</v>
      </c>
    </row>
    <row r="16746" spans="1:5" x14ac:dyDescent="0.35">
      <c r="A16746" s="3">
        <v>46252</v>
      </c>
      <c r="B16746" s="5" t="s">
        <v>244</v>
      </c>
      <c r="C16746" s="5" t="s">
        <v>17</v>
      </c>
      <c r="D16746" s="5">
        <v>1</v>
      </c>
      <c r="E16746" s="5">
        <v>236305</v>
      </c>
    </row>
    <row r="16747" spans="1:5" x14ac:dyDescent="0.35">
      <c r="A16747" s="3">
        <v>46252</v>
      </c>
      <c r="B16747" s="5" t="s">
        <v>315</v>
      </c>
      <c r="C16747" s="5" t="s">
        <v>66</v>
      </c>
      <c r="D16747" s="5">
        <v>1</v>
      </c>
      <c r="E16747" s="5">
        <v>116305</v>
      </c>
    </row>
    <row r="16748" spans="1:5" x14ac:dyDescent="0.35">
      <c r="A16748" s="3">
        <v>46252</v>
      </c>
      <c r="B16748" s="5" t="s">
        <v>315</v>
      </c>
      <c r="C16748" s="5" t="s">
        <v>66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315</v>
      </c>
      <c r="C16749" s="5" t="s">
        <v>65</v>
      </c>
      <c r="D16749" s="5">
        <v>1</v>
      </c>
      <c r="E16749" s="5">
        <v>116305</v>
      </c>
    </row>
    <row r="16750" spans="1:5" x14ac:dyDescent="0.35">
      <c r="A16750" s="3">
        <v>46252</v>
      </c>
      <c r="B16750" s="5" t="s">
        <v>315</v>
      </c>
      <c r="C16750" s="5" t="s">
        <v>65</v>
      </c>
      <c r="D16750" s="5">
        <v>1</v>
      </c>
      <c r="E16750" s="5">
        <v>116305</v>
      </c>
    </row>
    <row r="16751" spans="1:5" x14ac:dyDescent="0.35">
      <c r="A16751" s="3">
        <v>46252</v>
      </c>
      <c r="B16751" s="5" t="s">
        <v>315</v>
      </c>
      <c r="C16751" s="5" t="s">
        <v>65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355</v>
      </c>
      <c r="C16752" s="5" t="s">
        <v>20</v>
      </c>
      <c r="D16752" s="5">
        <v>1</v>
      </c>
      <c r="E16752" s="5">
        <v>127942</v>
      </c>
    </row>
    <row r="16753" spans="1:5" x14ac:dyDescent="0.35">
      <c r="A16753" s="3">
        <v>46252</v>
      </c>
      <c r="B16753" s="5" t="s">
        <v>258</v>
      </c>
      <c r="C16753" s="5" t="s">
        <v>19</v>
      </c>
      <c r="D16753" s="5">
        <v>1</v>
      </c>
      <c r="E16753" s="5">
        <v>127942</v>
      </c>
    </row>
    <row r="16754" spans="1:5" x14ac:dyDescent="0.35">
      <c r="A16754" s="3">
        <v>46252</v>
      </c>
      <c r="B16754" s="5" t="s">
        <v>258</v>
      </c>
      <c r="C16754" s="5" t="s">
        <v>19</v>
      </c>
      <c r="D16754" s="5">
        <v>1</v>
      </c>
      <c r="E16754" s="5">
        <v>127942</v>
      </c>
    </row>
    <row r="16755" spans="1:5" x14ac:dyDescent="0.35">
      <c r="A16755" s="3">
        <v>46252</v>
      </c>
      <c r="B16755" s="5" t="s">
        <v>258</v>
      </c>
      <c r="C16755" s="5" t="s">
        <v>18</v>
      </c>
      <c r="D16755" s="5">
        <v>1</v>
      </c>
      <c r="E16755" s="5">
        <v>127942</v>
      </c>
    </row>
    <row r="16756" spans="1:5" x14ac:dyDescent="0.35">
      <c r="A16756" s="3">
        <v>46252</v>
      </c>
      <c r="B16756" s="5" t="s">
        <v>258</v>
      </c>
      <c r="C16756" s="5" t="s">
        <v>18</v>
      </c>
      <c r="D16756" s="5">
        <v>1</v>
      </c>
      <c r="E16756" s="5">
        <v>127942</v>
      </c>
    </row>
    <row r="16757" spans="1:5" x14ac:dyDescent="0.35">
      <c r="A16757" s="3">
        <v>46252</v>
      </c>
      <c r="B16757" s="5" t="s">
        <v>364</v>
      </c>
      <c r="C16757" s="5" t="s">
        <v>66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364</v>
      </c>
      <c r="C16758" s="5" t="s">
        <v>67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364</v>
      </c>
      <c r="C16759" s="5" t="s">
        <v>65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362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315</v>
      </c>
      <c r="C16761" s="5" t="s">
        <v>66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315</v>
      </c>
      <c r="C16762" s="5" t="s">
        <v>66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315</v>
      </c>
      <c r="C16763" s="5" t="s">
        <v>66</v>
      </c>
      <c r="D16763" s="5">
        <v>1</v>
      </c>
      <c r="E16763" s="5">
        <v>116305</v>
      </c>
    </row>
    <row r="16764" spans="1:5" x14ac:dyDescent="0.35">
      <c r="A16764" s="3">
        <v>46252</v>
      </c>
      <c r="B16764" s="5" t="s">
        <v>315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237</v>
      </c>
      <c r="C16765" s="5" t="s">
        <v>38</v>
      </c>
      <c r="D16765" s="5">
        <v>1</v>
      </c>
      <c r="E16765" s="5">
        <v>203578</v>
      </c>
    </row>
    <row r="16766" spans="1:5" x14ac:dyDescent="0.35">
      <c r="A16766" s="3">
        <v>46252</v>
      </c>
      <c r="B16766" s="5" t="s">
        <v>355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363</v>
      </c>
      <c r="C16767" s="5" t="s">
        <v>65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355</v>
      </c>
      <c r="C16768" s="5" t="s">
        <v>19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258</v>
      </c>
      <c r="C16769" s="5" t="s">
        <v>19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364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364</v>
      </c>
      <c r="C16771" s="5" t="s">
        <v>66</v>
      </c>
      <c r="D16771" s="5">
        <v>1</v>
      </c>
      <c r="E16771" s="5">
        <v>116305</v>
      </c>
    </row>
    <row r="16772" spans="1:5" x14ac:dyDescent="0.35">
      <c r="A16772" s="3">
        <v>46252</v>
      </c>
      <c r="B16772" s="5" t="s">
        <v>258</v>
      </c>
      <c r="C16772" s="5" t="s">
        <v>19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258</v>
      </c>
      <c r="C16773" s="5" t="s">
        <v>18</v>
      </c>
      <c r="D16773" s="5">
        <v>1</v>
      </c>
      <c r="E16773" s="5">
        <v>127942</v>
      </c>
    </row>
    <row r="16774" spans="1:5" x14ac:dyDescent="0.35">
      <c r="A16774" s="3">
        <v>46252</v>
      </c>
      <c r="B16774" s="5" t="s">
        <v>364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364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364</v>
      </c>
      <c r="C16776" s="5" t="s">
        <v>67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364</v>
      </c>
      <c r="C16777" s="5" t="s">
        <v>65</v>
      </c>
      <c r="D16777" s="5">
        <v>1</v>
      </c>
      <c r="E16777" s="5">
        <v>116305</v>
      </c>
    </row>
    <row r="16778" spans="1:5" x14ac:dyDescent="0.35">
      <c r="A16778" s="3">
        <v>46252</v>
      </c>
      <c r="B16778" s="5" t="s">
        <v>364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362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364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362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373</v>
      </c>
      <c r="C16782" s="5" t="s">
        <v>38</v>
      </c>
      <c r="D16782" s="5">
        <v>1</v>
      </c>
      <c r="E16782" s="5">
        <v>236305</v>
      </c>
    </row>
    <row r="16783" spans="1:5" x14ac:dyDescent="0.35">
      <c r="A16783" s="3">
        <v>46252</v>
      </c>
      <c r="B16783" s="5" t="s">
        <v>376</v>
      </c>
      <c r="C16783" s="5" t="s">
        <v>18</v>
      </c>
      <c r="D16783" s="5">
        <v>1</v>
      </c>
      <c r="E16783" s="5">
        <v>129941</v>
      </c>
    </row>
    <row r="16784" spans="1:5" x14ac:dyDescent="0.35">
      <c r="A16784" s="3">
        <v>46252</v>
      </c>
      <c r="B16784" s="5" t="s">
        <v>376</v>
      </c>
      <c r="C16784" s="5" t="s">
        <v>36</v>
      </c>
      <c r="D16784" s="5">
        <v>1</v>
      </c>
      <c r="E16784" s="5">
        <v>236305</v>
      </c>
    </row>
    <row r="16785" spans="1:5" x14ac:dyDescent="0.35">
      <c r="A16785" s="3">
        <v>46252</v>
      </c>
      <c r="B16785" s="5" t="s">
        <v>315</v>
      </c>
      <c r="C16785" s="5" t="s">
        <v>66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315</v>
      </c>
      <c r="C16786" s="5" t="s">
        <v>66</v>
      </c>
      <c r="D16786" s="5">
        <v>1</v>
      </c>
      <c r="E16786" s="5">
        <v>116305</v>
      </c>
    </row>
    <row r="16787" spans="1:5" x14ac:dyDescent="0.35">
      <c r="A16787" s="3">
        <v>46252</v>
      </c>
      <c r="B16787" s="5" t="s">
        <v>315</v>
      </c>
      <c r="C16787" s="5" t="s">
        <v>66</v>
      </c>
      <c r="D16787" s="5">
        <v>1</v>
      </c>
      <c r="E16787" s="5">
        <v>116305</v>
      </c>
    </row>
    <row r="16788" spans="1:5" x14ac:dyDescent="0.35">
      <c r="A16788" s="3">
        <v>46252</v>
      </c>
      <c r="B16788" s="5" t="s">
        <v>315</v>
      </c>
      <c r="C16788" s="5" t="s">
        <v>66</v>
      </c>
      <c r="D16788" s="5">
        <v>1</v>
      </c>
      <c r="E16788" s="5">
        <v>116305</v>
      </c>
    </row>
    <row r="16789" spans="1:5" x14ac:dyDescent="0.35">
      <c r="A16789" s="3">
        <v>46252</v>
      </c>
      <c r="B16789" s="5" t="s">
        <v>315</v>
      </c>
      <c r="C16789" s="5" t="s">
        <v>66</v>
      </c>
      <c r="D16789" s="5">
        <v>1</v>
      </c>
      <c r="E16789" s="5">
        <v>116305</v>
      </c>
    </row>
    <row r="16790" spans="1:5" x14ac:dyDescent="0.35">
      <c r="A16790" s="3">
        <v>46252</v>
      </c>
      <c r="B16790" s="5" t="s">
        <v>315</v>
      </c>
      <c r="C16790" s="5" t="s">
        <v>66</v>
      </c>
      <c r="D16790" s="5">
        <v>1</v>
      </c>
      <c r="E16790" s="5">
        <v>116305</v>
      </c>
    </row>
    <row r="16791" spans="1:5" x14ac:dyDescent="0.35">
      <c r="A16791" s="3">
        <v>46252</v>
      </c>
      <c r="B16791" s="5" t="s">
        <v>355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315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315</v>
      </c>
      <c r="C16793" s="5" t="s">
        <v>65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364</v>
      </c>
      <c r="C16794" s="5" t="s">
        <v>65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355</v>
      </c>
      <c r="C16795" s="5" t="s">
        <v>20</v>
      </c>
      <c r="D16795" s="5">
        <v>1</v>
      </c>
      <c r="E16795" s="5">
        <v>127942</v>
      </c>
    </row>
    <row r="16796" spans="1:5" x14ac:dyDescent="0.35">
      <c r="A16796" s="3">
        <v>46252</v>
      </c>
      <c r="B16796" s="5" t="s">
        <v>140</v>
      </c>
      <c r="C16796" s="5" t="s">
        <v>42</v>
      </c>
      <c r="D16796" s="5">
        <v>1</v>
      </c>
      <c r="E16796" s="5">
        <v>203578</v>
      </c>
    </row>
    <row r="16797" spans="1:5" x14ac:dyDescent="0.35">
      <c r="A16797" s="3">
        <v>46252</v>
      </c>
      <c r="B16797" s="5" t="s">
        <v>315</v>
      </c>
      <c r="C16797" s="5" t="s">
        <v>67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355</v>
      </c>
      <c r="C16798" s="5" t="s">
        <v>20</v>
      </c>
      <c r="D16798" s="5">
        <v>1</v>
      </c>
      <c r="E16798" s="5">
        <v>127942</v>
      </c>
    </row>
    <row r="16799" spans="1:5" x14ac:dyDescent="0.35">
      <c r="A16799" s="3">
        <v>46252</v>
      </c>
      <c r="B16799" s="5" t="s">
        <v>355</v>
      </c>
      <c r="C16799" s="5" t="s">
        <v>20</v>
      </c>
      <c r="D16799" s="5">
        <v>1</v>
      </c>
      <c r="E16799" s="5">
        <v>127942</v>
      </c>
    </row>
    <row r="16800" spans="1:5" x14ac:dyDescent="0.35">
      <c r="A16800" s="3">
        <v>46252</v>
      </c>
      <c r="B16800" s="5" t="s">
        <v>258</v>
      </c>
      <c r="C16800" s="5" t="s">
        <v>20</v>
      </c>
      <c r="D16800" s="5">
        <v>1</v>
      </c>
      <c r="E16800" s="5">
        <v>127942</v>
      </c>
    </row>
    <row r="16801" spans="1:5" x14ac:dyDescent="0.35">
      <c r="A16801" s="3">
        <v>46252</v>
      </c>
      <c r="B16801" s="5" t="s">
        <v>364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364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258</v>
      </c>
      <c r="C16803" s="5" t="s">
        <v>20</v>
      </c>
      <c r="D16803" s="5">
        <v>1</v>
      </c>
      <c r="E16803" s="5">
        <v>127942</v>
      </c>
    </row>
    <row r="16804" spans="1:5" x14ac:dyDescent="0.35">
      <c r="A16804" s="3">
        <v>46252</v>
      </c>
      <c r="B16804" s="5" t="s">
        <v>258</v>
      </c>
      <c r="C16804" s="5" t="s">
        <v>18</v>
      </c>
      <c r="D16804" s="5">
        <v>1</v>
      </c>
      <c r="E16804" s="5">
        <v>127942</v>
      </c>
    </row>
    <row r="16805" spans="1:5" x14ac:dyDescent="0.35">
      <c r="A16805" s="3">
        <v>46252</v>
      </c>
      <c r="B16805" s="5" t="s">
        <v>258</v>
      </c>
      <c r="C16805" s="5" t="s">
        <v>18</v>
      </c>
      <c r="D16805" s="5">
        <v>1</v>
      </c>
      <c r="E16805" s="5">
        <v>127942</v>
      </c>
    </row>
    <row r="16806" spans="1:5" x14ac:dyDescent="0.35">
      <c r="A16806" s="3">
        <v>46252</v>
      </c>
      <c r="B16806" s="5" t="s">
        <v>373</v>
      </c>
      <c r="C16806" s="5" t="s">
        <v>25</v>
      </c>
      <c r="D16806" s="5">
        <v>1</v>
      </c>
      <c r="E16806" s="5">
        <v>460318</v>
      </c>
    </row>
    <row r="16807" spans="1:5" x14ac:dyDescent="0.35">
      <c r="A16807" s="3">
        <v>46252</v>
      </c>
      <c r="B16807" s="5" t="s">
        <v>315</v>
      </c>
      <c r="C16807" s="5" t="s">
        <v>66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315</v>
      </c>
      <c r="C16808" s="5" t="s">
        <v>66</v>
      </c>
      <c r="D16808" s="5">
        <v>1</v>
      </c>
      <c r="E16808" s="5">
        <v>116305</v>
      </c>
    </row>
    <row r="16809" spans="1:5" x14ac:dyDescent="0.35">
      <c r="A16809" s="3">
        <v>46252</v>
      </c>
      <c r="B16809" s="5" t="s">
        <v>315</v>
      </c>
      <c r="C16809" s="5" t="s">
        <v>66</v>
      </c>
      <c r="D16809" s="5">
        <v>1</v>
      </c>
      <c r="E16809" s="5">
        <v>116305</v>
      </c>
    </row>
    <row r="16810" spans="1:5" x14ac:dyDescent="0.35">
      <c r="A16810" s="3">
        <v>46252</v>
      </c>
      <c r="B16810" s="5" t="s">
        <v>258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315</v>
      </c>
      <c r="C16811" s="5" t="s">
        <v>66</v>
      </c>
      <c r="D16811" s="5">
        <v>1</v>
      </c>
      <c r="E16811" s="5">
        <v>116305</v>
      </c>
    </row>
    <row r="16812" spans="1:5" x14ac:dyDescent="0.35">
      <c r="A16812" s="3">
        <v>46252</v>
      </c>
      <c r="B16812" s="5" t="s">
        <v>315</v>
      </c>
      <c r="C16812" s="5" t="s">
        <v>67</v>
      </c>
      <c r="D16812" s="5">
        <v>1</v>
      </c>
      <c r="E16812" s="5">
        <v>116305</v>
      </c>
    </row>
    <row r="16813" spans="1:5" x14ac:dyDescent="0.35">
      <c r="A16813" s="3">
        <v>46252</v>
      </c>
      <c r="B16813" s="5" t="s">
        <v>315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355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315</v>
      </c>
      <c r="C16815" s="5" t="s">
        <v>65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355</v>
      </c>
      <c r="C16816" s="5" t="s">
        <v>20</v>
      </c>
      <c r="D16816" s="5">
        <v>1</v>
      </c>
      <c r="E16816" s="5">
        <v>127942</v>
      </c>
    </row>
    <row r="16817" spans="1:5" x14ac:dyDescent="0.35">
      <c r="A16817" s="3">
        <v>46252</v>
      </c>
      <c r="B16817" s="5" t="s">
        <v>315</v>
      </c>
      <c r="C16817" s="5" t="s">
        <v>65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258</v>
      </c>
      <c r="C16818" s="5" t="s">
        <v>20</v>
      </c>
      <c r="D16818" s="5">
        <v>1</v>
      </c>
      <c r="E16818" s="5">
        <v>127942</v>
      </c>
    </row>
    <row r="16819" spans="1:5" x14ac:dyDescent="0.35">
      <c r="A16819" s="3">
        <v>46252</v>
      </c>
      <c r="B16819" s="5" t="s">
        <v>354</v>
      </c>
      <c r="C16819" s="5" t="s">
        <v>18</v>
      </c>
      <c r="D16819" s="5">
        <v>1</v>
      </c>
      <c r="E16819" s="5">
        <v>127942</v>
      </c>
    </row>
    <row r="16820" spans="1:5" x14ac:dyDescent="0.35">
      <c r="A16820" s="3">
        <v>46252</v>
      </c>
      <c r="B16820" s="5" t="s">
        <v>355</v>
      </c>
      <c r="C16820" s="5" t="s">
        <v>19</v>
      </c>
      <c r="D16820" s="5">
        <v>1</v>
      </c>
      <c r="E16820" s="5">
        <v>127942</v>
      </c>
    </row>
    <row r="16821" spans="1:5" x14ac:dyDescent="0.35">
      <c r="A16821" s="3">
        <v>46252</v>
      </c>
      <c r="B16821" s="5" t="s">
        <v>258</v>
      </c>
      <c r="C16821" s="5" t="s">
        <v>20</v>
      </c>
      <c r="D16821" s="5">
        <v>1</v>
      </c>
      <c r="E16821" s="5">
        <v>127942</v>
      </c>
    </row>
    <row r="16822" spans="1:5" x14ac:dyDescent="0.35">
      <c r="A16822" s="3">
        <v>46252</v>
      </c>
      <c r="B16822" s="5" t="s">
        <v>363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258</v>
      </c>
      <c r="C16823" s="5" t="s">
        <v>19</v>
      </c>
      <c r="D16823" s="5">
        <v>1</v>
      </c>
      <c r="E16823" s="5">
        <v>127942</v>
      </c>
    </row>
    <row r="16824" spans="1:5" x14ac:dyDescent="0.35">
      <c r="A16824" s="3">
        <v>46252</v>
      </c>
      <c r="B16824" s="5" t="s">
        <v>364</v>
      </c>
      <c r="C16824" s="5" t="s">
        <v>67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364</v>
      </c>
      <c r="C16825" s="5" t="s">
        <v>66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364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364</v>
      </c>
      <c r="C16827" s="5" t="s">
        <v>66</v>
      </c>
      <c r="D16827" s="5">
        <v>1</v>
      </c>
      <c r="E16827" s="5">
        <v>116305</v>
      </c>
    </row>
    <row r="16828" spans="1:5" x14ac:dyDescent="0.35">
      <c r="A16828" s="3">
        <v>46252</v>
      </c>
      <c r="B16828" s="5" t="s">
        <v>373</v>
      </c>
      <c r="C16828" s="5" t="s">
        <v>28</v>
      </c>
      <c r="D16828" s="5">
        <v>1</v>
      </c>
      <c r="E16828" s="5">
        <v>118123</v>
      </c>
    </row>
    <row r="16829" spans="1:5" x14ac:dyDescent="0.35">
      <c r="A16829" s="3">
        <v>46252</v>
      </c>
      <c r="B16829" s="5" t="s">
        <v>315</v>
      </c>
      <c r="C16829" s="5" t="s">
        <v>66</v>
      </c>
      <c r="D16829" s="5">
        <v>1</v>
      </c>
      <c r="E16829" s="5">
        <v>116305</v>
      </c>
    </row>
    <row r="16830" spans="1:5" x14ac:dyDescent="0.35">
      <c r="A16830" s="3">
        <v>46252</v>
      </c>
      <c r="B16830" s="5" t="s">
        <v>355</v>
      </c>
      <c r="C16830" s="5" t="s">
        <v>19</v>
      </c>
      <c r="D16830" s="5">
        <v>1</v>
      </c>
      <c r="E16830" s="5">
        <v>127942</v>
      </c>
    </row>
    <row r="16831" spans="1:5" x14ac:dyDescent="0.35">
      <c r="A16831" s="3">
        <v>46252</v>
      </c>
      <c r="B16831" s="5" t="s">
        <v>315</v>
      </c>
      <c r="C16831" s="5" t="s">
        <v>66</v>
      </c>
      <c r="D16831" s="5">
        <v>1</v>
      </c>
      <c r="E16831" s="5">
        <v>116305</v>
      </c>
    </row>
    <row r="16832" spans="1:5" x14ac:dyDescent="0.35">
      <c r="A16832" s="3">
        <v>46252</v>
      </c>
      <c r="B16832" s="5" t="s">
        <v>315</v>
      </c>
      <c r="C16832" s="5" t="s">
        <v>66</v>
      </c>
      <c r="D16832" s="5">
        <v>1</v>
      </c>
      <c r="E16832" s="5">
        <v>116305</v>
      </c>
    </row>
    <row r="16833" spans="1:5" x14ac:dyDescent="0.35">
      <c r="A16833" s="3">
        <v>46252</v>
      </c>
      <c r="B16833" s="5" t="s">
        <v>258</v>
      </c>
      <c r="C16833" s="5" t="s">
        <v>19</v>
      </c>
      <c r="D16833" s="5">
        <v>1</v>
      </c>
      <c r="E16833" s="5">
        <v>127942</v>
      </c>
    </row>
    <row r="16834" spans="1:5" x14ac:dyDescent="0.35">
      <c r="A16834" s="3">
        <v>46252</v>
      </c>
      <c r="B16834" s="5" t="s">
        <v>315</v>
      </c>
      <c r="C16834" s="5" t="s">
        <v>66</v>
      </c>
      <c r="D16834" s="5">
        <v>1</v>
      </c>
      <c r="E16834" s="5">
        <v>116305</v>
      </c>
    </row>
    <row r="16835" spans="1:5" x14ac:dyDescent="0.35">
      <c r="A16835" s="3">
        <v>46252</v>
      </c>
      <c r="B16835" s="5" t="s">
        <v>258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315</v>
      </c>
      <c r="C16836" s="5" t="s">
        <v>65</v>
      </c>
      <c r="D16836" s="5">
        <v>1</v>
      </c>
      <c r="E16836" s="5">
        <v>116305</v>
      </c>
    </row>
    <row r="16837" spans="1:5" x14ac:dyDescent="0.35">
      <c r="A16837" s="3">
        <v>46252</v>
      </c>
      <c r="B16837" s="5" t="s">
        <v>315</v>
      </c>
      <c r="C16837" s="5" t="s">
        <v>65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364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364</v>
      </c>
      <c r="C16839" s="5" t="s">
        <v>66</v>
      </c>
      <c r="D16839" s="5">
        <v>1</v>
      </c>
      <c r="E16839" s="5">
        <v>116305</v>
      </c>
    </row>
    <row r="16840" spans="1:5" x14ac:dyDescent="0.35">
      <c r="A16840" s="3">
        <v>46252</v>
      </c>
      <c r="B16840" s="5" t="s">
        <v>315</v>
      </c>
      <c r="C16840" s="5" t="s">
        <v>65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315</v>
      </c>
      <c r="C16841" s="5" t="s">
        <v>67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355</v>
      </c>
      <c r="C16842" s="5" t="s">
        <v>19</v>
      </c>
      <c r="D16842" s="5">
        <v>1</v>
      </c>
      <c r="E16842" s="5">
        <v>127942</v>
      </c>
    </row>
    <row r="16843" spans="1:5" x14ac:dyDescent="0.35">
      <c r="A16843" s="3">
        <v>46252</v>
      </c>
      <c r="B16843" s="5" t="s">
        <v>258</v>
      </c>
      <c r="C16843" s="5" t="s">
        <v>18</v>
      </c>
      <c r="D16843" s="5">
        <v>1</v>
      </c>
      <c r="E16843" s="5">
        <v>127942</v>
      </c>
    </row>
    <row r="16844" spans="1:5" x14ac:dyDescent="0.35">
      <c r="A16844" s="3">
        <v>46252</v>
      </c>
      <c r="B16844" s="5" t="s">
        <v>355</v>
      </c>
      <c r="C16844" s="5" t="s">
        <v>19</v>
      </c>
      <c r="D16844" s="5">
        <v>1</v>
      </c>
      <c r="E16844" s="5">
        <v>127942</v>
      </c>
    </row>
    <row r="16845" spans="1:5" x14ac:dyDescent="0.35">
      <c r="A16845" s="3">
        <v>46252</v>
      </c>
      <c r="B16845" s="5" t="s">
        <v>258</v>
      </c>
      <c r="C16845" s="5" t="s">
        <v>20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364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364</v>
      </c>
      <c r="C16847" s="5" t="s">
        <v>66</v>
      </c>
      <c r="D16847" s="5">
        <v>1</v>
      </c>
      <c r="E16847" s="5">
        <v>116305</v>
      </c>
    </row>
    <row r="16848" spans="1:5" x14ac:dyDescent="0.35">
      <c r="A16848" s="3">
        <v>46252</v>
      </c>
      <c r="B16848" s="5" t="s">
        <v>364</v>
      </c>
      <c r="C16848" s="5" t="s">
        <v>65</v>
      </c>
      <c r="D16848" s="5">
        <v>1</v>
      </c>
      <c r="E16848" s="5">
        <v>116305</v>
      </c>
    </row>
    <row r="16849" spans="1:5" x14ac:dyDescent="0.35">
      <c r="A16849" s="3">
        <v>46252</v>
      </c>
      <c r="B16849" s="5" t="s">
        <v>258</v>
      </c>
      <c r="C16849" s="5" t="s">
        <v>18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364</v>
      </c>
      <c r="C16850" s="5" t="s">
        <v>66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315</v>
      </c>
      <c r="C16851" s="5" t="s">
        <v>66</v>
      </c>
      <c r="D16851" s="5">
        <v>1</v>
      </c>
      <c r="E16851" s="5">
        <v>116305</v>
      </c>
    </row>
    <row r="16852" spans="1:5" x14ac:dyDescent="0.35">
      <c r="A16852" s="3">
        <v>46252</v>
      </c>
      <c r="B16852" s="5" t="s">
        <v>315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315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315</v>
      </c>
      <c r="C16854" s="5" t="s">
        <v>67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315</v>
      </c>
      <c r="C16855" s="5" t="s">
        <v>66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355</v>
      </c>
      <c r="C16856" s="5" t="s">
        <v>18</v>
      </c>
      <c r="D16856" s="5">
        <v>1</v>
      </c>
      <c r="E16856" s="5">
        <v>127942</v>
      </c>
    </row>
    <row r="16857" spans="1:5" x14ac:dyDescent="0.35">
      <c r="A16857" s="3">
        <v>46252</v>
      </c>
      <c r="B16857" s="5" t="s">
        <v>315</v>
      </c>
      <c r="C16857" s="5" t="s">
        <v>67</v>
      </c>
      <c r="D16857" s="5">
        <v>1</v>
      </c>
      <c r="E16857" s="5">
        <v>116305</v>
      </c>
    </row>
    <row r="16858" spans="1:5" x14ac:dyDescent="0.35">
      <c r="A16858" s="3">
        <v>46252</v>
      </c>
      <c r="B16858" s="5" t="s">
        <v>258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258</v>
      </c>
      <c r="C16859" s="5" t="s">
        <v>20</v>
      </c>
      <c r="D16859" s="5">
        <v>1</v>
      </c>
      <c r="E16859" s="5">
        <v>127942</v>
      </c>
    </row>
    <row r="16860" spans="1:5" x14ac:dyDescent="0.35">
      <c r="A16860" s="3">
        <v>46252</v>
      </c>
      <c r="B16860" s="5" t="s">
        <v>258</v>
      </c>
      <c r="C16860" s="5" t="s">
        <v>20</v>
      </c>
      <c r="D16860" s="5">
        <v>1</v>
      </c>
      <c r="E16860" s="5">
        <v>127942</v>
      </c>
    </row>
    <row r="16861" spans="1:5" x14ac:dyDescent="0.35">
      <c r="A16861" s="3">
        <v>46252</v>
      </c>
      <c r="B16861" s="5" t="s">
        <v>258</v>
      </c>
      <c r="C16861" s="5" t="s">
        <v>20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258</v>
      </c>
      <c r="C16862" s="5" t="s">
        <v>18</v>
      </c>
      <c r="D16862" s="5">
        <v>1</v>
      </c>
      <c r="E16862" s="5">
        <v>127942</v>
      </c>
    </row>
    <row r="16863" spans="1:5" x14ac:dyDescent="0.35">
      <c r="A16863" s="3">
        <v>46252</v>
      </c>
      <c r="B16863" s="5" t="s">
        <v>364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364</v>
      </c>
      <c r="C16864" s="5" t="s">
        <v>66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373</v>
      </c>
      <c r="C16865" s="5" t="s">
        <v>23</v>
      </c>
      <c r="D16865" s="5">
        <v>1</v>
      </c>
      <c r="E16865" s="5">
        <v>501682</v>
      </c>
    </row>
    <row r="16866" spans="1:5" x14ac:dyDescent="0.35">
      <c r="A16866" s="3">
        <v>46252</v>
      </c>
      <c r="B16866" s="5" t="s">
        <v>373</v>
      </c>
      <c r="C16866" s="5" t="s">
        <v>106</v>
      </c>
      <c r="D16866" s="5">
        <v>1</v>
      </c>
      <c r="E16866" s="5">
        <v>206759</v>
      </c>
    </row>
    <row r="16867" spans="1:5" x14ac:dyDescent="0.35">
      <c r="A16867" s="3">
        <v>46252</v>
      </c>
      <c r="B16867" s="5" t="s">
        <v>373</v>
      </c>
      <c r="C16867" s="5" t="s">
        <v>108</v>
      </c>
      <c r="D16867" s="5">
        <v>1</v>
      </c>
      <c r="E16867" s="5">
        <v>106305</v>
      </c>
    </row>
    <row r="16868" spans="1:5" x14ac:dyDescent="0.35">
      <c r="A16868" s="3">
        <v>46252</v>
      </c>
      <c r="B16868" s="5" t="s">
        <v>315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315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315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315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315</v>
      </c>
      <c r="C16872" s="5" t="s">
        <v>66</v>
      </c>
      <c r="D16872" s="5">
        <v>1</v>
      </c>
      <c r="E16872" s="5">
        <v>116305</v>
      </c>
    </row>
    <row r="16873" spans="1:5" x14ac:dyDescent="0.35">
      <c r="A16873" s="3">
        <v>46252</v>
      </c>
      <c r="B16873" s="5" t="s">
        <v>315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355</v>
      </c>
      <c r="C16874" s="5" t="s">
        <v>19</v>
      </c>
      <c r="D16874" s="5">
        <v>1</v>
      </c>
      <c r="E16874" s="5">
        <v>127942</v>
      </c>
    </row>
    <row r="16875" spans="1:5" x14ac:dyDescent="0.35">
      <c r="A16875" s="3">
        <v>46252</v>
      </c>
      <c r="B16875" s="5" t="s">
        <v>355</v>
      </c>
      <c r="C16875" s="5" t="s">
        <v>20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258</v>
      </c>
      <c r="C16876" s="5" t="s">
        <v>18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258</v>
      </c>
      <c r="C16877" s="5" t="s">
        <v>18</v>
      </c>
      <c r="D16877" s="5">
        <v>1</v>
      </c>
      <c r="E16877" s="5">
        <v>127942</v>
      </c>
    </row>
    <row r="16878" spans="1:5" x14ac:dyDescent="0.35">
      <c r="A16878" s="3">
        <v>46252</v>
      </c>
      <c r="B16878" s="5" t="s">
        <v>258</v>
      </c>
      <c r="C16878" s="5" t="s">
        <v>20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244</v>
      </c>
      <c r="C16879" s="5" t="s">
        <v>28</v>
      </c>
      <c r="D16879" s="5">
        <v>1</v>
      </c>
      <c r="E16879" s="5">
        <v>118123</v>
      </c>
    </row>
    <row r="16880" spans="1:5" x14ac:dyDescent="0.35">
      <c r="A16880" s="3">
        <v>46252</v>
      </c>
      <c r="B16880" s="5" t="s">
        <v>315</v>
      </c>
      <c r="C16880" s="5" t="s">
        <v>66</v>
      </c>
      <c r="D16880" s="5">
        <v>1</v>
      </c>
      <c r="E16880" s="5">
        <v>116305</v>
      </c>
    </row>
    <row r="16881" spans="1:5" x14ac:dyDescent="0.35">
      <c r="A16881" s="3">
        <v>46252</v>
      </c>
      <c r="B16881" s="5" t="s">
        <v>315</v>
      </c>
      <c r="C16881" s="5" t="s">
        <v>66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315</v>
      </c>
      <c r="C16882" s="5" t="s">
        <v>66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315</v>
      </c>
      <c r="C16883" s="5" t="s">
        <v>66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315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315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315</v>
      </c>
      <c r="C16886" s="5" t="s">
        <v>67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315</v>
      </c>
      <c r="C16887" s="5" t="s">
        <v>65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315</v>
      </c>
      <c r="C16888" s="5" t="s">
        <v>65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355</v>
      </c>
      <c r="C16889" s="5" t="s">
        <v>20</v>
      </c>
      <c r="D16889" s="5">
        <v>1</v>
      </c>
      <c r="E16889" s="5">
        <v>127942</v>
      </c>
    </row>
    <row r="16890" spans="1:5" x14ac:dyDescent="0.35">
      <c r="A16890" s="3">
        <v>46252</v>
      </c>
      <c r="B16890" s="5" t="s">
        <v>355</v>
      </c>
      <c r="C16890" s="5" t="s">
        <v>19</v>
      </c>
      <c r="D16890" s="5">
        <v>1</v>
      </c>
      <c r="E16890" s="5">
        <v>127942</v>
      </c>
    </row>
    <row r="16891" spans="1:5" x14ac:dyDescent="0.35">
      <c r="A16891" s="3">
        <v>46252</v>
      </c>
      <c r="B16891" s="5" t="s">
        <v>258</v>
      </c>
      <c r="C16891" s="5" t="s">
        <v>20</v>
      </c>
      <c r="D16891" s="5">
        <v>1</v>
      </c>
      <c r="E16891" s="5">
        <v>127942</v>
      </c>
    </row>
    <row r="16892" spans="1:5" x14ac:dyDescent="0.35">
      <c r="A16892" s="3">
        <v>46252</v>
      </c>
      <c r="B16892" s="5" t="s">
        <v>364</v>
      </c>
      <c r="C16892" s="5" t="s">
        <v>66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364</v>
      </c>
      <c r="C16893" s="5" t="s">
        <v>66</v>
      </c>
      <c r="D16893" s="5">
        <v>1</v>
      </c>
      <c r="E16893" s="5">
        <v>116305</v>
      </c>
    </row>
    <row r="16894" spans="1:5" x14ac:dyDescent="0.35">
      <c r="A16894" s="3">
        <v>46252</v>
      </c>
      <c r="B16894" s="5" t="s">
        <v>258</v>
      </c>
      <c r="C16894" s="5" t="s">
        <v>20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364</v>
      </c>
      <c r="C16895" s="5" t="s">
        <v>66</v>
      </c>
      <c r="D16895" s="5">
        <v>1</v>
      </c>
      <c r="E16895" s="5">
        <v>116305</v>
      </c>
    </row>
    <row r="16896" spans="1:5" x14ac:dyDescent="0.35">
      <c r="A16896" s="3">
        <v>46252</v>
      </c>
      <c r="B16896" s="5" t="s">
        <v>258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258</v>
      </c>
      <c r="C16897" s="5" t="s">
        <v>18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362</v>
      </c>
      <c r="C16898" s="5" t="s">
        <v>66</v>
      </c>
      <c r="D16898" s="5">
        <v>1</v>
      </c>
      <c r="E16898" s="5">
        <v>116305</v>
      </c>
    </row>
    <row r="16899" spans="1:5" x14ac:dyDescent="0.35">
      <c r="A16899" s="3">
        <v>46252</v>
      </c>
      <c r="B16899" s="5" t="s">
        <v>373</v>
      </c>
      <c r="C16899" s="5" t="s">
        <v>18</v>
      </c>
      <c r="D16899" s="5">
        <v>1</v>
      </c>
      <c r="E16899" s="5">
        <v>129941</v>
      </c>
    </row>
    <row r="16900" spans="1:5" x14ac:dyDescent="0.35">
      <c r="A16900" s="3">
        <v>46252</v>
      </c>
      <c r="B16900" s="5" t="s">
        <v>376</v>
      </c>
      <c r="C16900" s="5" t="s">
        <v>18</v>
      </c>
      <c r="D16900" s="5">
        <v>1</v>
      </c>
      <c r="E16900" s="5">
        <v>129941</v>
      </c>
    </row>
    <row r="16901" spans="1:5" x14ac:dyDescent="0.35">
      <c r="A16901" s="3">
        <v>46252</v>
      </c>
      <c r="B16901" s="5" t="s">
        <v>376</v>
      </c>
      <c r="C16901" s="5" t="s">
        <v>27</v>
      </c>
      <c r="D16901" s="5">
        <v>1</v>
      </c>
      <c r="E16901" s="5">
        <v>177214</v>
      </c>
    </row>
    <row r="16902" spans="1:5" x14ac:dyDescent="0.35">
      <c r="A16902" s="3">
        <v>46252</v>
      </c>
      <c r="B16902" s="5" t="s">
        <v>315</v>
      </c>
      <c r="C16902" s="5" t="s">
        <v>66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315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315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315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355</v>
      </c>
      <c r="C16906" s="5" t="s">
        <v>20</v>
      </c>
      <c r="D16906" s="5">
        <v>1</v>
      </c>
      <c r="E16906" s="5">
        <v>127942</v>
      </c>
    </row>
    <row r="16907" spans="1:5" x14ac:dyDescent="0.35">
      <c r="A16907" s="3">
        <v>46252</v>
      </c>
      <c r="B16907" s="5" t="s">
        <v>315</v>
      </c>
      <c r="C16907" s="5" t="s">
        <v>67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315</v>
      </c>
      <c r="C16908" s="5" t="s">
        <v>67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355</v>
      </c>
      <c r="C16909" s="5" t="s">
        <v>20</v>
      </c>
      <c r="D16909" s="5">
        <v>1</v>
      </c>
      <c r="E16909" s="5">
        <v>127942</v>
      </c>
    </row>
    <row r="16910" spans="1:5" x14ac:dyDescent="0.35">
      <c r="A16910" s="3">
        <v>46252</v>
      </c>
      <c r="B16910" s="5" t="s">
        <v>355</v>
      </c>
      <c r="C16910" s="5" t="s">
        <v>20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258</v>
      </c>
      <c r="C16911" s="5" t="s">
        <v>20</v>
      </c>
      <c r="D16911" s="5">
        <v>1</v>
      </c>
      <c r="E16911" s="5">
        <v>127942</v>
      </c>
    </row>
    <row r="16912" spans="1:5" x14ac:dyDescent="0.35">
      <c r="A16912" s="3">
        <v>46252</v>
      </c>
      <c r="B16912" s="5" t="s">
        <v>355</v>
      </c>
      <c r="C16912" s="5" t="s">
        <v>20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354</v>
      </c>
      <c r="C16913" s="5" t="s">
        <v>18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364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258</v>
      </c>
      <c r="C16915" s="5" t="s">
        <v>19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364</v>
      </c>
      <c r="C16916" s="5" t="s">
        <v>67</v>
      </c>
      <c r="D16916" s="5">
        <v>1</v>
      </c>
      <c r="E16916" s="5">
        <v>116305</v>
      </c>
    </row>
    <row r="16917" spans="1:5" x14ac:dyDescent="0.35">
      <c r="A16917" s="3">
        <v>46252</v>
      </c>
      <c r="B16917" s="5" t="s">
        <v>364</v>
      </c>
      <c r="C16917" s="5" t="s">
        <v>66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258</v>
      </c>
      <c r="C16918" s="5" t="s">
        <v>19</v>
      </c>
      <c r="D16918" s="5">
        <v>1</v>
      </c>
      <c r="E16918" s="5">
        <v>127942</v>
      </c>
    </row>
    <row r="16919" spans="1:5" x14ac:dyDescent="0.35">
      <c r="A16919" s="3">
        <v>46252</v>
      </c>
      <c r="B16919" s="5" t="s">
        <v>364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258</v>
      </c>
      <c r="C16920" s="5" t="s">
        <v>18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373</v>
      </c>
      <c r="C16921" s="5" t="s">
        <v>18</v>
      </c>
      <c r="D16921" s="5">
        <v>1</v>
      </c>
      <c r="E16921" s="5">
        <v>129941</v>
      </c>
    </row>
    <row r="16922" spans="1:5" x14ac:dyDescent="0.35">
      <c r="A16922" s="3">
        <v>46252</v>
      </c>
      <c r="B16922" s="5" t="s">
        <v>315</v>
      </c>
      <c r="C16922" s="5" t="s">
        <v>66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237</v>
      </c>
      <c r="C16923" s="5" t="s">
        <v>38</v>
      </c>
      <c r="D16923" s="5">
        <v>1</v>
      </c>
      <c r="E16923" s="5">
        <v>203578</v>
      </c>
    </row>
    <row r="16924" spans="1:5" x14ac:dyDescent="0.35">
      <c r="A16924" s="3">
        <v>46252</v>
      </c>
      <c r="B16924" s="5" t="s">
        <v>315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315</v>
      </c>
      <c r="C16925" s="5" t="s">
        <v>65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315</v>
      </c>
      <c r="C16926" s="5" t="s">
        <v>66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315</v>
      </c>
      <c r="C16927" s="5" t="s">
        <v>65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237</v>
      </c>
      <c r="C16928" s="5" t="s">
        <v>38</v>
      </c>
      <c r="D16928" s="5">
        <v>1</v>
      </c>
      <c r="E16928" s="5">
        <v>203578</v>
      </c>
    </row>
    <row r="16929" spans="1:5" x14ac:dyDescent="0.35">
      <c r="A16929" s="3">
        <v>46252</v>
      </c>
      <c r="B16929" s="5" t="s">
        <v>354</v>
      </c>
      <c r="C16929" s="5" t="s">
        <v>19</v>
      </c>
      <c r="D16929" s="5">
        <v>1</v>
      </c>
      <c r="E16929" s="5">
        <v>127942</v>
      </c>
    </row>
    <row r="16930" spans="1:5" x14ac:dyDescent="0.35">
      <c r="A16930" s="3">
        <v>46252</v>
      </c>
      <c r="B16930" s="5" t="s">
        <v>354</v>
      </c>
      <c r="C16930" s="5" t="s">
        <v>18</v>
      </c>
      <c r="D16930" s="5">
        <v>1</v>
      </c>
      <c r="E16930" s="5">
        <v>127942</v>
      </c>
    </row>
    <row r="16931" spans="1:5" x14ac:dyDescent="0.35">
      <c r="A16931" s="3">
        <v>46252</v>
      </c>
      <c r="B16931" s="5" t="s">
        <v>354</v>
      </c>
      <c r="C16931" s="5" t="s">
        <v>20</v>
      </c>
      <c r="D16931" s="5">
        <v>1</v>
      </c>
      <c r="E16931" s="5">
        <v>127942</v>
      </c>
    </row>
    <row r="16932" spans="1:5" x14ac:dyDescent="0.35">
      <c r="A16932" s="3">
        <v>46252</v>
      </c>
      <c r="B16932" s="5" t="s">
        <v>354</v>
      </c>
      <c r="C16932" s="5" t="s">
        <v>18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121</v>
      </c>
      <c r="C16933" s="5" t="s">
        <v>42</v>
      </c>
      <c r="D16933" s="5">
        <v>1</v>
      </c>
      <c r="E16933" s="5">
        <v>203578</v>
      </c>
    </row>
    <row r="16934" spans="1:5" x14ac:dyDescent="0.35">
      <c r="A16934" s="3">
        <v>46252</v>
      </c>
      <c r="B16934" s="5" t="s">
        <v>258</v>
      </c>
      <c r="C16934" s="5" t="s">
        <v>18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364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364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364</v>
      </c>
      <c r="C16937" s="5" t="s">
        <v>67</v>
      </c>
      <c r="D16937" s="5">
        <v>1</v>
      </c>
      <c r="E16937" s="5">
        <v>116305</v>
      </c>
    </row>
    <row r="16938" spans="1:5" x14ac:dyDescent="0.35">
      <c r="A16938" s="3">
        <v>46252</v>
      </c>
      <c r="B16938" s="5" t="s">
        <v>364</v>
      </c>
      <c r="C16938" s="5" t="s">
        <v>67</v>
      </c>
      <c r="D16938" s="5">
        <v>1</v>
      </c>
      <c r="E16938" s="5">
        <v>116305</v>
      </c>
    </row>
    <row r="16939" spans="1:5" x14ac:dyDescent="0.35">
      <c r="A16939" s="3">
        <v>46252</v>
      </c>
      <c r="B16939" s="5" t="s">
        <v>364</v>
      </c>
      <c r="C16939" s="5" t="s">
        <v>66</v>
      </c>
      <c r="D16939" s="5">
        <v>1</v>
      </c>
      <c r="E16939" s="5">
        <v>116305</v>
      </c>
    </row>
    <row r="16940" spans="1:5" x14ac:dyDescent="0.35">
      <c r="A16940" s="3">
        <v>46252</v>
      </c>
      <c r="B16940" s="5" t="s">
        <v>364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362</v>
      </c>
      <c r="C16941" s="5" t="s">
        <v>67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362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362</v>
      </c>
      <c r="C16943" s="5" t="s">
        <v>66</v>
      </c>
      <c r="D16943" s="5">
        <v>1</v>
      </c>
      <c r="E16943" s="5">
        <v>116305</v>
      </c>
    </row>
    <row r="16944" spans="1:5" x14ac:dyDescent="0.35">
      <c r="A16944" s="3">
        <v>46252</v>
      </c>
      <c r="B16944" s="5" t="s">
        <v>362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373</v>
      </c>
      <c r="C16945" s="5" t="s">
        <v>25</v>
      </c>
      <c r="D16945" s="5">
        <v>1</v>
      </c>
      <c r="E16945" s="5">
        <v>460318</v>
      </c>
    </row>
    <row r="16946" spans="1:5" x14ac:dyDescent="0.35">
      <c r="A16946" s="3">
        <v>46252</v>
      </c>
      <c r="B16946" s="5" t="s">
        <v>244</v>
      </c>
      <c r="C16946" s="5" t="s">
        <v>39</v>
      </c>
      <c r="D16946" s="5">
        <v>1</v>
      </c>
      <c r="E16946" s="5">
        <v>118123</v>
      </c>
    </row>
    <row r="16947" spans="1:5" x14ac:dyDescent="0.35">
      <c r="A16947" s="3">
        <v>46252</v>
      </c>
      <c r="B16947" s="5" t="s">
        <v>315</v>
      </c>
      <c r="C16947" s="5" t="s">
        <v>66</v>
      </c>
      <c r="D16947" s="5">
        <v>1</v>
      </c>
      <c r="E16947" s="5">
        <v>116305</v>
      </c>
    </row>
    <row r="16948" spans="1:5" x14ac:dyDescent="0.35">
      <c r="A16948" s="3">
        <v>46252</v>
      </c>
      <c r="B16948" s="5" t="s">
        <v>315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315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315</v>
      </c>
      <c r="C16950" s="5" t="s">
        <v>66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315</v>
      </c>
      <c r="C16951" s="5" t="s">
        <v>66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315</v>
      </c>
      <c r="C16952" s="5" t="s">
        <v>66</v>
      </c>
      <c r="D16952" s="5">
        <v>1</v>
      </c>
      <c r="E16952" s="5">
        <v>116305</v>
      </c>
    </row>
    <row r="16953" spans="1:5" x14ac:dyDescent="0.35">
      <c r="A16953" s="3">
        <v>46252</v>
      </c>
      <c r="B16953" s="5" t="s">
        <v>315</v>
      </c>
      <c r="C16953" s="5" t="s">
        <v>66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315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315</v>
      </c>
      <c r="C16955" s="5" t="s">
        <v>65</v>
      </c>
      <c r="D16955" s="5">
        <v>1</v>
      </c>
      <c r="E16955" s="5">
        <v>116305</v>
      </c>
    </row>
    <row r="16956" spans="1:5" x14ac:dyDescent="0.35">
      <c r="A16956" s="3">
        <v>46252</v>
      </c>
      <c r="B16956" s="5" t="s">
        <v>315</v>
      </c>
      <c r="C16956" s="5" t="s">
        <v>66</v>
      </c>
      <c r="D16956" s="5">
        <v>1</v>
      </c>
      <c r="E16956" s="5">
        <v>116305</v>
      </c>
    </row>
    <row r="16957" spans="1:5" x14ac:dyDescent="0.35">
      <c r="A16957" s="3">
        <v>46252</v>
      </c>
      <c r="B16957" s="5" t="s">
        <v>258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258</v>
      </c>
      <c r="C16958" s="5" t="s">
        <v>19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355</v>
      </c>
      <c r="C16959" s="5" t="s">
        <v>19</v>
      </c>
      <c r="D16959" s="5">
        <v>1</v>
      </c>
      <c r="E16959" s="5">
        <v>127942</v>
      </c>
    </row>
    <row r="16960" spans="1:5" x14ac:dyDescent="0.35">
      <c r="A16960" s="3">
        <v>46252</v>
      </c>
      <c r="B16960" s="5" t="s">
        <v>258</v>
      </c>
      <c r="C16960" s="5" t="s">
        <v>19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258</v>
      </c>
      <c r="C16961" s="5" t="s">
        <v>20</v>
      </c>
      <c r="D16961" s="5">
        <v>1</v>
      </c>
      <c r="E16961" s="5">
        <v>127942</v>
      </c>
    </row>
    <row r="16962" spans="1:5" x14ac:dyDescent="0.35">
      <c r="A16962" s="3">
        <v>46252</v>
      </c>
      <c r="B16962" s="5" t="s">
        <v>258</v>
      </c>
      <c r="C16962" s="5" t="s">
        <v>19</v>
      </c>
      <c r="D16962" s="5">
        <v>1</v>
      </c>
      <c r="E16962" s="5">
        <v>127942</v>
      </c>
    </row>
    <row r="16963" spans="1:5" x14ac:dyDescent="0.35">
      <c r="A16963" s="3">
        <v>46252</v>
      </c>
      <c r="B16963" s="5" t="s">
        <v>364</v>
      </c>
      <c r="C16963" s="5" t="s">
        <v>66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364</v>
      </c>
      <c r="C16964" s="5" t="s">
        <v>65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362</v>
      </c>
      <c r="C16965" s="5" t="s">
        <v>65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373</v>
      </c>
      <c r="C16966" s="5" t="s">
        <v>18</v>
      </c>
      <c r="D16966" s="5">
        <v>1</v>
      </c>
      <c r="E16966" s="5">
        <v>129941</v>
      </c>
    </row>
    <row r="16967" spans="1:5" x14ac:dyDescent="0.35">
      <c r="A16967" s="3">
        <v>46252</v>
      </c>
      <c r="B16967" s="5" t="s">
        <v>373</v>
      </c>
      <c r="C16967" s="5" t="s">
        <v>28</v>
      </c>
      <c r="D16967" s="5">
        <v>1</v>
      </c>
      <c r="E16967" s="5">
        <v>118123</v>
      </c>
    </row>
    <row r="16968" spans="1:5" x14ac:dyDescent="0.35">
      <c r="A16968" s="3">
        <v>46252</v>
      </c>
      <c r="B16968" s="5" t="s">
        <v>376</v>
      </c>
      <c r="C16968" s="5" t="s">
        <v>18</v>
      </c>
      <c r="D16968" s="5">
        <v>1</v>
      </c>
      <c r="E16968" s="5">
        <v>129941</v>
      </c>
    </row>
    <row r="16969" spans="1:5" x14ac:dyDescent="0.35">
      <c r="A16969" s="3">
        <v>46252</v>
      </c>
      <c r="B16969" s="5" t="s">
        <v>376</v>
      </c>
      <c r="C16969" s="5" t="s">
        <v>18</v>
      </c>
      <c r="D16969" s="5">
        <v>1</v>
      </c>
      <c r="E16969" s="5">
        <v>129941</v>
      </c>
    </row>
    <row r="16970" spans="1:5" x14ac:dyDescent="0.35">
      <c r="A16970" s="3">
        <v>46252</v>
      </c>
      <c r="B16970" s="5" t="s">
        <v>315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315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315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315</v>
      </c>
      <c r="C16973" s="5" t="s">
        <v>65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315</v>
      </c>
      <c r="C16974" s="5" t="s">
        <v>65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258</v>
      </c>
      <c r="C16975" s="5" t="s">
        <v>19</v>
      </c>
      <c r="D16975" s="5">
        <v>1</v>
      </c>
      <c r="E16975" s="5">
        <v>127942</v>
      </c>
    </row>
    <row r="16976" spans="1:5" x14ac:dyDescent="0.35">
      <c r="A16976" s="3">
        <v>46252</v>
      </c>
      <c r="B16976" s="5" t="s">
        <v>258</v>
      </c>
      <c r="C16976" s="5" t="s">
        <v>18</v>
      </c>
      <c r="D16976" s="5">
        <v>1</v>
      </c>
      <c r="E16976" s="5">
        <v>127942</v>
      </c>
    </row>
    <row r="16977" spans="1:5" x14ac:dyDescent="0.35">
      <c r="A16977" s="3">
        <v>46252</v>
      </c>
      <c r="B16977" s="5" t="s">
        <v>315</v>
      </c>
      <c r="C16977" s="5" t="s">
        <v>67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355</v>
      </c>
      <c r="C16978" s="5" t="s">
        <v>20</v>
      </c>
      <c r="D16978" s="5">
        <v>1</v>
      </c>
      <c r="E16978" s="5">
        <v>127942</v>
      </c>
    </row>
    <row r="16979" spans="1:5" x14ac:dyDescent="0.35">
      <c r="A16979" s="3">
        <v>46252</v>
      </c>
      <c r="B16979" s="5" t="s">
        <v>258</v>
      </c>
      <c r="C16979" s="5" t="s">
        <v>20</v>
      </c>
      <c r="D16979" s="5">
        <v>1</v>
      </c>
      <c r="E16979" s="5">
        <v>127942</v>
      </c>
    </row>
    <row r="16980" spans="1:5" x14ac:dyDescent="0.35">
      <c r="A16980" s="3">
        <v>46252</v>
      </c>
      <c r="B16980" s="5" t="s">
        <v>364</v>
      </c>
      <c r="C16980" s="5" t="s">
        <v>66</v>
      </c>
      <c r="D16980" s="5">
        <v>1</v>
      </c>
      <c r="E16980" s="5">
        <v>116305</v>
      </c>
    </row>
    <row r="16981" spans="1:5" x14ac:dyDescent="0.35">
      <c r="A16981" s="3">
        <v>46252</v>
      </c>
      <c r="B16981" s="5" t="s">
        <v>258</v>
      </c>
      <c r="C16981" s="5" t="s">
        <v>20</v>
      </c>
      <c r="D16981" s="5">
        <v>1</v>
      </c>
      <c r="E16981" s="5">
        <v>127942</v>
      </c>
    </row>
    <row r="16982" spans="1:5" x14ac:dyDescent="0.35">
      <c r="A16982" s="3">
        <v>46252</v>
      </c>
      <c r="B16982" s="5" t="s">
        <v>258</v>
      </c>
      <c r="C16982" s="5" t="s">
        <v>19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258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364</v>
      </c>
      <c r="C16984" s="5" t="s">
        <v>66</v>
      </c>
      <c r="D16984" s="5">
        <v>1</v>
      </c>
      <c r="E16984" s="5">
        <v>116305</v>
      </c>
    </row>
    <row r="16985" spans="1:5" x14ac:dyDescent="0.35">
      <c r="A16985" s="3">
        <v>46252</v>
      </c>
      <c r="B16985" s="5" t="s">
        <v>364</v>
      </c>
      <c r="C16985" s="5" t="s">
        <v>66</v>
      </c>
      <c r="D16985" s="5">
        <v>1</v>
      </c>
      <c r="E16985" s="5">
        <v>116305</v>
      </c>
    </row>
    <row r="16986" spans="1:5" x14ac:dyDescent="0.35">
      <c r="A16986" s="3">
        <v>46252</v>
      </c>
      <c r="B16986" s="5" t="s">
        <v>364</v>
      </c>
      <c r="C16986" s="5" t="s">
        <v>66</v>
      </c>
      <c r="D16986" s="5">
        <v>1</v>
      </c>
      <c r="E16986" s="5">
        <v>116305</v>
      </c>
    </row>
    <row r="16987" spans="1:5" x14ac:dyDescent="0.35">
      <c r="A16987" s="3">
        <v>46252</v>
      </c>
      <c r="B16987" s="5" t="s">
        <v>364</v>
      </c>
      <c r="C16987" s="5" t="s">
        <v>66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315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315</v>
      </c>
      <c r="C16989" s="5" t="s">
        <v>65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315</v>
      </c>
      <c r="C16990" s="5" t="s">
        <v>66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364</v>
      </c>
      <c r="C16991" s="5" t="s">
        <v>67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244</v>
      </c>
      <c r="C16992" s="5" t="s">
        <v>18</v>
      </c>
      <c r="D16992" s="5">
        <v>1</v>
      </c>
      <c r="E16992" s="5">
        <v>129941</v>
      </c>
    </row>
    <row r="16993" spans="1:5" x14ac:dyDescent="0.35">
      <c r="A16993" s="3">
        <v>46252</v>
      </c>
      <c r="B16993" s="5" t="s">
        <v>315</v>
      </c>
      <c r="C16993" s="5" t="s">
        <v>66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315</v>
      </c>
      <c r="C16994" s="5" t="s">
        <v>66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315</v>
      </c>
      <c r="C16995" s="5" t="s">
        <v>66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315</v>
      </c>
      <c r="C16996" s="5" t="s">
        <v>66</v>
      </c>
      <c r="D16996" s="5">
        <v>1</v>
      </c>
      <c r="E16996" s="5">
        <v>116305</v>
      </c>
    </row>
    <row r="16997" spans="1:5" x14ac:dyDescent="0.35">
      <c r="A16997" s="3">
        <v>46252</v>
      </c>
      <c r="B16997" s="5" t="s">
        <v>315</v>
      </c>
      <c r="C16997" s="5" t="s">
        <v>65</v>
      </c>
      <c r="D16997" s="5">
        <v>1</v>
      </c>
      <c r="E16997" s="5">
        <v>116305</v>
      </c>
    </row>
    <row r="16998" spans="1:5" x14ac:dyDescent="0.35">
      <c r="A16998" s="3">
        <v>46252</v>
      </c>
      <c r="B16998" s="5" t="s">
        <v>315</v>
      </c>
      <c r="C16998" s="5" t="s">
        <v>66</v>
      </c>
      <c r="D16998" s="5">
        <v>1</v>
      </c>
      <c r="E16998" s="5">
        <v>116305</v>
      </c>
    </row>
    <row r="16999" spans="1:5" x14ac:dyDescent="0.35">
      <c r="A16999" s="3">
        <v>46252</v>
      </c>
      <c r="B16999" s="5" t="s">
        <v>315</v>
      </c>
      <c r="C16999" s="5" t="s">
        <v>65</v>
      </c>
      <c r="D16999" s="5">
        <v>1</v>
      </c>
      <c r="E16999" s="5">
        <v>116305</v>
      </c>
    </row>
    <row r="17000" spans="1:5" x14ac:dyDescent="0.35">
      <c r="A17000" s="3">
        <v>46252</v>
      </c>
      <c r="B17000" s="5" t="s">
        <v>355</v>
      </c>
      <c r="C17000" s="5" t="s">
        <v>19</v>
      </c>
      <c r="D17000" s="5">
        <v>1</v>
      </c>
      <c r="E17000" s="5">
        <v>127942</v>
      </c>
    </row>
    <row r="17001" spans="1:5" x14ac:dyDescent="0.35">
      <c r="A17001" s="3">
        <v>46252</v>
      </c>
      <c r="B17001" s="5" t="s">
        <v>355</v>
      </c>
      <c r="C17001" s="5" t="s">
        <v>20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355</v>
      </c>
      <c r="C17002" s="5" t="s">
        <v>20</v>
      </c>
      <c r="D17002" s="5">
        <v>1</v>
      </c>
      <c r="E17002" s="5">
        <v>127942</v>
      </c>
    </row>
    <row r="17003" spans="1:5" x14ac:dyDescent="0.35">
      <c r="A17003" s="3">
        <v>46252</v>
      </c>
      <c r="B17003" s="5" t="s">
        <v>315</v>
      </c>
      <c r="C17003" s="5" t="s">
        <v>67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258</v>
      </c>
      <c r="C17004" s="5" t="s">
        <v>20</v>
      </c>
      <c r="D17004" s="5">
        <v>1</v>
      </c>
      <c r="E17004" s="5">
        <v>127942</v>
      </c>
    </row>
    <row r="17005" spans="1:5" x14ac:dyDescent="0.35">
      <c r="A17005" s="3">
        <v>46252</v>
      </c>
      <c r="B17005" s="5" t="s">
        <v>355</v>
      </c>
      <c r="C17005" s="5" t="s">
        <v>18</v>
      </c>
      <c r="D17005" s="5">
        <v>1</v>
      </c>
      <c r="E17005" s="5">
        <v>127942</v>
      </c>
    </row>
    <row r="17006" spans="1:5" x14ac:dyDescent="0.35">
      <c r="A17006" s="3">
        <v>46252</v>
      </c>
      <c r="B17006" s="5" t="s">
        <v>364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364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364</v>
      </c>
      <c r="C17008" s="5" t="s">
        <v>66</v>
      </c>
      <c r="D17008" s="5">
        <v>1</v>
      </c>
      <c r="E17008" s="5">
        <v>116305</v>
      </c>
    </row>
    <row r="17009" spans="1:5" x14ac:dyDescent="0.35">
      <c r="A17009" s="3">
        <v>46252</v>
      </c>
      <c r="B17009" s="5" t="s">
        <v>364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364</v>
      </c>
      <c r="C17010" s="5" t="s">
        <v>65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364</v>
      </c>
      <c r="C17011" s="5" t="s">
        <v>65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364</v>
      </c>
      <c r="C17012" s="5" t="s">
        <v>65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373</v>
      </c>
      <c r="C17013" s="5" t="s">
        <v>18</v>
      </c>
      <c r="D17013" s="5">
        <v>1</v>
      </c>
      <c r="E17013" s="5">
        <v>129941</v>
      </c>
    </row>
    <row r="17014" spans="1:5" x14ac:dyDescent="0.35">
      <c r="A17014" s="3">
        <v>46252</v>
      </c>
      <c r="B17014" s="5" t="s">
        <v>376</v>
      </c>
      <c r="C17014" s="5" t="s">
        <v>18</v>
      </c>
      <c r="D17014" s="5">
        <v>1</v>
      </c>
      <c r="E17014" s="5">
        <v>129941</v>
      </c>
    </row>
    <row r="17015" spans="1:5" x14ac:dyDescent="0.35">
      <c r="A17015" s="3">
        <v>46252</v>
      </c>
      <c r="B17015" s="5" t="s">
        <v>315</v>
      </c>
      <c r="C17015" s="5" t="s">
        <v>66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315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315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315</v>
      </c>
      <c r="C17018" s="5" t="s">
        <v>65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315</v>
      </c>
      <c r="C17019" s="5" t="s">
        <v>67</v>
      </c>
      <c r="D17019" s="5">
        <v>1</v>
      </c>
      <c r="E17019" s="5">
        <v>116305</v>
      </c>
    </row>
    <row r="17020" spans="1:5" x14ac:dyDescent="0.35">
      <c r="A17020" s="3">
        <v>46252</v>
      </c>
      <c r="B17020" s="5" t="s">
        <v>355</v>
      </c>
      <c r="C17020" s="5" t="s">
        <v>20</v>
      </c>
      <c r="D17020" s="5">
        <v>1</v>
      </c>
      <c r="E17020" s="5">
        <v>127942</v>
      </c>
    </row>
    <row r="17021" spans="1:5" x14ac:dyDescent="0.35">
      <c r="A17021" s="3">
        <v>46252</v>
      </c>
      <c r="B17021" s="5" t="s">
        <v>315</v>
      </c>
      <c r="C17021" s="5" t="s">
        <v>65</v>
      </c>
      <c r="D17021" s="5">
        <v>1</v>
      </c>
      <c r="E17021" s="5">
        <v>116305</v>
      </c>
    </row>
    <row r="17022" spans="1:5" x14ac:dyDescent="0.35">
      <c r="A17022" s="3">
        <v>46252</v>
      </c>
      <c r="B17022" s="5" t="s">
        <v>315</v>
      </c>
      <c r="C17022" s="5" t="s">
        <v>65</v>
      </c>
      <c r="D17022" s="5">
        <v>1</v>
      </c>
      <c r="E17022" s="5">
        <v>116305</v>
      </c>
    </row>
    <row r="17023" spans="1:5" x14ac:dyDescent="0.35">
      <c r="A17023" s="3">
        <v>46252</v>
      </c>
      <c r="B17023" s="5" t="s">
        <v>355</v>
      </c>
      <c r="C17023" s="5" t="s">
        <v>20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364</v>
      </c>
      <c r="C17024" s="5" t="s">
        <v>66</v>
      </c>
      <c r="D17024" s="5">
        <v>1</v>
      </c>
      <c r="E17024" s="5">
        <v>116305</v>
      </c>
    </row>
    <row r="17025" spans="1:5" x14ac:dyDescent="0.35">
      <c r="A17025" s="3">
        <v>46252</v>
      </c>
      <c r="B17025" s="5" t="s">
        <v>258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258</v>
      </c>
      <c r="C17026" s="5" t="s">
        <v>20</v>
      </c>
      <c r="D17026" s="5">
        <v>1</v>
      </c>
      <c r="E17026" s="5">
        <v>127942</v>
      </c>
    </row>
    <row r="17027" spans="1:5" x14ac:dyDescent="0.35">
      <c r="A17027" s="3">
        <v>46252</v>
      </c>
      <c r="B17027" s="5" t="s">
        <v>364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258</v>
      </c>
      <c r="C17028" s="5" t="s">
        <v>18</v>
      </c>
      <c r="D17028" s="5">
        <v>1</v>
      </c>
      <c r="E17028" s="5">
        <v>127942</v>
      </c>
    </row>
    <row r="17029" spans="1:5" x14ac:dyDescent="0.35">
      <c r="A17029" s="3">
        <v>46252</v>
      </c>
      <c r="B17029" s="5" t="s">
        <v>258</v>
      </c>
      <c r="C17029" s="5" t="s">
        <v>18</v>
      </c>
      <c r="D17029" s="5">
        <v>1</v>
      </c>
      <c r="E17029" s="5">
        <v>127942</v>
      </c>
    </row>
    <row r="17030" spans="1:5" x14ac:dyDescent="0.35">
      <c r="A17030" s="3">
        <v>46252</v>
      </c>
      <c r="B17030" s="5" t="s">
        <v>364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364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364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364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373</v>
      </c>
      <c r="C17034" s="5" t="s">
        <v>18</v>
      </c>
      <c r="D17034" s="5">
        <v>1</v>
      </c>
      <c r="E17034" s="5">
        <v>129941</v>
      </c>
    </row>
    <row r="17035" spans="1:5" x14ac:dyDescent="0.35">
      <c r="A17035" s="3">
        <v>46252</v>
      </c>
      <c r="B17035" s="5" t="s">
        <v>244</v>
      </c>
      <c r="C17035" s="5" t="s">
        <v>18</v>
      </c>
      <c r="D17035" s="5">
        <v>1</v>
      </c>
      <c r="E17035" s="5">
        <v>129941</v>
      </c>
    </row>
    <row r="17036" spans="1:5" x14ac:dyDescent="0.35">
      <c r="A17036" s="3">
        <v>46252</v>
      </c>
      <c r="B17036" s="5" t="s">
        <v>315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315</v>
      </c>
      <c r="C17037" s="5" t="s">
        <v>66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315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315</v>
      </c>
      <c r="C17039" s="5" t="s">
        <v>66</v>
      </c>
      <c r="D17039" s="5">
        <v>1</v>
      </c>
      <c r="E17039" s="5">
        <v>116305</v>
      </c>
    </row>
    <row r="17040" spans="1:5" x14ac:dyDescent="0.35">
      <c r="A17040" s="3">
        <v>46252</v>
      </c>
      <c r="B17040" s="5" t="s">
        <v>315</v>
      </c>
      <c r="C17040" s="5" t="s">
        <v>66</v>
      </c>
      <c r="D17040" s="5">
        <v>1</v>
      </c>
      <c r="E17040" s="5">
        <v>116305</v>
      </c>
    </row>
    <row r="17041" spans="1:5" x14ac:dyDescent="0.35">
      <c r="A17041" s="3">
        <v>46252</v>
      </c>
      <c r="B17041" s="5" t="s">
        <v>315</v>
      </c>
      <c r="C17041" s="5" t="s">
        <v>65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315</v>
      </c>
      <c r="C17042" s="5" t="s">
        <v>65</v>
      </c>
      <c r="D17042" s="5">
        <v>1</v>
      </c>
      <c r="E17042" s="5">
        <v>116305</v>
      </c>
    </row>
    <row r="17043" spans="1:5" x14ac:dyDescent="0.35">
      <c r="A17043" s="3">
        <v>46252</v>
      </c>
      <c r="B17043" s="5" t="s">
        <v>315</v>
      </c>
      <c r="C17043" s="5" t="s">
        <v>67</v>
      </c>
      <c r="D17043" s="5">
        <v>1</v>
      </c>
      <c r="E17043" s="5">
        <v>116305</v>
      </c>
    </row>
    <row r="17044" spans="1:5" x14ac:dyDescent="0.35">
      <c r="A17044" s="3">
        <v>46252</v>
      </c>
      <c r="B17044" s="5" t="s">
        <v>355</v>
      </c>
      <c r="C17044" s="5" t="s">
        <v>20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355</v>
      </c>
      <c r="C17045" s="5" t="s">
        <v>20</v>
      </c>
      <c r="D17045" s="5">
        <v>1</v>
      </c>
      <c r="E17045" s="5">
        <v>127942</v>
      </c>
    </row>
    <row r="17046" spans="1:5" x14ac:dyDescent="0.35">
      <c r="A17046" s="3">
        <v>46252</v>
      </c>
      <c r="B17046" s="5" t="s">
        <v>258</v>
      </c>
      <c r="C17046" s="5" t="s">
        <v>18</v>
      </c>
      <c r="D17046" s="5">
        <v>1</v>
      </c>
      <c r="E17046" s="5">
        <v>127942</v>
      </c>
    </row>
    <row r="17047" spans="1:5" x14ac:dyDescent="0.35">
      <c r="A17047" s="3">
        <v>46252</v>
      </c>
      <c r="B17047" s="5" t="s">
        <v>258</v>
      </c>
      <c r="C17047" s="5" t="s">
        <v>20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258</v>
      </c>
      <c r="C17048" s="5" t="s">
        <v>20</v>
      </c>
      <c r="D17048" s="5">
        <v>1</v>
      </c>
      <c r="E17048" s="5">
        <v>127942</v>
      </c>
    </row>
    <row r="17049" spans="1:5" x14ac:dyDescent="0.35">
      <c r="A17049" s="3">
        <v>46252</v>
      </c>
      <c r="B17049" s="5" t="s">
        <v>258</v>
      </c>
      <c r="C17049" s="5" t="s">
        <v>19</v>
      </c>
      <c r="D17049" s="5">
        <v>1</v>
      </c>
      <c r="E17049" s="5">
        <v>127942</v>
      </c>
    </row>
    <row r="17050" spans="1:5" x14ac:dyDescent="0.35">
      <c r="A17050" s="3">
        <v>46252</v>
      </c>
      <c r="B17050" s="5" t="s">
        <v>364</v>
      </c>
      <c r="C17050" s="5" t="s">
        <v>66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364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364</v>
      </c>
      <c r="C17052" s="5" t="s">
        <v>66</v>
      </c>
      <c r="D17052" s="5">
        <v>1</v>
      </c>
      <c r="E17052" s="5">
        <v>116305</v>
      </c>
    </row>
    <row r="17053" spans="1:5" x14ac:dyDescent="0.35">
      <c r="A17053" s="3">
        <v>46252</v>
      </c>
      <c r="B17053" s="5" t="s">
        <v>364</v>
      </c>
      <c r="C17053" s="5" t="s">
        <v>65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362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362</v>
      </c>
      <c r="C17055" s="5" t="s">
        <v>66</v>
      </c>
      <c r="D17055" s="5">
        <v>1</v>
      </c>
      <c r="E17055" s="5">
        <v>116305</v>
      </c>
    </row>
    <row r="17056" spans="1:5" x14ac:dyDescent="0.35">
      <c r="A17056" s="3">
        <v>46252</v>
      </c>
      <c r="B17056" s="5" t="s">
        <v>373</v>
      </c>
      <c r="C17056" s="5" t="s">
        <v>18</v>
      </c>
      <c r="D17056" s="5">
        <v>1</v>
      </c>
      <c r="E17056" s="5">
        <v>129941</v>
      </c>
    </row>
    <row r="17057" spans="1:5" x14ac:dyDescent="0.35">
      <c r="A17057" s="3">
        <v>46252</v>
      </c>
      <c r="B17057" s="5" t="s">
        <v>315</v>
      </c>
      <c r="C17057" s="5" t="s">
        <v>66</v>
      </c>
      <c r="D17057" s="5">
        <v>1</v>
      </c>
      <c r="E17057" s="5">
        <v>116305</v>
      </c>
    </row>
    <row r="17058" spans="1:5" x14ac:dyDescent="0.35">
      <c r="A17058" s="3">
        <v>46252</v>
      </c>
      <c r="B17058" s="5" t="s">
        <v>315</v>
      </c>
      <c r="C17058" s="5" t="s">
        <v>66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315</v>
      </c>
      <c r="C17059" s="5" t="s">
        <v>66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315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315</v>
      </c>
      <c r="C17061" s="5" t="s">
        <v>66</v>
      </c>
      <c r="D17061" s="5">
        <v>1</v>
      </c>
      <c r="E17061" s="5">
        <v>116305</v>
      </c>
    </row>
    <row r="17062" spans="1:5" x14ac:dyDescent="0.35">
      <c r="A17062" s="3">
        <v>46252</v>
      </c>
      <c r="B17062" s="5" t="s">
        <v>315</v>
      </c>
      <c r="C17062" s="5" t="s">
        <v>66</v>
      </c>
      <c r="D17062" s="5">
        <v>1</v>
      </c>
      <c r="E17062" s="5">
        <v>116305</v>
      </c>
    </row>
    <row r="17063" spans="1:5" x14ac:dyDescent="0.35">
      <c r="A17063" s="3">
        <v>46252</v>
      </c>
      <c r="B17063" s="5" t="s">
        <v>315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237</v>
      </c>
      <c r="C17064" s="5" t="s">
        <v>38</v>
      </c>
      <c r="D17064" s="5">
        <v>1</v>
      </c>
      <c r="E17064" s="5">
        <v>203578</v>
      </c>
    </row>
    <row r="17065" spans="1:5" x14ac:dyDescent="0.35">
      <c r="A17065" s="3">
        <v>46252</v>
      </c>
      <c r="B17065" s="5" t="s">
        <v>315</v>
      </c>
      <c r="C17065" s="5" t="s">
        <v>65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315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237</v>
      </c>
      <c r="C17067" s="5" t="s">
        <v>38</v>
      </c>
      <c r="D17067" s="5">
        <v>1</v>
      </c>
      <c r="E17067" s="5">
        <v>203578</v>
      </c>
    </row>
    <row r="17068" spans="1:5" x14ac:dyDescent="0.35">
      <c r="A17068" s="3">
        <v>46252</v>
      </c>
      <c r="B17068" s="5" t="s">
        <v>258</v>
      </c>
      <c r="C17068" s="5" t="s">
        <v>20</v>
      </c>
      <c r="D17068" s="5">
        <v>1</v>
      </c>
      <c r="E17068" s="5">
        <v>127942</v>
      </c>
    </row>
    <row r="17069" spans="1:5" x14ac:dyDescent="0.35">
      <c r="A17069" s="3">
        <v>46252</v>
      </c>
      <c r="B17069" s="5" t="s">
        <v>355</v>
      </c>
      <c r="C17069" s="5" t="s">
        <v>20</v>
      </c>
      <c r="D17069" s="5">
        <v>1</v>
      </c>
      <c r="E17069" s="5">
        <v>127942</v>
      </c>
    </row>
    <row r="17070" spans="1:5" x14ac:dyDescent="0.35">
      <c r="A17070" s="3">
        <v>46252</v>
      </c>
      <c r="B17070" s="5" t="s">
        <v>258</v>
      </c>
      <c r="C17070" s="5" t="s">
        <v>19</v>
      </c>
      <c r="D17070" s="5">
        <v>1</v>
      </c>
      <c r="E17070" s="5">
        <v>127942</v>
      </c>
    </row>
    <row r="17071" spans="1:5" x14ac:dyDescent="0.35">
      <c r="A17071" s="3">
        <v>46252</v>
      </c>
      <c r="B17071" s="5" t="s">
        <v>355</v>
      </c>
      <c r="C17071" s="5" t="s">
        <v>19</v>
      </c>
      <c r="D17071" s="5">
        <v>1</v>
      </c>
      <c r="E17071" s="5">
        <v>127942</v>
      </c>
    </row>
    <row r="17072" spans="1:5" x14ac:dyDescent="0.35">
      <c r="A17072" s="3">
        <v>46252</v>
      </c>
      <c r="B17072" s="5" t="s">
        <v>364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258</v>
      </c>
      <c r="C17073" s="5" t="s">
        <v>18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364</v>
      </c>
      <c r="C17074" s="5" t="s">
        <v>67</v>
      </c>
      <c r="D17074" s="5">
        <v>1</v>
      </c>
      <c r="E17074" s="5">
        <v>116305</v>
      </c>
    </row>
    <row r="17075" spans="1:5" x14ac:dyDescent="0.35">
      <c r="A17075" s="3">
        <v>46252</v>
      </c>
      <c r="B17075" s="5" t="s">
        <v>364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364</v>
      </c>
      <c r="C17076" s="5" t="s">
        <v>66</v>
      </c>
      <c r="D17076" s="5">
        <v>1</v>
      </c>
      <c r="E17076" s="5">
        <v>116305</v>
      </c>
    </row>
    <row r="17077" spans="1:5" x14ac:dyDescent="0.35">
      <c r="A17077" s="3">
        <v>46252</v>
      </c>
      <c r="B17077" s="5" t="s">
        <v>364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364</v>
      </c>
      <c r="C17078" s="5" t="s">
        <v>66</v>
      </c>
      <c r="D17078" s="5">
        <v>1</v>
      </c>
      <c r="E17078" s="5">
        <v>116305</v>
      </c>
    </row>
    <row r="17079" spans="1:5" x14ac:dyDescent="0.35">
      <c r="A17079" s="3">
        <v>46252</v>
      </c>
      <c r="B17079" s="5" t="s">
        <v>364</v>
      </c>
      <c r="C17079" s="5" t="s">
        <v>66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376</v>
      </c>
      <c r="C17080" s="5" t="s">
        <v>39</v>
      </c>
      <c r="D17080" s="5">
        <v>1</v>
      </c>
      <c r="E17080" s="5">
        <v>118123</v>
      </c>
    </row>
    <row r="17081" spans="1:5" x14ac:dyDescent="0.35">
      <c r="A17081" s="3">
        <v>46252</v>
      </c>
      <c r="B17081" s="5" t="s">
        <v>376</v>
      </c>
      <c r="C17081" s="5" t="s">
        <v>17</v>
      </c>
      <c r="D17081" s="5">
        <v>1</v>
      </c>
      <c r="E17081" s="5">
        <v>236305</v>
      </c>
    </row>
    <row r="17082" spans="1:5" x14ac:dyDescent="0.35">
      <c r="A17082" s="3">
        <v>46252</v>
      </c>
      <c r="B17082" s="5" t="s">
        <v>315</v>
      </c>
      <c r="C17082" s="5" t="s">
        <v>66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315</v>
      </c>
      <c r="C17083" s="5" t="s">
        <v>66</v>
      </c>
      <c r="D17083" s="5">
        <v>1</v>
      </c>
      <c r="E17083" s="5">
        <v>116305</v>
      </c>
    </row>
    <row r="17084" spans="1:5" x14ac:dyDescent="0.35">
      <c r="A17084" s="3">
        <v>46252</v>
      </c>
      <c r="B17084" s="5" t="s">
        <v>315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315</v>
      </c>
      <c r="C17085" s="5" t="s">
        <v>66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315</v>
      </c>
      <c r="C17086" s="5" t="s">
        <v>65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315</v>
      </c>
      <c r="C17087" s="5" t="s">
        <v>65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355</v>
      </c>
      <c r="C17088" s="5" t="s">
        <v>20</v>
      </c>
      <c r="D17088" s="5">
        <v>1</v>
      </c>
      <c r="E17088" s="5">
        <v>127942</v>
      </c>
    </row>
    <row r="17089" spans="1:5" x14ac:dyDescent="0.35">
      <c r="A17089" s="3">
        <v>46252</v>
      </c>
      <c r="B17089" s="5" t="s">
        <v>237</v>
      </c>
      <c r="C17089" s="5" t="s">
        <v>38</v>
      </c>
      <c r="D17089" s="5">
        <v>1</v>
      </c>
      <c r="E17089" s="5">
        <v>203578</v>
      </c>
    </row>
    <row r="17090" spans="1:5" x14ac:dyDescent="0.35">
      <c r="A17090" s="3">
        <v>46252</v>
      </c>
      <c r="B17090" s="5" t="s">
        <v>355</v>
      </c>
      <c r="C17090" s="5" t="s">
        <v>18</v>
      </c>
      <c r="D17090" s="5">
        <v>1</v>
      </c>
      <c r="E17090" s="5">
        <v>127942</v>
      </c>
    </row>
    <row r="17091" spans="1:5" x14ac:dyDescent="0.35">
      <c r="A17091" s="3">
        <v>46252</v>
      </c>
      <c r="B17091" s="5" t="s">
        <v>315</v>
      </c>
      <c r="C17091" s="5" t="s">
        <v>67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355</v>
      </c>
      <c r="C17092" s="5" t="s">
        <v>19</v>
      </c>
      <c r="D17092" s="5">
        <v>1</v>
      </c>
      <c r="E17092" s="5">
        <v>127942</v>
      </c>
    </row>
    <row r="17093" spans="1:5" x14ac:dyDescent="0.35">
      <c r="A17093" s="3">
        <v>46252</v>
      </c>
      <c r="B17093" s="5" t="s">
        <v>258</v>
      </c>
      <c r="C17093" s="5" t="s">
        <v>19</v>
      </c>
      <c r="D17093" s="5">
        <v>1</v>
      </c>
      <c r="E17093" s="5">
        <v>127942</v>
      </c>
    </row>
    <row r="17094" spans="1:5" x14ac:dyDescent="0.35">
      <c r="A17094" s="3">
        <v>46252</v>
      </c>
      <c r="B17094" s="5" t="s">
        <v>363</v>
      </c>
      <c r="C17094" s="5" t="s">
        <v>66</v>
      </c>
      <c r="D17094" s="5">
        <v>1</v>
      </c>
      <c r="E17094" s="5">
        <v>116305</v>
      </c>
    </row>
    <row r="17095" spans="1:5" x14ac:dyDescent="0.35">
      <c r="A17095" s="3">
        <v>46252</v>
      </c>
      <c r="B17095" s="5" t="s">
        <v>354</v>
      </c>
      <c r="C17095" s="5" t="s">
        <v>18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258</v>
      </c>
      <c r="C17096" s="5" t="s">
        <v>18</v>
      </c>
      <c r="D17096" s="5">
        <v>1</v>
      </c>
      <c r="E17096" s="5">
        <v>127942</v>
      </c>
    </row>
    <row r="17097" spans="1:5" x14ac:dyDescent="0.35">
      <c r="A17097" s="3">
        <v>46252</v>
      </c>
      <c r="B17097" s="5" t="s">
        <v>354</v>
      </c>
      <c r="C17097" s="5" t="s">
        <v>18</v>
      </c>
      <c r="D17097" s="5">
        <v>1</v>
      </c>
      <c r="E17097" s="5">
        <v>127942</v>
      </c>
    </row>
    <row r="17098" spans="1:5" x14ac:dyDescent="0.35">
      <c r="A17098" s="3">
        <v>46252</v>
      </c>
      <c r="B17098" s="5" t="s">
        <v>364</v>
      </c>
      <c r="C17098" s="5" t="s">
        <v>66</v>
      </c>
      <c r="D17098" s="5">
        <v>1</v>
      </c>
      <c r="E17098" s="5">
        <v>116305</v>
      </c>
    </row>
    <row r="17099" spans="1:5" x14ac:dyDescent="0.35">
      <c r="A17099" s="3">
        <v>46252</v>
      </c>
      <c r="B17099" s="5" t="s">
        <v>364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258</v>
      </c>
      <c r="C17100" s="5" t="s">
        <v>20</v>
      </c>
      <c r="D17100" s="5">
        <v>1</v>
      </c>
      <c r="E17100" s="5">
        <v>127942</v>
      </c>
    </row>
    <row r="17101" spans="1:5" x14ac:dyDescent="0.35">
      <c r="A17101" s="3">
        <v>46252</v>
      </c>
      <c r="B17101" s="5" t="s">
        <v>362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373</v>
      </c>
      <c r="C17102" s="5" t="s">
        <v>93</v>
      </c>
      <c r="D17102" s="5">
        <v>1</v>
      </c>
      <c r="E17102" s="5">
        <v>50168</v>
      </c>
    </row>
    <row r="17103" spans="1:5" x14ac:dyDescent="0.35">
      <c r="A17103" s="3">
        <v>46252</v>
      </c>
      <c r="B17103" s="5" t="s">
        <v>315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315</v>
      </c>
      <c r="C17104" s="5" t="s">
        <v>66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315</v>
      </c>
      <c r="C17105" s="5" t="s">
        <v>65</v>
      </c>
      <c r="D17105" s="5">
        <v>1</v>
      </c>
      <c r="E17105" s="5">
        <v>116305</v>
      </c>
    </row>
    <row r="17106" spans="1:5" x14ac:dyDescent="0.35">
      <c r="A17106" s="3">
        <v>46252</v>
      </c>
      <c r="B17106" s="5" t="s">
        <v>315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354</v>
      </c>
      <c r="C17107" s="5" t="s">
        <v>18</v>
      </c>
      <c r="D17107" s="5">
        <v>1</v>
      </c>
      <c r="E17107" s="5">
        <v>127942</v>
      </c>
    </row>
    <row r="17108" spans="1:5" x14ac:dyDescent="0.35">
      <c r="A17108" s="3">
        <v>46252</v>
      </c>
      <c r="B17108" s="5" t="s">
        <v>364</v>
      </c>
      <c r="C17108" s="5" t="s">
        <v>66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355</v>
      </c>
      <c r="C17109" s="5" t="s">
        <v>19</v>
      </c>
      <c r="D17109" s="5">
        <v>1</v>
      </c>
      <c r="E17109" s="5">
        <v>127942</v>
      </c>
    </row>
    <row r="17110" spans="1:5" x14ac:dyDescent="0.35">
      <c r="A17110" s="3">
        <v>46252</v>
      </c>
      <c r="B17110" s="5" t="s">
        <v>258</v>
      </c>
      <c r="C17110" s="5" t="s">
        <v>18</v>
      </c>
      <c r="D17110" s="5">
        <v>1</v>
      </c>
      <c r="E17110" s="5">
        <v>127942</v>
      </c>
    </row>
    <row r="17111" spans="1:5" x14ac:dyDescent="0.35">
      <c r="A17111" s="3">
        <v>46252</v>
      </c>
      <c r="B17111" s="5" t="s">
        <v>258</v>
      </c>
      <c r="C17111" s="5" t="s">
        <v>20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364</v>
      </c>
      <c r="C17112" s="5" t="s">
        <v>67</v>
      </c>
      <c r="D17112" s="5">
        <v>1</v>
      </c>
      <c r="E17112" s="5">
        <v>116305</v>
      </c>
    </row>
    <row r="17113" spans="1:5" x14ac:dyDescent="0.35">
      <c r="A17113" s="3">
        <v>46252</v>
      </c>
      <c r="B17113" s="5" t="s">
        <v>244</v>
      </c>
      <c r="C17113" s="5" t="s">
        <v>85</v>
      </c>
      <c r="D17113" s="5">
        <v>1</v>
      </c>
      <c r="E17113" s="5">
        <v>189032</v>
      </c>
    </row>
    <row r="17114" spans="1:5" x14ac:dyDescent="0.35">
      <c r="A17114" s="3">
        <v>46252</v>
      </c>
      <c r="B17114" s="5" t="s">
        <v>376</v>
      </c>
      <c r="C17114" s="5" t="s">
        <v>18</v>
      </c>
      <c r="D17114" s="5">
        <v>1</v>
      </c>
      <c r="E17114" s="5">
        <v>129941</v>
      </c>
    </row>
    <row r="17115" spans="1:5" x14ac:dyDescent="0.35">
      <c r="A17115" s="3">
        <v>46252</v>
      </c>
      <c r="B17115" s="5" t="s">
        <v>315</v>
      </c>
      <c r="C17115" s="5" t="s">
        <v>66</v>
      </c>
      <c r="D17115" s="5">
        <v>1</v>
      </c>
      <c r="E17115" s="5">
        <v>116305</v>
      </c>
    </row>
    <row r="17116" spans="1:5" x14ac:dyDescent="0.35">
      <c r="A17116" s="3">
        <v>46252</v>
      </c>
      <c r="B17116" s="5" t="s">
        <v>315</v>
      </c>
      <c r="C17116" s="5" t="s">
        <v>66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315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315</v>
      </c>
      <c r="C17118" s="5" t="s">
        <v>67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315</v>
      </c>
      <c r="C17119" s="5" t="s">
        <v>67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355</v>
      </c>
      <c r="C17120" s="5" t="s">
        <v>20</v>
      </c>
      <c r="D17120" s="5">
        <v>1</v>
      </c>
      <c r="E17120" s="5">
        <v>127942</v>
      </c>
    </row>
    <row r="17121" spans="1:5" x14ac:dyDescent="0.35">
      <c r="A17121" s="3">
        <v>46252</v>
      </c>
      <c r="B17121" s="5" t="s">
        <v>258</v>
      </c>
      <c r="C17121" s="5" t="s">
        <v>20</v>
      </c>
      <c r="D17121" s="5">
        <v>1</v>
      </c>
      <c r="E17121" s="5">
        <v>127942</v>
      </c>
    </row>
    <row r="17122" spans="1:5" x14ac:dyDescent="0.35">
      <c r="A17122" s="3">
        <v>46252</v>
      </c>
      <c r="B17122" s="5" t="s">
        <v>364</v>
      </c>
      <c r="C17122" s="5" t="s">
        <v>66</v>
      </c>
      <c r="D17122" s="5">
        <v>1</v>
      </c>
      <c r="E17122" s="5">
        <v>116305</v>
      </c>
    </row>
    <row r="17123" spans="1:5" x14ac:dyDescent="0.35">
      <c r="A17123" s="3">
        <v>46252</v>
      </c>
      <c r="B17123" s="5" t="s">
        <v>364</v>
      </c>
      <c r="C17123" s="5" t="s">
        <v>67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258</v>
      </c>
      <c r="C17124" s="5" t="s">
        <v>18</v>
      </c>
      <c r="D17124" s="5">
        <v>1</v>
      </c>
      <c r="E17124" s="5">
        <v>127942</v>
      </c>
    </row>
    <row r="17125" spans="1:5" x14ac:dyDescent="0.35">
      <c r="A17125" s="3">
        <v>46252</v>
      </c>
      <c r="B17125" s="5" t="s">
        <v>364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364</v>
      </c>
      <c r="C17126" s="5" t="s">
        <v>65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362</v>
      </c>
      <c r="C17127" s="5" t="s">
        <v>65</v>
      </c>
      <c r="D17127" s="5">
        <v>1</v>
      </c>
      <c r="E17127" s="5">
        <v>116305</v>
      </c>
    </row>
    <row r="17128" spans="1:5" x14ac:dyDescent="0.35">
      <c r="A17128" s="3">
        <v>46252</v>
      </c>
      <c r="B17128" s="5" t="s">
        <v>376</v>
      </c>
      <c r="C17128" s="5" t="s">
        <v>18</v>
      </c>
      <c r="D17128" s="5">
        <v>1</v>
      </c>
      <c r="E17128" s="5">
        <v>129941</v>
      </c>
    </row>
    <row r="17129" spans="1:5" x14ac:dyDescent="0.35">
      <c r="A17129" s="3">
        <v>46252</v>
      </c>
      <c r="B17129" s="5" t="s">
        <v>376</v>
      </c>
      <c r="C17129" s="5" t="s">
        <v>38</v>
      </c>
      <c r="D17129" s="5">
        <v>1</v>
      </c>
      <c r="E17129" s="5">
        <v>236305</v>
      </c>
    </row>
    <row r="17130" spans="1:5" x14ac:dyDescent="0.35">
      <c r="A17130" s="3">
        <v>46252</v>
      </c>
      <c r="B17130" s="5" t="s">
        <v>376</v>
      </c>
      <c r="C17130" s="5" t="s">
        <v>50</v>
      </c>
      <c r="D17130" s="5">
        <v>1</v>
      </c>
      <c r="E17130" s="5">
        <v>106305</v>
      </c>
    </row>
    <row r="17131" spans="1:5" x14ac:dyDescent="0.35">
      <c r="A17131" s="3">
        <v>46252</v>
      </c>
      <c r="B17131" s="5" t="s">
        <v>315</v>
      </c>
      <c r="C17131" s="5" t="s">
        <v>66</v>
      </c>
      <c r="D17131" s="5">
        <v>1</v>
      </c>
      <c r="E17131" s="5">
        <v>116305</v>
      </c>
    </row>
    <row r="17132" spans="1:5" x14ac:dyDescent="0.35">
      <c r="A17132" s="3">
        <v>46252</v>
      </c>
      <c r="B17132" s="5" t="s">
        <v>315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315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315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315</v>
      </c>
      <c r="C17135" s="5" t="s">
        <v>66</v>
      </c>
      <c r="D17135" s="5">
        <v>1</v>
      </c>
      <c r="E17135" s="5">
        <v>116305</v>
      </c>
    </row>
    <row r="17136" spans="1:5" x14ac:dyDescent="0.35">
      <c r="A17136" s="3">
        <v>46252</v>
      </c>
      <c r="B17136" s="5" t="s">
        <v>315</v>
      </c>
      <c r="C17136" s="5" t="s">
        <v>66</v>
      </c>
      <c r="D17136" s="5">
        <v>1</v>
      </c>
      <c r="E17136" s="5">
        <v>116305</v>
      </c>
    </row>
    <row r="17137" spans="1:5" x14ac:dyDescent="0.35">
      <c r="A17137" s="3">
        <v>46252</v>
      </c>
      <c r="B17137" s="5" t="s">
        <v>315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354</v>
      </c>
      <c r="C17138" s="5" t="s">
        <v>18</v>
      </c>
      <c r="D17138" s="5">
        <v>1</v>
      </c>
      <c r="E17138" s="5">
        <v>127942</v>
      </c>
    </row>
    <row r="17139" spans="1:5" x14ac:dyDescent="0.35">
      <c r="A17139" s="3">
        <v>46252</v>
      </c>
      <c r="B17139" s="5" t="s">
        <v>315</v>
      </c>
      <c r="C17139" s="5" t="s">
        <v>65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237</v>
      </c>
      <c r="C17140" s="5" t="s">
        <v>38</v>
      </c>
      <c r="D17140" s="5">
        <v>1</v>
      </c>
      <c r="E17140" s="5">
        <v>203578</v>
      </c>
    </row>
    <row r="17141" spans="1:5" x14ac:dyDescent="0.35">
      <c r="A17141" s="3">
        <v>46252</v>
      </c>
      <c r="B17141" s="5" t="s">
        <v>354</v>
      </c>
      <c r="C17141" s="5" t="s">
        <v>19</v>
      </c>
      <c r="D17141" s="5">
        <v>1</v>
      </c>
      <c r="E17141" s="5">
        <v>127942</v>
      </c>
    </row>
    <row r="17142" spans="1:5" x14ac:dyDescent="0.35">
      <c r="A17142" s="3">
        <v>46252</v>
      </c>
      <c r="B17142" s="5" t="s">
        <v>355</v>
      </c>
      <c r="C17142" s="5" t="s">
        <v>20</v>
      </c>
      <c r="D17142" s="5">
        <v>1</v>
      </c>
      <c r="E17142" s="5">
        <v>127942</v>
      </c>
    </row>
    <row r="17143" spans="1:5" x14ac:dyDescent="0.35">
      <c r="A17143" s="3">
        <v>46252</v>
      </c>
      <c r="B17143" s="5" t="s">
        <v>237</v>
      </c>
      <c r="C17143" s="5" t="s">
        <v>38</v>
      </c>
      <c r="D17143" s="5">
        <v>1</v>
      </c>
      <c r="E17143" s="5">
        <v>203578</v>
      </c>
    </row>
    <row r="17144" spans="1:5" x14ac:dyDescent="0.35">
      <c r="A17144" s="3">
        <v>46252</v>
      </c>
      <c r="B17144" s="5" t="s">
        <v>258</v>
      </c>
      <c r="C17144" s="5" t="s">
        <v>19</v>
      </c>
      <c r="D17144" s="5">
        <v>1</v>
      </c>
      <c r="E17144" s="5">
        <v>127942</v>
      </c>
    </row>
    <row r="17145" spans="1:5" x14ac:dyDescent="0.35">
      <c r="A17145" s="3">
        <v>46252</v>
      </c>
      <c r="B17145" s="5" t="s">
        <v>258</v>
      </c>
      <c r="C17145" s="5" t="s">
        <v>18</v>
      </c>
      <c r="D17145" s="5">
        <v>1</v>
      </c>
      <c r="E17145" s="5">
        <v>127942</v>
      </c>
    </row>
    <row r="17146" spans="1:5" x14ac:dyDescent="0.35">
      <c r="A17146" s="3">
        <v>46252</v>
      </c>
      <c r="B17146" s="5" t="s">
        <v>354</v>
      </c>
      <c r="C17146" s="5" t="s">
        <v>18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364</v>
      </c>
      <c r="C17147" s="5" t="s">
        <v>65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364</v>
      </c>
      <c r="C17148" s="5" t="s">
        <v>67</v>
      </c>
      <c r="D17148" s="5">
        <v>1</v>
      </c>
      <c r="E17148" s="5">
        <v>116305</v>
      </c>
    </row>
    <row r="17149" spans="1:5" x14ac:dyDescent="0.35">
      <c r="A17149" s="3">
        <v>46252</v>
      </c>
      <c r="B17149" s="5" t="s">
        <v>364</v>
      </c>
      <c r="C17149" s="5" t="s">
        <v>67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364</v>
      </c>
      <c r="C17150" s="5" t="s">
        <v>65</v>
      </c>
      <c r="D17150" s="5">
        <v>1</v>
      </c>
      <c r="E17150" s="5">
        <v>116305</v>
      </c>
    </row>
    <row r="17151" spans="1:5" x14ac:dyDescent="0.35">
      <c r="A17151" s="3">
        <v>46252</v>
      </c>
      <c r="B17151" s="5" t="s">
        <v>373</v>
      </c>
      <c r="C17151" s="5" t="s">
        <v>18</v>
      </c>
      <c r="D17151" s="5">
        <v>1</v>
      </c>
      <c r="E17151" s="5">
        <v>129941</v>
      </c>
    </row>
    <row r="17152" spans="1:5" x14ac:dyDescent="0.35">
      <c r="A17152" s="3">
        <v>46252</v>
      </c>
      <c r="B17152" s="5" t="s">
        <v>373</v>
      </c>
      <c r="C17152" s="5" t="s">
        <v>18</v>
      </c>
      <c r="D17152" s="5">
        <v>1</v>
      </c>
      <c r="E17152" s="5">
        <v>129941</v>
      </c>
    </row>
    <row r="17153" spans="1:5" x14ac:dyDescent="0.35">
      <c r="A17153" s="3">
        <v>46252</v>
      </c>
      <c r="B17153" s="5" t="s">
        <v>376</v>
      </c>
      <c r="C17153" s="5" t="s">
        <v>18</v>
      </c>
      <c r="D17153" s="5">
        <v>1</v>
      </c>
      <c r="E17153" s="5">
        <v>129941</v>
      </c>
    </row>
    <row r="17154" spans="1:5" x14ac:dyDescent="0.35">
      <c r="A17154" s="3">
        <v>46252</v>
      </c>
      <c r="B17154" s="5" t="s">
        <v>315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315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315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315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315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315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315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315</v>
      </c>
      <c r="C17161" s="5" t="s">
        <v>67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237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355</v>
      </c>
      <c r="C17163" s="5" t="s">
        <v>19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258</v>
      </c>
      <c r="C17164" s="5" t="s">
        <v>19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258</v>
      </c>
      <c r="C17165" s="5" t="s">
        <v>19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258</v>
      </c>
      <c r="C17166" s="5" t="s">
        <v>19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258</v>
      </c>
      <c r="C17167" s="5" t="s">
        <v>19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258</v>
      </c>
      <c r="C17168" s="5" t="s">
        <v>19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258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364</v>
      </c>
      <c r="C17170" s="5" t="s">
        <v>67</v>
      </c>
      <c r="D17170" s="5">
        <v>1</v>
      </c>
      <c r="E17170" s="5">
        <v>116305</v>
      </c>
    </row>
    <row r="17171" spans="1:5" x14ac:dyDescent="0.35">
      <c r="A17171" s="3">
        <v>46252</v>
      </c>
      <c r="B17171" s="5" t="s">
        <v>362</v>
      </c>
      <c r="C17171" s="5" t="s">
        <v>65</v>
      </c>
      <c r="D17171" s="5">
        <v>1</v>
      </c>
      <c r="E17171" s="5">
        <v>116305</v>
      </c>
    </row>
    <row r="17172" spans="1:5" x14ac:dyDescent="0.35">
      <c r="A17172" s="3">
        <v>46252</v>
      </c>
      <c r="B17172" s="5" t="s">
        <v>362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315</v>
      </c>
      <c r="C17173" s="5" t="s">
        <v>66</v>
      </c>
      <c r="D17173" s="5">
        <v>1</v>
      </c>
      <c r="E17173" s="5">
        <v>116305</v>
      </c>
    </row>
    <row r="17174" spans="1:5" x14ac:dyDescent="0.35">
      <c r="A17174" s="3">
        <v>46252</v>
      </c>
      <c r="B17174" s="5" t="s">
        <v>315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315</v>
      </c>
      <c r="C17175" s="5" t="s">
        <v>65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315</v>
      </c>
      <c r="C17176" s="5" t="s">
        <v>65</v>
      </c>
      <c r="D17176" s="5">
        <v>1</v>
      </c>
      <c r="E17176" s="5">
        <v>116305</v>
      </c>
    </row>
    <row r="17177" spans="1:5" x14ac:dyDescent="0.35">
      <c r="A17177" s="3">
        <v>46252</v>
      </c>
      <c r="B17177" s="5" t="s">
        <v>315</v>
      </c>
      <c r="C17177" s="5" t="s">
        <v>66</v>
      </c>
      <c r="D17177" s="5">
        <v>1</v>
      </c>
      <c r="E17177" s="5">
        <v>116305</v>
      </c>
    </row>
    <row r="17178" spans="1:5" x14ac:dyDescent="0.35">
      <c r="A17178" s="3">
        <v>46252</v>
      </c>
      <c r="B17178" s="5" t="s">
        <v>315</v>
      </c>
      <c r="C17178" s="5" t="s">
        <v>67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354</v>
      </c>
      <c r="C17179" s="5" t="s">
        <v>18</v>
      </c>
      <c r="D17179" s="5">
        <v>1</v>
      </c>
      <c r="E17179" s="5">
        <v>127942</v>
      </c>
    </row>
    <row r="17180" spans="1:5" x14ac:dyDescent="0.35">
      <c r="A17180" s="3">
        <v>46252</v>
      </c>
      <c r="B17180" s="5" t="s">
        <v>315</v>
      </c>
      <c r="C17180" s="5" t="s">
        <v>67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354</v>
      </c>
      <c r="C17181" s="5" t="s">
        <v>18</v>
      </c>
      <c r="D17181" s="5">
        <v>1</v>
      </c>
      <c r="E17181" s="5">
        <v>127942</v>
      </c>
    </row>
    <row r="17182" spans="1:5" x14ac:dyDescent="0.35">
      <c r="A17182" s="3">
        <v>46252</v>
      </c>
      <c r="B17182" s="5" t="s">
        <v>355</v>
      </c>
      <c r="C17182" s="5" t="s">
        <v>19</v>
      </c>
      <c r="D17182" s="5">
        <v>1</v>
      </c>
      <c r="E17182" s="5">
        <v>127942</v>
      </c>
    </row>
    <row r="17183" spans="1:5" x14ac:dyDescent="0.35">
      <c r="A17183" s="3">
        <v>46252</v>
      </c>
      <c r="B17183" s="5" t="s">
        <v>363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258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258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363</v>
      </c>
      <c r="C17186" s="5" t="s">
        <v>67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364</v>
      </c>
      <c r="C17187" s="5" t="s">
        <v>66</v>
      </c>
      <c r="D17187" s="5">
        <v>1</v>
      </c>
      <c r="E17187" s="5">
        <v>116305</v>
      </c>
    </row>
    <row r="17188" spans="1:5" x14ac:dyDescent="0.35">
      <c r="A17188" s="3">
        <v>46252</v>
      </c>
      <c r="B17188" s="5" t="s">
        <v>364</v>
      </c>
      <c r="C17188" s="5" t="s">
        <v>66</v>
      </c>
      <c r="D17188" s="5">
        <v>1</v>
      </c>
      <c r="E17188" s="5">
        <v>116305</v>
      </c>
    </row>
    <row r="17189" spans="1:5" x14ac:dyDescent="0.35">
      <c r="A17189" s="3">
        <v>46252</v>
      </c>
      <c r="B17189" s="5" t="s">
        <v>258</v>
      </c>
      <c r="C17189" s="5" t="s">
        <v>19</v>
      </c>
      <c r="D17189" s="5">
        <v>1</v>
      </c>
      <c r="E17189" s="5">
        <v>127942</v>
      </c>
    </row>
    <row r="17190" spans="1:5" x14ac:dyDescent="0.35">
      <c r="A17190" s="3">
        <v>46252</v>
      </c>
      <c r="B17190" s="5" t="s">
        <v>364</v>
      </c>
      <c r="C17190" s="5" t="s">
        <v>65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364</v>
      </c>
      <c r="C17191" s="5" t="s">
        <v>65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364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362</v>
      </c>
      <c r="C17193" s="5" t="s">
        <v>66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362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362</v>
      </c>
      <c r="C17195" s="5" t="s">
        <v>67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373</v>
      </c>
      <c r="C17196" s="5" t="s">
        <v>82</v>
      </c>
      <c r="D17196" s="5">
        <v>1</v>
      </c>
      <c r="E17196" s="5">
        <v>70850</v>
      </c>
    </row>
    <row r="17197" spans="1:5" x14ac:dyDescent="0.35">
      <c r="A17197" s="3">
        <v>46252</v>
      </c>
      <c r="B17197" s="5" t="s">
        <v>315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315</v>
      </c>
      <c r="C17198" s="5" t="s">
        <v>66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315</v>
      </c>
      <c r="C17199" s="5" t="s">
        <v>65</v>
      </c>
      <c r="D17199" s="5">
        <v>1</v>
      </c>
      <c r="E17199" s="5">
        <v>116305</v>
      </c>
    </row>
    <row r="17200" spans="1:5" x14ac:dyDescent="0.35">
      <c r="A17200" s="3">
        <v>46252</v>
      </c>
      <c r="B17200" s="5" t="s">
        <v>315</v>
      </c>
      <c r="C17200" s="5" t="s">
        <v>66</v>
      </c>
      <c r="D17200" s="5">
        <v>1</v>
      </c>
      <c r="E17200" s="5">
        <v>116305</v>
      </c>
    </row>
    <row r="17201" spans="1:5" x14ac:dyDescent="0.35">
      <c r="A17201" s="3">
        <v>46252</v>
      </c>
      <c r="B17201" s="5" t="s">
        <v>315</v>
      </c>
      <c r="C17201" s="5" t="s">
        <v>65</v>
      </c>
      <c r="D17201" s="5">
        <v>1</v>
      </c>
      <c r="E17201" s="5">
        <v>116305</v>
      </c>
    </row>
    <row r="17202" spans="1:5" x14ac:dyDescent="0.35">
      <c r="A17202" s="3">
        <v>46252</v>
      </c>
      <c r="B17202" s="5" t="s">
        <v>355</v>
      </c>
      <c r="C17202" s="5" t="s">
        <v>19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315</v>
      </c>
      <c r="C17203" s="5" t="s">
        <v>66</v>
      </c>
      <c r="D17203" s="5">
        <v>1</v>
      </c>
      <c r="E17203" s="5">
        <v>116305</v>
      </c>
    </row>
    <row r="17204" spans="1:5" x14ac:dyDescent="0.35">
      <c r="A17204" s="3">
        <v>46252</v>
      </c>
      <c r="B17204" s="5" t="s">
        <v>355</v>
      </c>
      <c r="C17204" s="5" t="s">
        <v>20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315</v>
      </c>
      <c r="C17205" s="5" t="s">
        <v>65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315</v>
      </c>
      <c r="C17206" s="5" t="s">
        <v>67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355</v>
      </c>
      <c r="C17207" s="5" t="s">
        <v>19</v>
      </c>
      <c r="D17207" s="5">
        <v>1</v>
      </c>
      <c r="E17207" s="5">
        <v>127942</v>
      </c>
    </row>
    <row r="17208" spans="1:5" x14ac:dyDescent="0.35">
      <c r="A17208" s="3">
        <v>46252</v>
      </c>
      <c r="B17208" s="5" t="s">
        <v>355</v>
      </c>
      <c r="C17208" s="5" t="s">
        <v>19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258</v>
      </c>
      <c r="C17209" s="5" t="s">
        <v>20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364</v>
      </c>
      <c r="C17210" s="5" t="s">
        <v>66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364</v>
      </c>
      <c r="C17211" s="5" t="s">
        <v>66</v>
      </c>
      <c r="D17211" s="5">
        <v>1</v>
      </c>
      <c r="E17211" s="5">
        <v>116305</v>
      </c>
    </row>
    <row r="17212" spans="1:5" x14ac:dyDescent="0.35">
      <c r="A17212" s="3">
        <v>46252</v>
      </c>
      <c r="B17212" s="5" t="s">
        <v>364</v>
      </c>
      <c r="C17212" s="5" t="s">
        <v>66</v>
      </c>
      <c r="D17212" s="5">
        <v>1</v>
      </c>
      <c r="E17212" s="5">
        <v>116305</v>
      </c>
    </row>
    <row r="17213" spans="1:5" x14ac:dyDescent="0.35">
      <c r="A17213" s="3">
        <v>46252</v>
      </c>
      <c r="B17213" s="5" t="s">
        <v>258</v>
      </c>
      <c r="C17213" s="5" t="s">
        <v>19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364</v>
      </c>
      <c r="C17214" s="5" t="s">
        <v>65</v>
      </c>
      <c r="D17214" s="5">
        <v>1</v>
      </c>
      <c r="E17214" s="5">
        <v>116305</v>
      </c>
    </row>
    <row r="17215" spans="1:5" x14ac:dyDescent="0.35">
      <c r="A17215" s="3">
        <v>46252</v>
      </c>
      <c r="B17215" s="5" t="s">
        <v>364</v>
      </c>
      <c r="C17215" s="5" t="s">
        <v>66</v>
      </c>
      <c r="D17215" s="5">
        <v>1</v>
      </c>
      <c r="E17215" s="5">
        <v>116305</v>
      </c>
    </row>
    <row r="17216" spans="1:5" x14ac:dyDescent="0.35">
      <c r="A17216" s="3">
        <v>46252</v>
      </c>
      <c r="B17216" s="5" t="s">
        <v>362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373</v>
      </c>
      <c r="C17217" s="5" t="s">
        <v>82</v>
      </c>
      <c r="D17217" s="5">
        <v>1</v>
      </c>
      <c r="E17217" s="5">
        <v>70850</v>
      </c>
    </row>
    <row r="17218" spans="1:5" x14ac:dyDescent="0.35">
      <c r="A17218" s="3">
        <v>46252</v>
      </c>
      <c r="B17218" s="5" t="s">
        <v>373</v>
      </c>
      <c r="C17218" s="5" t="s">
        <v>26</v>
      </c>
      <c r="D17218" s="5">
        <v>1</v>
      </c>
      <c r="E17218" s="5">
        <v>501682</v>
      </c>
    </row>
    <row r="17219" spans="1:5" x14ac:dyDescent="0.35">
      <c r="A17219" s="3">
        <v>46252</v>
      </c>
      <c r="B17219" s="5" t="s">
        <v>244</v>
      </c>
      <c r="C17219" s="5" t="s">
        <v>85</v>
      </c>
      <c r="D17219" s="5">
        <v>1</v>
      </c>
      <c r="E17219" s="5">
        <v>189032</v>
      </c>
    </row>
    <row r="17220" spans="1:5" x14ac:dyDescent="0.35">
      <c r="A17220" s="3">
        <v>46252</v>
      </c>
      <c r="B17220" s="5" t="s">
        <v>315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315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315</v>
      </c>
      <c r="C17222" s="5" t="s">
        <v>67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315</v>
      </c>
      <c r="C17223" s="5" t="s">
        <v>67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140</v>
      </c>
      <c r="C17224" s="5" t="s">
        <v>42</v>
      </c>
      <c r="D17224" s="5">
        <v>1</v>
      </c>
      <c r="E17224" s="5">
        <v>203578</v>
      </c>
    </row>
    <row r="17225" spans="1:5" x14ac:dyDescent="0.35">
      <c r="A17225" s="3">
        <v>46252</v>
      </c>
      <c r="B17225" s="5" t="s">
        <v>315</v>
      </c>
      <c r="C17225" s="5" t="s">
        <v>67</v>
      </c>
      <c r="D17225" s="5">
        <v>1</v>
      </c>
      <c r="E17225" s="5">
        <v>116305</v>
      </c>
    </row>
    <row r="17226" spans="1:5" x14ac:dyDescent="0.35">
      <c r="A17226" s="3">
        <v>46252</v>
      </c>
      <c r="B17226" s="5" t="s">
        <v>315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355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355</v>
      </c>
      <c r="C17228" s="5" t="s">
        <v>18</v>
      </c>
      <c r="D17228" s="5">
        <v>1</v>
      </c>
      <c r="E17228" s="5">
        <v>127942</v>
      </c>
    </row>
    <row r="17229" spans="1:5" x14ac:dyDescent="0.35">
      <c r="A17229" s="3">
        <v>46252</v>
      </c>
      <c r="B17229" s="5" t="s">
        <v>258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258</v>
      </c>
      <c r="C17230" s="5" t="s">
        <v>18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364</v>
      </c>
      <c r="C17231" s="5" t="s">
        <v>66</v>
      </c>
      <c r="D17231" s="5">
        <v>1</v>
      </c>
      <c r="E17231" s="5">
        <v>116305</v>
      </c>
    </row>
    <row r="17232" spans="1:5" x14ac:dyDescent="0.35">
      <c r="A17232" s="3">
        <v>46252</v>
      </c>
      <c r="B17232" s="5" t="s">
        <v>258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364</v>
      </c>
      <c r="C17233" s="5" t="s">
        <v>65</v>
      </c>
      <c r="D17233" s="5">
        <v>1</v>
      </c>
      <c r="E17233" s="5">
        <v>116305</v>
      </c>
    </row>
    <row r="17234" spans="1:5" x14ac:dyDescent="0.35">
      <c r="A17234" s="3">
        <v>46252</v>
      </c>
      <c r="B17234" s="5" t="s">
        <v>364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364</v>
      </c>
      <c r="C17235" s="5" t="s">
        <v>65</v>
      </c>
      <c r="D17235" s="5">
        <v>1</v>
      </c>
      <c r="E17235" s="5">
        <v>116305</v>
      </c>
    </row>
    <row r="17236" spans="1:5" x14ac:dyDescent="0.35">
      <c r="A17236" s="3">
        <v>46252</v>
      </c>
      <c r="B17236" s="5" t="s">
        <v>364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373</v>
      </c>
      <c r="C17237" s="5" t="s">
        <v>18</v>
      </c>
      <c r="D17237" s="5">
        <v>1</v>
      </c>
      <c r="E17237" s="5">
        <v>129941</v>
      </c>
    </row>
    <row r="17238" spans="1:5" x14ac:dyDescent="0.35">
      <c r="A17238" s="3">
        <v>46252</v>
      </c>
      <c r="B17238" s="5" t="s">
        <v>315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315</v>
      </c>
      <c r="C17239" s="5" t="s">
        <v>66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237</v>
      </c>
      <c r="C17240" s="5" t="s">
        <v>38</v>
      </c>
      <c r="D17240" s="5">
        <v>1</v>
      </c>
      <c r="E17240" s="5">
        <v>203578</v>
      </c>
    </row>
    <row r="17241" spans="1:5" x14ac:dyDescent="0.35">
      <c r="A17241" s="3">
        <v>46252</v>
      </c>
      <c r="B17241" s="5" t="s">
        <v>355</v>
      </c>
      <c r="C17241" s="5" t="s">
        <v>19</v>
      </c>
      <c r="D17241" s="5">
        <v>1</v>
      </c>
      <c r="E17241" s="5">
        <v>127942</v>
      </c>
    </row>
    <row r="17242" spans="1:5" x14ac:dyDescent="0.35">
      <c r="A17242" s="3">
        <v>46252</v>
      </c>
      <c r="B17242" s="5" t="s">
        <v>258</v>
      </c>
      <c r="C17242" s="5" t="s">
        <v>19</v>
      </c>
      <c r="D17242" s="5">
        <v>1</v>
      </c>
      <c r="E17242" s="5">
        <v>127942</v>
      </c>
    </row>
    <row r="17243" spans="1:5" x14ac:dyDescent="0.35">
      <c r="A17243" s="3">
        <v>46252</v>
      </c>
      <c r="B17243" s="5" t="s">
        <v>364</v>
      </c>
      <c r="C17243" s="5" t="s">
        <v>66</v>
      </c>
      <c r="D17243" s="5">
        <v>1</v>
      </c>
      <c r="E17243" s="5">
        <v>116305</v>
      </c>
    </row>
    <row r="17244" spans="1:5" x14ac:dyDescent="0.35">
      <c r="A17244" s="3">
        <v>46252</v>
      </c>
      <c r="B17244" s="5" t="s">
        <v>364</v>
      </c>
      <c r="C17244" s="5" t="s">
        <v>66</v>
      </c>
      <c r="D17244" s="5">
        <v>1</v>
      </c>
      <c r="E17244" s="5">
        <v>116305</v>
      </c>
    </row>
    <row r="17245" spans="1:5" x14ac:dyDescent="0.35">
      <c r="A17245" s="3">
        <v>46252</v>
      </c>
      <c r="B17245" s="5" t="s">
        <v>315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315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315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315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315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315</v>
      </c>
      <c r="C17250" s="5" t="s">
        <v>66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315</v>
      </c>
      <c r="C17251" s="5" t="s">
        <v>65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315</v>
      </c>
      <c r="C17252" s="5" t="s">
        <v>66</v>
      </c>
      <c r="D17252" s="5">
        <v>1</v>
      </c>
      <c r="E17252" s="5">
        <v>116305</v>
      </c>
    </row>
    <row r="17253" spans="1:5" x14ac:dyDescent="0.35">
      <c r="A17253" s="3">
        <v>46252</v>
      </c>
      <c r="B17253" s="5" t="s">
        <v>355</v>
      </c>
      <c r="C17253" s="5" t="s">
        <v>20</v>
      </c>
      <c r="D17253" s="5">
        <v>1</v>
      </c>
      <c r="E17253" s="5">
        <v>127942</v>
      </c>
    </row>
    <row r="17254" spans="1:5" x14ac:dyDescent="0.35">
      <c r="A17254" s="3">
        <v>46252</v>
      </c>
      <c r="B17254" s="5" t="s">
        <v>315</v>
      </c>
      <c r="C17254" s="5" t="s">
        <v>65</v>
      </c>
      <c r="D17254" s="5">
        <v>1</v>
      </c>
      <c r="E17254" s="5">
        <v>116305</v>
      </c>
    </row>
    <row r="17255" spans="1:5" x14ac:dyDescent="0.35">
      <c r="A17255" s="3">
        <v>46252</v>
      </c>
      <c r="B17255" s="5" t="s">
        <v>355</v>
      </c>
      <c r="C17255" s="5" t="s">
        <v>18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354</v>
      </c>
      <c r="C17256" s="5" t="s">
        <v>19</v>
      </c>
      <c r="D17256" s="5">
        <v>1</v>
      </c>
      <c r="E17256" s="5">
        <v>127942</v>
      </c>
    </row>
    <row r="17257" spans="1:5" x14ac:dyDescent="0.35">
      <c r="A17257" s="3">
        <v>46252</v>
      </c>
      <c r="B17257" s="5" t="s">
        <v>355</v>
      </c>
      <c r="C17257" s="5" t="s">
        <v>19</v>
      </c>
      <c r="D17257" s="5">
        <v>1</v>
      </c>
      <c r="E17257" s="5">
        <v>127942</v>
      </c>
    </row>
    <row r="17258" spans="1:5" x14ac:dyDescent="0.35">
      <c r="A17258" s="3">
        <v>46252</v>
      </c>
      <c r="B17258" s="5" t="s">
        <v>258</v>
      </c>
      <c r="C17258" s="5" t="s">
        <v>18</v>
      </c>
      <c r="D17258" s="5">
        <v>1</v>
      </c>
      <c r="E17258" s="5">
        <v>127942</v>
      </c>
    </row>
    <row r="17259" spans="1:5" x14ac:dyDescent="0.35">
      <c r="A17259" s="3">
        <v>46252</v>
      </c>
      <c r="B17259" s="5" t="s">
        <v>258</v>
      </c>
      <c r="C17259" s="5" t="s">
        <v>18</v>
      </c>
      <c r="D17259" s="5">
        <v>1</v>
      </c>
      <c r="E17259" s="5">
        <v>127942</v>
      </c>
    </row>
    <row r="17260" spans="1:5" x14ac:dyDescent="0.35">
      <c r="A17260" s="3">
        <v>46252</v>
      </c>
      <c r="B17260" s="5" t="s">
        <v>364</v>
      </c>
      <c r="C17260" s="5" t="s">
        <v>65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364</v>
      </c>
      <c r="C17261" s="5" t="s">
        <v>66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364</v>
      </c>
      <c r="C17262" s="5" t="s">
        <v>67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362</v>
      </c>
      <c r="C17263" s="5" t="s">
        <v>65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373</v>
      </c>
      <c r="C17264" s="5" t="s">
        <v>32</v>
      </c>
      <c r="D17264" s="5">
        <v>1</v>
      </c>
      <c r="E17264" s="5">
        <v>177214</v>
      </c>
    </row>
    <row r="17265" spans="1:5" x14ac:dyDescent="0.35">
      <c r="A17265" s="3">
        <v>46252</v>
      </c>
      <c r="B17265" s="5" t="s">
        <v>376</v>
      </c>
      <c r="C17265" s="5" t="s">
        <v>32</v>
      </c>
      <c r="D17265" s="5">
        <v>1</v>
      </c>
      <c r="E17265" s="5">
        <v>177214</v>
      </c>
    </row>
    <row r="17266" spans="1:5" x14ac:dyDescent="0.35">
      <c r="A17266" s="3">
        <v>46252</v>
      </c>
      <c r="B17266" s="5" t="s">
        <v>315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315</v>
      </c>
      <c r="C17267" s="5" t="s">
        <v>66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315</v>
      </c>
      <c r="C17268" s="5" t="s">
        <v>65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315</v>
      </c>
      <c r="C17269" s="5" t="s">
        <v>65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315</v>
      </c>
      <c r="C17270" s="5" t="s">
        <v>65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355</v>
      </c>
      <c r="C17271" s="5" t="s">
        <v>19</v>
      </c>
      <c r="D17271" s="5">
        <v>1</v>
      </c>
      <c r="E17271" s="5">
        <v>127942</v>
      </c>
    </row>
    <row r="17272" spans="1:5" x14ac:dyDescent="0.35">
      <c r="A17272" s="3">
        <v>46252</v>
      </c>
      <c r="B17272" s="5" t="s">
        <v>258</v>
      </c>
      <c r="C17272" s="5" t="s">
        <v>18</v>
      </c>
      <c r="D17272" s="5">
        <v>1</v>
      </c>
      <c r="E17272" s="5">
        <v>127942</v>
      </c>
    </row>
    <row r="17273" spans="1:5" x14ac:dyDescent="0.35">
      <c r="A17273" s="3">
        <v>46252</v>
      </c>
      <c r="B17273" s="5" t="s">
        <v>355</v>
      </c>
      <c r="C17273" s="5" t="s">
        <v>19</v>
      </c>
      <c r="D17273" s="5">
        <v>1</v>
      </c>
      <c r="E17273" s="5">
        <v>127942</v>
      </c>
    </row>
    <row r="17274" spans="1:5" x14ac:dyDescent="0.35">
      <c r="A17274" s="3">
        <v>46252</v>
      </c>
      <c r="B17274" s="5" t="s">
        <v>258</v>
      </c>
      <c r="C17274" s="5" t="s">
        <v>20</v>
      </c>
      <c r="D17274" s="5">
        <v>1</v>
      </c>
      <c r="E17274" s="5">
        <v>127942</v>
      </c>
    </row>
    <row r="17275" spans="1:5" x14ac:dyDescent="0.35">
      <c r="A17275" s="3">
        <v>46252</v>
      </c>
      <c r="B17275" s="5" t="s">
        <v>364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258</v>
      </c>
      <c r="C17276" s="5" t="s">
        <v>18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363</v>
      </c>
      <c r="C17277" s="5" t="s">
        <v>66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364</v>
      </c>
      <c r="C17278" s="5" t="s">
        <v>66</v>
      </c>
      <c r="D17278" s="5">
        <v>1</v>
      </c>
      <c r="E17278" s="5">
        <v>116305</v>
      </c>
    </row>
    <row r="17279" spans="1:5" x14ac:dyDescent="0.35">
      <c r="A17279" s="3">
        <v>46252</v>
      </c>
      <c r="B17279" s="5" t="s">
        <v>364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364</v>
      </c>
      <c r="C17280" s="5" t="s">
        <v>65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364</v>
      </c>
      <c r="C17281" s="5" t="s">
        <v>66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364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140</v>
      </c>
      <c r="C17283" s="5" t="s">
        <v>33</v>
      </c>
      <c r="D17283" s="5">
        <v>2</v>
      </c>
      <c r="E17283" s="5">
        <v>407156</v>
      </c>
    </row>
    <row r="17284" spans="1:5" x14ac:dyDescent="0.35">
      <c r="A17284" s="3">
        <v>46252</v>
      </c>
      <c r="B17284" s="5" t="s">
        <v>362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373</v>
      </c>
      <c r="C17285" s="5" t="s">
        <v>35</v>
      </c>
      <c r="D17285" s="5">
        <v>1</v>
      </c>
      <c r="E17285" s="5">
        <v>324409</v>
      </c>
    </row>
    <row r="17286" spans="1:5" x14ac:dyDescent="0.35">
      <c r="A17286" s="3">
        <v>46252</v>
      </c>
      <c r="B17286" s="5" t="s">
        <v>376</v>
      </c>
      <c r="C17286" s="5" t="s">
        <v>18</v>
      </c>
      <c r="D17286" s="5">
        <v>1</v>
      </c>
      <c r="E17286" s="5">
        <v>129941</v>
      </c>
    </row>
    <row r="17287" spans="1:5" x14ac:dyDescent="0.35">
      <c r="A17287" s="3">
        <v>46252</v>
      </c>
      <c r="B17287" s="5" t="s">
        <v>315</v>
      </c>
      <c r="C17287" s="5" t="s">
        <v>66</v>
      </c>
      <c r="D17287" s="5">
        <v>1</v>
      </c>
      <c r="E17287" s="5">
        <v>116305</v>
      </c>
    </row>
    <row r="17288" spans="1:5" x14ac:dyDescent="0.35">
      <c r="A17288" s="3">
        <v>46252</v>
      </c>
      <c r="B17288" s="5" t="s">
        <v>315</v>
      </c>
      <c r="C17288" s="5" t="s">
        <v>66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315</v>
      </c>
      <c r="C17289" s="5" t="s">
        <v>66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315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315</v>
      </c>
      <c r="C17291" s="5" t="s">
        <v>66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315</v>
      </c>
      <c r="C17292" s="5" t="s">
        <v>65</v>
      </c>
      <c r="D17292" s="5">
        <v>1</v>
      </c>
      <c r="E17292" s="5">
        <v>116305</v>
      </c>
    </row>
    <row r="17293" spans="1:5" x14ac:dyDescent="0.35">
      <c r="A17293" s="3">
        <v>46252</v>
      </c>
      <c r="B17293" s="5" t="s">
        <v>315</v>
      </c>
      <c r="C17293" s="5" t="s">
        <v>66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315</v>
      </c>
      <c r="C17294" s="5" t="s">
        <v>67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315</v>
      </c>
      <c r="C17295" s="5" t="s">
        <v>67</v>
      </c>
      <c r="D17295" s="5">
        <v>1</v>
      </c>
      <c r="E17295" s="5">
        <v>116305</v>
      </c>
    </row>
    <row r="17296" spans="1:5" x14ac:dyDescent="0.35">
      <c r="A17296" s="3">
        <v>46252</v>
      </c>
      <c r="B17296" s="5" t="s">
        <v>355</v>
      </c>
      <c r="C17296" s="5" t="s">
        <v>20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315</v>
      </c>
      <c r="C17297" s="5" t="s">
        <v>67</v>
      </c>
      <c r="D17297" s="5">
        <v>1</v>
      </c>
      <c r="E17297" s="5">
        <v>116305</v>
      </c>
    </row>
    <row r="17298" spans="1:5" x14ac:dyDescent="0.35">
      <c r="A17298" s="3">
        <v>46252</v>
      </c>
      <c r="B17298" s="5" t="s">
        <v>355</v>
      </c>
      <c r="C17298" s="5" t="s">
        <v>19</v>
      </c>
      <c r="D17298" s="5">
        <v>1</v>
      </c>
      <c r="E17298" s="5">
        <v>127942</v>
      </c>
    </row>
    <row r="17299" spans="1:5" x14ac:dyDescent="0.35">
      <c r="A17299" s="3">
        <v>46252</v>
      </c>
      <c r="B17299" s="5" t="s">
        <v>355</v>
      </c>
      <c r="C17299" s="5" t="s">
        <v>20</v>
      </c>
      <c r="D17299" s="5">
        <v>1</v>
      </c>
      <c r="E17299" s="5">
        <v>127942</v>
      </c>
    </row>
    <row r="17300" spans="1:5" x14ac:dyDescent="0.35">
      <c r="A17300" s="3">
        <v>46252</v>
      </c>
      <c r="B17300" s="5" t="s">
        <v>355</v>
      </c>
      <c r="C17300" s="5" t="s">
        <v>19</v>
      </c>
      <c r="D17300" s="5">
        <v>1</v>
      </c>
      <c r="E17300" s="5">
        <v>127942</v>
      </c>
    </row>
    <row r="17301" spans="1:5" x14ac:dyDescent="0.35">
      <c r="A17301" s="3">
        <v>46252</v>
      </c>
      <c r="B17301" s="5" t="s">
        <v>258</v>
      </c>
      <c r="C17301" s="5" t="s">
        <v>20</v>
      </c>
      <c r="D17301" s="5">
        <v>1</v>
      </c>
      <c r="E17301" s="5">
        <v>127942</v>
      </c>
    </row>
    <row r="17302" spans="1:5" x14ac:dyDescent="0.35">
      <c r="A17302" s="3">
        <v>46252</v>
      </c>
      <c r="B17302" s="5" t="s">
        <v>258</v>
      </c>
      <c r="C17302" s="5" t="s">
        <v>20</v>
      </c>
      <c r="D17302" s="5">
        <v>1</v>
      </c>
      <c r="E17302" s="5">
        <v>127942</v>
      </c>
    </row>
    <row r="17303" spans="1:5" x14ac:dyDescent="0.35">
      <c r="A17303" s="3">
        <v>46252</v>
      </c>
      <c r="B17303" s="5" t="s">
        <v>364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364</v>
      </c>
      <c r="C17304" s="5" t="s">
        <v>66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364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364</v>
      </c>
      <c r="C17306" s="5" t="s">
        <v>66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376</v>
      </c>
      <c r="C17307" s="5" t="s">
        <v>37</v>
      </c>
      <c r="D17307" s="5">
        <v>1</v>
      </c>
      <c r="E17307" s="5">
        <v>118123</v>
      </c>
    </row>
    <row r="17308" spans="1:5" x14ac:dyDescent="0.35">
      <c r="A17308" s="3">
        <v>46252</v>
      </c>
      <c r="B17308" s="5" t="s">
        <v>315</v>
      </c>
      <c r="C17308" s="5" t="s">
        <v>66</v>
      </c>
      <c r="D17308" s="5">
        <v>1</v>
      </c>
      <c r="E17308" s="5">
        <v>116305</v>
      </c>
    </row>
    <row r="17309" spans="1:5" x14ac:dyDescent="0.35">
      <c r="A17309" s="3">
        <v>46252</v>
      </c>
      <c r="B17309" s="5" t="s">
        <v>315</v>
      </c>
      <c r="C17309" s="5" t="s">
        <v>66</v>
      </c>
      <c r="D17309" s="5">
        <v>1</v>
      </c>
      <c r="E17309" s="5">
        <v>116305</v>
      </c>
    </row>
    <row r="17310" spans="1:5" x14ac:dyDescent="0.35">
      <c r="A17310" s="3">
        <v>46252</v>
      </c>
      <c r="B17310" s="5" t="s">
        <v>315</v>
      </c>
      <c r="C17310" s="5" t="s">
        <v>66</v>
      </c>
      <c r="D17310" s="5">
        <v>1</v>
      </c>
      <c r="E17310" s="5">
        <v>116305</v>
      </c>
    </row>
    <row r="17311" spans="1:5" x14ac:dyDescent="0.35">
      <c r="A17311" s="3">
        <v>46252</v>
      </c>
      <c r="B17311" s="5" t="s">
        <v>315</v>
      </c>
      <c r="C17311" s="5" t="s">
        <v>66</v>
      </c>
      <c r="D17311" s="5">
        <v>1</v>
      </c>
      <c r="E17311" s="5">
        <v>116305</v>
      </c>
    </row>
    <row r="17312" spans="1:5" x14ac:dyDescent="0.35">
      <c r="A17312" s="3">
        <v>46252</v>
      </c>
      <c r="B17312" s="5" t="s">
        <v>315</v>
      </c>
      <c r="C17312" s="5" t="s">
        <v>66</v>
      </c>
      <c r="D17312" s="5">
        <v>1</v>
      </c>
      <c r="E17312" s="5">
        <v>116305</v>
      </c>
    </row>
    <row r="17313" spans="1:5" x14ac:dyDescent="0.35">
      <c r="A17313" s="3">
        <v>46252</v>
      </c>
      <c r="B17313" s="5" t="s">
        <v>315</v>
      </c>
      <c r="C17313" s="5" t="s">
        <v>65</v>
      </c>
      <c r="D17313" s="5">
        <v>1</v>
      </c>
      <c r="E17313" s="5">
        <v>116305</v>
      </c>
    </row>
    <row r="17314" spans="1:5" x14ac:dyDescent="0.35">
      <c r="A17314" s="3">
        <v>46252</v>
      </c>
      <c r="B17314" s="5" t="s">
        <v>315</v>
      </c>
      <c r="C17314" s="5" t="s">
        <v>66</v>
      </c>
      <c r="D17314" s="5">
        <v>1</v>
      </c>
      <c r="E17314" s="5">
        <v>116305</v>
      </c>
    </row>
    <row r="17315" spans="1:5" x14ac:dyDescent="0.35">
      <c r="A17315" s="3">
        <v>46252</v>
      </c>
      <c r="B17315" s="5" t="s">
        <v>315</v>
      </c>
      <c r="C17315" s="5" t="s">
        <v>65</v>
      </c>
      <c r="D17315" s="5">
        <v>1</v>
      </c>
      <c r="E17315" s="5">
        <v>116305</v>
      </c>
    </row>
    <row r="17316" spans="1:5" x14ac:dyDescent="0.35">
      <c r="A17316" s="3">
        <v>46252</v>
      </c>
      <c r="B17316" s="5" t="s">
        <v>315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355</v>
      </c>
      <c r="C17317" s="5" t="s">
        <v>19</v>
      </c>
      <c r="D17317" s="5">
        <v>1</v>
      </c>
      <c r="E17317" s="5">
        <v>127942</v>
      </c>
    </row>
    <row r="17318" spans="1:5" x14ac:dyDescent="0.35">
      <c r="A17318" s="3">
        <v>46252</v>
      </c>
      <c r="B17318" s="5" t="s">
        <v>355</v>
      </c>
      <c r="C17318" s="5" t="s">
        <v>20</v>
      </c>
      <c r="D17318" s="5">
        <v>1</v>
      </c>
      <c r="E17318" s="5">
        <v>127942</v>
      </c>
    </row>
    <row r="17319" spans="1:5" x14ac:dyDescent="0.35">
      <c r="A17319" s="3">
        <v>46252</v>
      </c>
      <c r="B17319" s="5" t="s">
        <v>315</v>
      </c>
      <c r="C17319" s="5" t="s">
        <v>67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258</v>
      </c>
      <c r="C17320" s="5" t="s">
        <v>18</v>
      </c>
      <c r="D17320" s="5">
        <v>1</v>
      </c>
      <c r="E17320" s="5">
        <v>127942</v>
      </c>
    </row>
    <row r="17321" spans="1:5" x14ac:dyDescent="0.35">
      <c r="A17321" s="3">
        <v>46252</v>
      </c>
      <c r="B17321" s="5" t="s">
        <v>258</v>
      </c>
      <c r="C17321" s="5" t="s">
        <v>20</v>
      </c>
      <c r="D17321" s="5">
        <v>1</v>
      </c>
      <c r="E17321" s="5">
        <v>127942</v>
      </c>
    </row>
    <row r="17322" spans="1:5" x14ac:dyDescent="0.35">
      <c r="A17322" s="3">
        <v>46252</v>
      </c>
      <c r="B17322" s="5" t="s">
        <v>258</v>
      </c>
      <c r="C17322" s="5" t="s">
        <v>18</v>
      </c>
      <c r="D17322" s="5">
        <v>1</v>
      </c>
      <c r="E17322" s="5">
        <v>127942</v>
      </c>
    </row>
    <row r="17323" spans="1:5" x14ac:dyDescent="0.35">
      <c r="A17323" s="3">
        <v>46252</v>
      </c>
      <c r="B17323" s="5" t="s">
        <v>364</v>
      </c>
      <c r="C17323" s="5" t="s">
        <v>66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364</v>
      </c>
      <c r="C17324" s="5" t="s">
        <v>65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258</v>
      </c>
      <c r="C17325" s="5" t="s">
        <v>18</v>
      </c>
      <c r="D17325" s="5">
        <v>1</v>
      </c>
      <c r="E17325" s="5">
        <v>127942</v>
      </c>
    </row>
    <row r="17326" spans="1:5" x14ac:dyDescent="0.35">
      <c r="A17326" s="3">
        <v>46252</v>
      </c>
      <c r="B17326" s="5" t="s">
        <v>364</v>
      </c>
      <c r="C17326" s="5" t="s">
        <v>66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364</v>
      </c>
      <c r="C17327" s="5" t="s">
        <v>66</v>
      </c>
      <c r="D17327" s="5">
        <v>1</v>
      </c>
      <c r="E17327" s="5">
        <v>116305</v>
      </c>
    </row>
    <row r="17328" spans="1:5" x14ac:dyDescent="0.35">
      <c r="A17328" s="3">
        <v>46252</v>
      </c>
      <c r="B17328" s="5" t="s">
        <v>364</v>
      </c>
      <c r="C17328" s="5" t="s">
        <v>65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364</v>
      </c>
      <c r="C17329" s="5" t="s">
        <v>66</v>
      </c>
      <c r="D17329" s="5">
        <v>1</v>
      </c>
      <c r="E17329" s="5">
        <v>116305</v>
      </c>
    </row>
    <row r="17330" spans="1:5" x14ac:dyDescent="0.35">
      <c r="A17330" s="3">
        <v>46252</v>
      </c>
      <c r="B17330" s="5" t="s">
        <v>373</v>
      </c>
      <c r="C17330" s="5" t="s">
        <v>18</v>
      </c>
      <c r="D17330" s="5">
        <v>1</v>
      </c>
      <c r="E17330" s="5">
        <v>129941</v>
      </c>
    </row>
    <row r="17331" spans="1:5" x14ac:dyDescent="0.35">
      <c r="A17331" s="3">
        <v>46252</v>
      </c>
      <c r="B17331" s="5" t="s">
        <v>237</v>
      </c>
      <c r="C17331" s="5" t="s">
        <v>38</v>
      </c>
      <c r="D17331" s="5">
        <v>1</v>
      </c>
      <c r="E17331" s="5">
        <v>203578</v>
      </c>
    </row>
    <row r="17332" spans="1:5" x14ac:dyDescent="0.35">
      <c r="A17332" s="3">
        <v>46252</v>
      </c>
      <c r="B17332" s="5" t="s">
        <v>315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315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355</v>
      </c>
      <c r="C17334" s="5" t="s">
        <v>20</v>
      </c>
      <c r="D17334" s="5">
        <v>1</v>
      </c>
      <c r="E17334" s="5">
        <v>127942</v>
      </c>
    </row>
    <row r="17335" spans="1:5" x14ac:dyDescent="0.35">
      <c r="A17335" s="3">
        <v>46252</v>
      </c>
      <c r="B17335" s="5" t="s">
        <v>355</v>
      </c>
      <c r="C17335" s="5" t="s">
        <v>20</v>
      </c>
      <c r="D17335" s="5">
        <v>1</v>
      </c>
      <c r="E17335" s="5">
        <v>127942</v>
      </c>
    </row>
    <row r="17336" spans="1:5" x14ac:dyDescent="0.35">
      <c r="A17336" s="3">
        <v>46252</v>
      </c>
      <c r="B17336" s="5" t="s">
        <v>355</v>
      </c>
      <c r="C17336" s="5" t="s">
        <v>20</v>
      </c>
      <c r="D17336" s="5">
        <v>1</v>
      </c>
      <c r="E17336" s="5">
        <v>127942</v>
      </c>
    </row>
    <row r="17337" spans="1:5" x14ac:dyDescent="0.35">
      <c r="A17337" s="3">
        <v>46252</v>
      </c>
      <c r="B17337" s="5" t="s">
        <v>315</v>
      </c>
      <c r="C17337" s="5" t="s">
        <v>67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315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315</v>
      </c>
      <c r="C17339" s="5" t="s">
        <v>66</v>
      </c>
      <c r="D17339" s="5">
        <v>1</v>
      </c>
      <c r="E17339" s="5">
        <v>116305</v>
      </c>
    </row>
    <row r="17340" spans="1:5" x14ac:dyDescent="0.35">
      <c r="A17340" s="3">
        <v>46252</v>
      </c>
      <c r="B17340" s="5" t="s">
        <v>237</v>
      </c>
      <c r="C17340" s="5" t="s">
        <v>38</v>
      </c>
      <c r="D17340" s="5">
        <v>1</v>
      </c>
      <c r="E17340" s="5">
        <v>203578</v>
      </c>
    </row>
    <row r="17341" spans="1:5" x14ac:dyDescent="0.35">
      <c r="A17341" s="3">
        <v>46252</v>
      </c>
      <c r="B17341" s="5" t="s">
        <v>258</v>
      </c>
      <c r="C17341" s="5" t="s">
        <v>20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364</v>
      </c>
      <c r="C17342" s="5" t="s">
        <v>66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364</v>
      </c>
      <c r="C17343" s="5" t="s">
        <v>66</v>
      </c>
      <c r="D17343" s="5">
        <v>1</v>
      </c>
      <c r="E17343" s="5">
        <v>116305</v>
      </c>
    </row>
    <row r="17344" spans="1:5" x14ac:dyDescent="0.35">
      <c r="A17344" s="3">
        <v>46252</v>
      </c>
      <c r="B17344" s="5" t="s">
        <v>364</v>
      </c>
      <c r="C17344" s="5" t="s">
        <v>66</v>
      </c>
      <c r="D17344" s="5">
        <v>1</v>
      </c>
      <c r="E17344" s="5">
        <v>116305</v>
      </c>
    </row>
    <row r="17345" spans="1:5" x14ac:dyDescent="0.35">
      <c r="A17345" s="3">
        <v>46252</v>
      </c>
      <c r="B17345" s="5" t="s">
        <v>364</v>
      </c>
      <c r="C17345" s="5" t="s">
        <v>65</v>
      </c>
      <c r="D17345" s="5">
        <v>1</v>
      </c>
      <c r="E17345" s="5">
        <v>116305</v>
      </c>
    </row>
    <row r="17346" spans="1:5" x14ac:dyDescent="0.35">
      <c r="A17346" s="3">
        <v>46252</v>
      </c>
      <c r="B17346" s="5" t="s">
        <v>364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364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364</v>
      </c>
      <c r="C17348" s="5" t="s">
        <v>66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362</v>
      </c>
      <c r="C17349" s="5" t="s">
        <v>67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315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315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355</v>
      </c>
      <c r="C17352" s="5" t="s">
        <v>20</v>
      </c>
      <c r="D17352" s="5">
        <v>1</v>
      </c>
      <c r="E17352" s="5">
        <v>127942</v>
      </c>
    </row>
    <row r="17353" spans="1:5" x14ac:dyDescent="0.35">
      <c r="A17353" s="3">
        <v>46252</v>
      </c>
      <c r="B17353" s="5" t="s">
        <v>258</v>
      </c>
      <c r="C17353" s="5" t="s">
        <v>20</v>
      </c>
      <c r="D17353" s="5">
        <v>1</v>
      </c>
      <c r="E17353" s="5">
        <v>127942</v>
      </c>
    </row>
    <row r="17354" spans="1:5" x14ac:dyDescent="0.35">
      <c r="A17354" s="3">
        <v>46252</v>
      </c>
      <c r="B17354" s="5" t="s">
        <v>315</v>
      </c>
      <c r="C17354" s="5" t="s">
        <v>65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258</v>
      </c>
      <c r="C17355" s="5" t="s">
        <v>20</v>
      </c>
      <c r="D17355" s="5">
        <v>1</v>
      </c>
      <c r="E17355" s="5">
        <v>127942</v>
      </c>
    </row>
    <row r="17356" spans="1:5" x14ac:dyDescent="0.35">
      <c r="A17356" s="3">
        <v>46252</v>
      </c>
      <c r="B17356" s="5" t="s">
        <v>315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258</v>
      </c>
      <c r="C17357" s="5" t="s">
        <v>20</v>
      </c>
      <c r="D17357" s="5">
        <v>1</v>
      </c>
      <c r="E17357" s="5">
        <v>127942</v>
      </c>
    </row>
    <row r="17358" spans="1:5" x14ac:dyDescent="0.35">
      <c r="A17358" s="3">
        <v>46252</v>
      </c>
      <c r="B17358" s="5" t="s">
        <v>315</v>
      </c>
      <c r="C17358" s="5" t="s">
        <v>65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354</v>
      </c>
      <c r="C17359" s="5" t="s">
        <v>19</v>
      </c>
      <c r="D17359" s="5">
        <v>1</v>
      </c>
      <c r="E17359" s="5">
        <v>127942</v>
      </c>
    </row>
    <row r="17360" spans="1:5" x14ac:dyDescent="0.35">
      <c r="A17360" s="3">
        <v>46252</v>
      </c>
      <c r="B17360" s="5" t="s">
        <v>258</v>
      </c>
      <c r="C17360" s="5" t="s">
        <v>19</v>
      </c>
      <c r="D17360" s="5">
        <v>1</v>
      </c>
      <c r="E17360" s="5">
        <v>127942</v>
      </c>
    </row>
    <row r="17361" spans="1:5" x14ac:dyDescent="0.35">
      <c r="A17361" s="3">
        <v>46252</v>
      </c>
      <c r="B17361" s="5" t="s">
        <v>364</v>
      </c>
      <c r="C17361" s="5" t="s">
        <v>65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258</v>
      </c>
      <c r="C17362" s="5" t="s">
        <v>18</v>
      </c>
      <c r="D17362" s="5">
        <v>1</v>
      </c>
      <c r="E17362" s="5">
        <v>127942</v>
      </c>
    </row>
    <row r="17363" spans="1:5" x14ac:dyDescent="0.35">
      <c r="A17363" s="3">
        <v>46252</v>
      </c>
      <c r="B17363" s="5" t="s">
        <v>364</v>
      </c>
      <c r="C17363" s="5" t="s">
        <v>66</v>
      </c>
      <c r="D17363" s="5">
        <v>1</v>
      </c>
      <c r="E17363" s="5">
        <v>116305</v>
      </c>
    </row>
    <row r="17364" spans="1:5" x14ac:dyDescent="0.35">
      <c r="A17364" s="3">
        <v>46252</v>
      </c>
      <c r="B17364" s="5" t="s">
        <v>364</v>
      </c>
      <c r="C17364" s="5" t="s">
        <v>67</v>
      </c>
      <c r="D17364" s="5">
        <v>1</v>
      </c>
      <c r="E17364" s="5">
        <v>116305</v>
      </c>
    </row>
    <row r="17365" spans="1:5" x14ac:dyDescent="0.35">
      <c r="A17365" s="3">
        <v>46252</v>
      </c>
      <c r="B17365" s="5" t="s">
        <v>362</v>
      </c>
      <c r="C17365" s="5" t="s">
        <v>66</v>
      </c>
      <c r="D17365" s="5">
        <v>1</v>
      </c>
      <c r="E17365" s="5">
        <v>116305</v>
      </c>
    </row>
    <row r="17366" spans="1:5" x14ac:dyDescent="0.35">
      <c r="A17366" s="3">
        <v>46252</v>
      </c>
      <c r="B17366" s="5" t="s">
        <v>373</v>
      </c>
      <c r="C17366" s="5" t="s">
        <v>32</v>
      </c>
      <c r="D17366" s="5">
        <v>1</v>
      </c>
      <c r="E17366" s="5">
        <v>177214</v>
      </c>
    </row>
    <row r="17367" spans="1:5" x14ac:dyDescent="0.35">
      <c r="A17367" s="3">
        <v>46252</v>
      </c>
      <c r="B17367" s="5" t="s">
        <v>315</v>
      </c>
      <c r="C17367" s="5" t="s">
        <v>66</v>
      </c>
      <c r="D17367" s="5">
        <v>1</v>
      </c>
      <c r="E17367" s="5">
        <v>116305</v>
      </c>
    </row>
    <row r="17368" spans="1:5" x14ac:dyDescent="0.35">
      <c r="A17368" s="3">
        <v>46252</v>
      </c>
      <c r="B17368" s="5" t="s">
        <v>315</v>
      </c>
      <c r="C17368" s="5" t="s">
        <v>66</v>
      </c>
      <c r="D17368" s="5">
        <v>1</v>
      </c>
      <c r="E17368" s="5">
        <v>116305</v>
      </c>
    </row>
    <row r="17369" spans="1:5" x14ac:dyDescent="0.35">
      <c r="A17369" s="3">
        <v>46252</v>
      </c>
      <c r="B17369" s="5" t="s">
        <v>315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315</v>
      </c>
      <c r="C17370" s="5" t="s">
        <v>67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315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315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315</v>
      </c>
      <c r="C17373" s="5" t="s">
        <v>65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355</v>
      </c>
      <c r="C17374" s="5" t="s">
        <v>20</v>
      </c>
      <c r="D17374" s="5">
        <v>1</v>
      </c>
      <c r="E17374" s="5">
        <v>127942</v>
      </c>
    </row>
    <row r="17375" spans="1:5" x14ac:dyDescent="0.35">
      <c r="A17375" s="3">
        <v>46252</v>
      </c>
      <c r="B17375" s="5" t="s">
        <v>258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364</v>
      </c>
      <c r="C17376" s="5" t="s">
        <v>66</v>
      </c>
      <c r="D17376" s="5">
        <v>1</v>
      </c>
      <c r="E17376" s="5">
        <v>116305</v>
      </c>
    </row>
    <row r="17377" spans="1:5" x14ac:dyDescent="0.35">
      <c r="A17377" s="3">
        <v>46252</v>
      </c>
      <c r="B17377" s="5" t="s">
        <v>364</v>
      </c>
      <c r="C17377" s="5" t="s">
        <v>66</v>
      </c>
      <c r="D17377" s="5">
        <v>1</v>
      </c>
      <c r="E17377" s="5">
        <v>116305</v>
      </c>
    </row>
    <row r="17378" spans="1:5" x14ac:dyDescent="0.35">
      <c r="A17378" s="3">
        <v>46252</v>
      </c>
      <c r="B17378" s="5" t="s">
        <v>373</v>
      </c>
      <c r="C17378" s="5" t="s">
        <v>93</v>
      </c>
      <c r="D17378" s="5">
        <v>1</v>
      </c>
      <c r="E17378" s="5">
        <v>50168</v>
      </c>
    </row>
    <row r="17379" spans="1:5" x14ac:dyDescent="0.35">
      <c r="A17379" s="3">
        <v>46252</v>
      </c>
      <c r="B17379" s="5" t="s">
        <v>244</v>
      </c>
      <c r="C17379" s="5" t="s">
        <v>18</v>
      </c>
      <c r="D17379" s="5">
        <v>1</v>
      </c>
      <c r="E17379" s="5">
        <v>129941</v>
      </c>
    </row>
    <row r="17380" spans="1:5" x14ac:dyDescent="0.35">
      <c r="A17380" s="3">
        <v>46252</v>
      </c>
      <c r="B17380" s="5" t="s">
        <v>373</v>
      </c>
      <c r="C17380" s="5" t="s">
        <v>93</v>
      </c>
      <c r="D17380" s="5">
        <v>1</v>
      </c>
      <c r="E17380" s="5">
        <v>50168</v>
      </c>
    </row>
    <row r="17381" spans="1:5" x14ac:dyDescent="0.35">
      <c r="A17381" s="3">
        <v>46252</v>
      </c>
      <c r="B17381" s="5" t="s">
        <v>315</v>
      </c>
      <c r="C17381" s="5" t="s">
        <v>66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315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315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315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315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315</v>
      </c>
      <c r="C17386" s="5" t="s">
        <v>65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258</v>
      </c>
      <c r="C17387" s="5" t="s">
        <v>18</v>
      </c>
      <c r="D17387" s="5">
        <v>1</v>
      </c>
      <c r="E17387" s="5">
        <v>127942</v>
      </c>
    </row>
    <row r="17388" spans="1:5" x14ac:dyDescent="0.35">
      <c r="A17388" s="3">
        <v>46252</v>
      </c>
      <c r="B17388" s="5" t="s">
        <v>364</v>
      </c>
      <c r="C17388" s="5" t="s">
        <v>66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315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315</v>
      </c>
      <c r="C17390" s="5" t="s">
        <v>65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121</v>
      </c>
      <c r="C17391" s="5" t="s">
        <v>42</v>
      </c>
      <c r="D17391" s="5">
        <v>1</v>
      </c>
      <c r="E17391" s="5">
        <v>203578</v>
      </c>
    </row>
    <row r="17392" spans="1:5" x14ac:dyDescent="0.35">
      <c r="A17392" s="3">
        <v>46252</v>
      </c>
      <c r="B17392" s="5" t="s">
        <v>315</v>
      </c>
      <c r="C17392" s="5" t="s">
        <v>65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355</v>
      </c>
      <c r="C17393" s="5" t="s">
        <v>18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258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258</v>
      </c>
      <c r="C17395" s="5" t="s">
        <v>20</v>
      </c>
      <c r="D17395" s="5">
        <v>1</v>
      </c>
      <c r="E17395" s="5">
        <v>127942</v>
      </c>
    </row>
    <row r="17396" spans="1:5" x14ac:dyDescent="0.35">
      <c r="A17396" s="3">
        <v>46252</v>
      </c>
      <c r="B17396" s="5" t="s">
        <v>258</v>
      </c>
      <c r="C17396" s="5" t="s">
        <v>19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258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364</v>
      </c>
      <c r="C17398" s="5" t="s">
        <v>67</v>
      </c>
      <c r="D17398" s="5">
        <v>1</v>
      </c>
      <c r="E17398" s="5">
        <v>116305</v>
      </c>
    </row>
    <row r="17399" spans="1:5" x14ac:dyDescent="0.35">
      <c r="A17399" s="3">
        <v>46252</v>
      </c>
      <c r="B17399" s="5" t="s">
        <v>364</v>
      </c>
      <c r="C17399" s="5" t="s">
        <v>65</v>
      </c>
      <c r="D17399" s="5">
        <v>1</v>
      </c>
      <c r="E17399" s="5">
        <v>116305</v>
      </c>
    </row>
    <row r="17400" spans="1:5" x14ac:dyDescent="0.35">
      <c r="A17400" s="3">
        <v>46252</v>
      </c>
      <c r="B17400" s="5" t="s">
        <v>373</v>
      </c>
      <c r="C17400" s="5" t="s">
        <v>82</v>
      </c>
      <c r="D17400" s="5">
        <v>1</v>
      </c>
      <c r="E17400" s="5">
        <v>70850</v>
      </c>
    </row>
    <row r="17401" spans="1:5" x14ac:dyDescent="0.35">
      <c r="A17401" s="3">
        <v>46252</v>
      </c>
      <c r="B17401" s="5" t="s">
        <v>373</v>
      </c>
      <c r="C17401" s="5" t="s">
        <v>18</v>
      </c>
      <c r="D17401" s="5">
        <v>1</v>
      </c>
      <c r="E17401" s="5">
        <v>129941</v>
      </c>
    </row>
    <row r="17402" spans="1:5" x14ac:dyDescent="0.35">
      <c r="A17402" s="3">
        <v>46252</v>
      </c>
      <c r="B17402" s="5" t="s">
        <v>373</v>
      </c>
      <c r="C17402" s="5" t="s">
        <v>41</v>
      </c>
      <c r="D17402" s="5">
        <v>1</v>
      </c>
      <c r="E17402" s="5">
        <v>159486</v>
      </c>
    </row>
    <row r="17403" spans="1:5" x14ac:dyDescent="0.35">
      <c r="A17403" s="3">
        <v>46252</v>
      </c>
      <c r="B17403" s="5" t="s">
        <v>376</v>
      </c>
      <c r="C17403" s="5" t="s">
        <v>18</v>
      </c>
      <c r="D17403" s="5">
        <v>1</v>
      </c>
      <c r="E17403" s="5">
        <v>129941</v>
      </c>
    </row>
    <row r="17404" spans="1:5" x14ac:dyDescent="0.35">
      <c r="A17404" s="3">
        <v>46252</v>
      </c>
      <c r="B17404" s="5" t="s">
        <v>315</v>
      </c>
      <c r="C17404" s="5" t="s">
        <v>66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315</v>
      </c>
      <c r="C17405" s="5" t="s">
        <v>65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315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315</v>
      </c>
      <c r="C17407" s="5" t="s">
        <v>66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355</v>
      </c>
      <c r="C17408" s="5" t="s">
        <v>20</v>
      </c>
      <c r="D17408" s="5">
        <v>1</v>
      </c>
      <c r="E17408" s="5">
        <v>127942</v>
      </c>
    </row>
    <row r="17409" spans="1:5" x14ac:dyDescent="0.35">
      <c r="A17409" s="3">
        <v>46252</v>
      </c>
      <c r="B17409" s="5" t="s">
        <v>315</v>
      </c>
      <c r="C17409" s="5" t="s">
        <v>66</v>
      </c>
      <c r="D17409" s="5">
        <v>1</v>
      </c>
      <c r="E17409" s="5">
        <v>116305</v>
      </c>
    </row>
    <row r="17410" spans="1:5" x14ac:dyDescent="0.35">
      <c r="A17410" s="3">
        <v>46252</v>
      </c>
      <c r="B17410" s="5" t="s">
        <v>315</v>
      </c>
      <c r="C17410" s="5" t="s">
        <v>65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315</v>
      </c>
      <c r="C17411" s="5" t="s">
        <v>65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363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354</v>
      </c>
      <c r="C17413" s="5" t="s">
        <v>19</v>
      </c>
      <c r="D17413" s="5">
        <v>1</v>
      </c>
      <c r="E17413" s="5">
        <v>127942</v>
      </c>
    </row>
    <row r="17414" spans="1:5" x14ac:dyDescent="0.35">
      <c r="A17414" s="3">
        <v>46252</v>
      </c>
      <c r="B17414" s="5" t="s">
        <v>315</v>
      </c>
      <c r="C17414" s="5" t="s">
        <v>67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354</v>
      </c>
      <c r="C17415" s="5" t="s">
        <v>19</v>
      </c>
      <c r="D17415" s="5">
        <v>1</v>
      </c>
      <c r="E17415" s="5">
        <v>127942</v>
      </c>
    </row>
    <row r="17416" spans="1:5" x14ac:dyDescent="0.35">
      <c r="A17416" s="3">
        <v>46252</v>
      </c>
      <c r="B17416" s="5" t="s">
        <v>364</v>
      </c>
      <c r="C17416" s="5" t="s">
        <v>66</v>
      </c>
      <c r="D17416" s="5">
        <v>1</v>
      </c>
      <c r="E17416" s="5">
        <v>116305</v>
      </c>
    </row>
    <row r="17417" spans="1:5" x14ac:dyDescent="0.35">
      <c r="A17417" s="3">
        <v>46252</v>
      </c>
      <c r="B17417" s="5" t="s">
        <v>258</v>
      </c>
      <c r="C17417" s="5" t="s">
        <v>19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364</v>
      </c>
      <c r="C17418" s="5" t="s">
        <v>66</v>
      </c>
      <c r="D17418" s="5">
        <v>1</v>
      </c>
      <c r="E17418" s="5">
        <v>116305</v>
      </c>
    </row>
    <row r="17419" spans="1:5" x14ac:dyDescent="0.35">
      <c r="A17419" s="3">
        <v>46252</v>
      </c>
      <c r="B17419" s="5" t="s">
        <v>364</v>
      </c>
      <c r="C17419" s="5" t="s">
        <v>66</v>
      </c>
      <c r="D17419" s="5">
        <v>1</v>
      </c>
      <c r="E17419" s="5">
        <v>116305</v>
      </c>
    </row>
    <row r="17420" spans="1:5" x14ac:dyDescent="0.35">
      <c r="A17420" s="3">
        <v>46252</v>
      </c>
      <c r="B17420" s="5" t="s">
        <v>362</v>
      </c>
      <c r="C17420" s="5" t="s">
        <v>66</v>
      </c>
      <c r="D17420" s="5">
        <v>1</v>
      </c>
      <c r="E17420" s="5">
        <v>116305</v>
      </c>
    </row>
    <row r="17421" spans="1:5" x14ac:dyDescent="0.35">
      <c r="A17421" s="3">
        <v>46252</v>
      </c>
      <c r="B17421" s="5" t="s">
        <v>373</v>
      </c>
      <c r="C17421" s="5" t="s">
        <v>93</v>
      </c>
      <c r="D17421" s="5">
        <v>1</v>
      </c>
      <c r="E17421" s="5">
        <v>50168</v>
      </c>
    </row>
    <row r="17422" spans="1:5" x14ac:dyDescent="0.35">
      <c r="A17422" s="3">
        <v>46252</v>
      </c>
      <c r="B17422" s="5" t="s">
        <v>244</v>
      </c>
      <c r="C17422" s="5" t="s">
        <v>85</v>
      </c>
      <c r="D17422" s="5">
        <v>1</v>
      </c>
      <c r="E17422" s="5">
        <v>189032</v>
      </c>
    </row>
    <row r="17423" spans="1:5" x14ac:dyDescent="0.35">
      <c r="A17423" s="3">
        <v>46252</v>
      </c>
      <c r="B17423" s="5" t="s">
        <v>244</v>
      </c>
      <c r="C17423" s="5" t="s">
        <v>18</v>
      </c>
      <c r="D17423" s="5">
        <v>1</v>
      </c>
      <c r="E17423" s="5">
        <v>129941</v>
      </c>
    </row>
    <row r="17424" spans="1:5" x14ac:dyDescent="0.35">
      <c r="A17424" s="3">
        <v>46252</v>
      </c>
      <c r="B17424" s="5" t="s">
        <v>315</v>
      </c>
      <c r="C17424" s="5" t="s">
        <v>66</v>
      </c>
      <c r="D17424" s="5">
        <v>1</v>
      </c>
      <c r="E17424" s="5">
        <v>116305</v>
      </c>
    </row>
    <row r="17425" spans="1:5" x14ac:dyDescent="0.35">
      <c r="A17425" s="3">
        <v>46252</v>
      </c>
      <c r="B17425" s="5" t="s">
        <v>315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315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315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315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315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355</v>
      </c>
      <c r="C17430" s="5" t="s">
        <v>18</v>
      </c>
      <c r="D17430" s="5">
        <v>1</v>
      </c>
      <c r="E17430" s="5">
        <v>127942</v>
      </c>
    </row>
    <row r="17431" spans="1:5" x14ac:dyDescent="0.35">
      <c r="A17431" s="3">
        <v>46252</v>
      </c>
      <c r="B17431" s="5" t="s">
        <v>315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315</v>
      </c>
      <c r="C17432" s="5" t="s">
        <v>65</v>
      </c>
      <c r="D17432" s="5">
        <v>1</v>
      </c>
      <c r="E17432" s="5">
        <v>116305</v>
      </c>
    </row>
    <row r="17433" spans="1:5" x14ac:dyDescent="0.35">
      <c r="A17433" s="3">
        <v>46252</v>
      </c>
      <c r="B17433" s="5" t="s">
        <v>355</v>
      </c>
      <c r="C17433" s="5" t="s">
        <v>19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363</v>
      </c>
      <c r="C17434" s="5" t="s">
        <v>66</v>
      </c>
      <c r="D17434" s="5">
        <v>1</v>
      </c>
      <c r="E17434" s="5">
        <v>116305</v>
      </c>
    </row>
    <row r="17435" spans="1:5" x14ac:dyDescent="0.35">
      <c r="A17435" s="3">
        <v>46252</v>
      </c>
      <c r="B17435" s="5" t="s">
        <v>258</v>
      </c>
      <c r="C17435" s="5" t="s">
        <v>20</v>
      </c>
      <c r="D17435" s="5">
        <v>1</v>
      </c>
      <c r="E17435" s="5">
        <v>127942</v>
      </c>
    </row>
    <row r="17436" spans="1:5" x14ac:dyDescent="0.35">
      <c r="A17436" s="3">
        <v>46252</v>
      </c>
      <c r="B17436" s="5" t="s">
        <v>364</v>
      </c>
      <c r="C17436" s="5" t="s">
        <v>66</v>
      </c>
      <c r="D17436" s="5">
        <v>1</v>
      </c>
      <c r="E17436" s="5">
        <v>116305</v>
      </c>
    </row>
    <row r="17437" spans="1:5" x14ac:dyDescent="0.35">
      <c r="A17437" s="3">
        <v>46252</v>
      </c>
      <c r="B17437" s="5" t="s">
        <v>258</v>
      </c>
      <c r="C17437" s="5" t="s">
        <v>20</v>
      </c>
      <c r="D17437" s="5">
        <v>1</v>
      </c>
      <c r="E17437" s="5">
        <v>127942</v>
      </c>
    </row>
    <row r="17438" spans="1:5" x14ac:dyDescent="0.35">
      <c r="A17438" s="3">
        <v>46252</v>
      </c>
      <c r="B17438" s="5" t="s">
        <v>258</v>
      </c>
      <c r="C17438" s="5" t="s">
        <v>19</v>
      </c>
      <c r="D17438" s="5">
        <v>1</v>
      </c>
      <c r="E17438" s="5">
        <v>127942</v>
      </c>
    </row>
    <row r="17439" spans="1:5" x14ac:dyDescent="0.35">
      <c r="A17439" s="3">
        <v>46252</v>
      </c>
      <c r="B17439" s="5" t="s">
        <v>364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258</v>
      </c>
      <c r="C17440" s="5" t="s">
        <v>19</v>
      </c>
      <c r="D17440" s="5">
        <v>1</v>
      </c>
      <c r="E17440" s="5">
        <v>127942</v>
      </c>
    </row>
    <row r="17441" spans="1:5" x14ac:dyDescent="0.35">
      <c r="A17441" s="3">
        <v>46252</v>
      </c>
      <c r="B17441" s="5" t="s">
        <v>364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373</v>
      </c>
      <c r="C17442" s="5" t="s">
        <v>18</v>
      </c>
      <c r="D17442" s="5">
        <v>1</v>
      </c>
      <c r="E17442" s="5">
        <v>129941</v>
      </c>
    </row>
    <row r="17443" spans="1:5" x14ac:dyDescent="0.35">
      <c r="A17443" s="3">
        <v>46252</v>
      </c>
      <c r="B17443" s="5" t="s">
        <v>373</v>
      </c>
      <c r="C17443" s="5" t="s">
        <v>82</v>
      </c>
      <c r="D17443" s="5">
        <v>1</v>
      </c>
      <c r="E17443" s="5">
        <v>70850</v>
      </c>
    </row>
    <row r="17444" spans="1:5" x14ac:dyDescent="0.35">
      <c r="A17444" s="3">
        <v>46252</v>
      </c>
      <c r="B17444" s="5" t="s">
        <v>315</v>
      </c>
      <c r="C17444" s="5" t="s">
        <v>66</v>
      </c>
      <c r="D17444" s="5">
        <v>1</v>
      </c>
      <c r="E17444" s="5">
        <v>116305</v>
      </c>
    </row>
    <row r="17445" spans="1:5" x14ac:dyDescent="0.35">
      <c r="A17445" s="3">
        <v>46252</v>
      </c>
      <c r="B17445" s="5" t="s">
        <v>315</v>
      </c>
      <c r="C17445" s="5" t="s">
        <v>66</v>
      </c>
      <c r="D17445" s="5">
        <v>1</v>
      </c>
      <c r="E17445" s="5">
        <v>116305</v>
      </c>
    </row>
    <row r="17446" spans="1:5" x14ac:dyDescent="0.35">
      <c r="A17446" s="3">
        <v>46252</v>
      </c>
      <c r="B17446" s="5" t="s">
        <v>315</v>
      </c>
      <c r="C17446" s="5" t="s">
        <v>66</v>
      </c>
      <c r="D17446" s="5">
        <v>1</v>
      </c>
      <c r="E17446" s="5">
        <v>116305</v>
      </c>
    </row>
    <row r="17447" spans="1:5" x14ac:dyDescent="0.35">
      <c r="A17447" s="3">
        <v>46252</v>
      </c>
      <c r="B17447" s="5" t="s">
        <v>315</v>
      </c>
      <c r="C17447" s="5" t="s">
        <v>66</v>
      </c>
      <c r="D17447" s="5">
        <v>1</v>
      </c>
      <c r="E17447" s="5">
        <v>116305</v>
      </c>
    </row>
    <row r="17448" spans="1:5" x14ac:dyDescent="0.35">
      <c r="A17448" s="3">
        <v>46252</v>
      </c>
      <c r="B17448" s="5" t="s">
        <v>315</v>
      </c>
      <c r="C17448" s="5" t="s">
        <v>66</v>
      </c>
      <c r="D17448" s="5">
        <v>1</v>
      </c>
      <c r="E17448" s="5">
        <v>116305</v>
      </c>
    </row>
    <row r="17449" spans="1:5" x14ac:dyDescent="0.35">
      <c r="A17449" s="3">
        <v>46252</v>
      </c>
      <c r="B17449" s="5" t="s">
        <v>315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315</v>
      </c>
      <c r="C17450" s="5" t="s">
        <v>66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237</v>
      </c>
      <c r="C17451" s="5" t="s">
        <v>38</v>
      </c>
      <c r="D17451" s="5">
        <v>1</v>
      </c>
      <c r="E17451" s="5">
        <v>203578</v>
      </c>
    </row>
    <row r="17452" spans="1:5" x14ac:dyDescent="0.35">
      <c r="A17452" s="3">
        <v>46252</v>
      </c>
      <c r="B17452" s="5" t="s">
        <v>355</v>
      </c>
      <c r="C17452" s="5" t="s">
        <v>20</v>
      </c>
      <c r="D17452" s="5">
        <v>1</v>
      </c>
      <c r="E17452" s="5">
        <v>127942</v>
      </c>
    </row>
    <row r="17453" spans="1:5" x14ac:dyDescent="0.35">
      <c r="A17453" s="3">
        <v>46252</v>
      </c>
      <c r="B17453" s="5" t="s">
        <v>355</v>
      </c>
      <c r="C17453" s="5" t="s">
        <v>20</v>
      </c>
      <c r="D17453" s="5">
        <v>1</v>
      </c>
      <c r="E17453" s="5">
        <v>127942</v>
      </c>
    </row>
    <row r="17454" spans="1:5" x14ac:dyDescent="0.35">
      <c r="A17454" s="3">
        <v>46252</v>
      </c>
      <c r="B17454" s="5" t="s">
        <v>355</v>
      </c>
      <c r="C17454" s="5" t="s">
        <v>18</v>
      </c>
      <c r="D17454" s="5">
        <v>1</v>
      </c>
      <c r="E17454" s="5">
        <v>127942</v>
      </c>
    </row>
    <row r="17455" spans="1:5" x14ac:dyDescent="0.35">
      <c r="A17455" s="3">
        <v>46252</v>
      </c>
      <c r="B17455" s="5" t="s">
        <v>354</v>
      </c>
      <c r="C17455" s="5" t="s">
        <v>20</v>
      </c>
      <c r="D17455" s="5">
        <v>1</v>
      </c>
      <c r="E17455" s="5">
        <v>127942</v>
      </c>
    </row>
    <row r="17456" spans="1:5" x14ac:dyDescent="0.35">
      <c r="A17456" s="3">
        <v>46252</v>
      </c>
      <c r="B17456" s="5" t="s">
        <v>258</v>
      </c>
      <c r="C17456" s="5" t="s">
        <v>20</v>
      </c>
      <c r="D17456" s="5">
        <v>1</v>
      </c>
      <c r="E17456" s="5">
        <v>127942</v>
      </c>
    </row>
    <row r="17457" spans="1:5" x14ac:dyDescent="0.35">
      <c r="A17457" s="3">
        <v>46252</v>
      </c>
      <c r="B17457" s="5" t="s">
        <v>258</v>
      </c>
      <c r="C17457" s="5" t="s">
        <v>20</v>
      </c>
      <c r="D17457" s="5">
        <v>1</v>
      </c>
      <c r="E17457" s="5">
        <v>127942</v>
      </c>
    </row>
    <row r="17458" spans="1:5" x14ac:dyDescent="0.35">
      <c r="A17458" s="3">
        <v>46252</v>
      </c>
      <c r="B17458" s="5" t="s">
        <v>258</v>
      </c>
      <c r="C17458" s="5" t="s">
        <v>19</v>
      </c>
      <c r="D17458" s="5">
        <v>1</v>
      </c>
      <c r="E17458" s="5">
        <v>127942</v>
      </c>
    </row>
    <row r="17459" spans="1:5" x14ac:dyDescent="0.35">
      <c r="A17459" s="3">
        <v>46252</v>
      </c>
      <c r="B17459" s="5" t="s">
        <v>258</v>
      </c>
      <c r="C17459" s="5" t="s">
        <v>19</v>
      </c>
      <c r="D17459" s="5">
        <v>1</v>
      </c>
      <c r="E17459" s="5">
        <v>127942</v>
      </c>
    </row>
    <row r="17460" spans="1:5" x14ac:dyDescent="0.35">
      <c r="A17460" s="3">
        <v>46252</v>
      </c>
      <c r="B17460" s="5" t="s">
        <v>258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364</v>
      </c>
      <c r="C17461" s="5" t="s">
        <v>66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258</v>
      </c>
      <c r="C17462" s="5" t="s">
        <v>19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364</v>
      </c>
      <c r="C17463" s="5" t="s">
        <v>66</v>
      </c>
      <c r="D17463" s="5">
        <v>1</v>
      </c>
      <c r="E17463" s="5">
        <v>116305</v>
      </c>
    </row>
    <row r="17464" spans="1:5" x14ac:dyDescent="0.35">
      <c r="A17464" s="3">
        <v>46252</v>
      </c>
      <c r="B17464" s="5" t="s">
        <v>364</v>
      </c>
      <c r="C17464" s="5" t="s">
        <v>66</v>
      </c>
      <c r="D17464" s="5">
        <v>1</v>
      </c>
      <c r="E17464" s="5">
        <v>116305</v>
      </c>
    </row>
    <row r="17465" spans="1:5" x14ac:dyDescent="0.35">
      <c r="A17465" s="3">
        <v>46252</v>
      </c>
      <c r="B17465" s="5" t="s">
        <v>244</v>
      </c>
      <c r="C17465" s="5" t="s">
        <v>26</v>
      </c>
      <c r="D17465" s="5">
        <v>1</v>
      </c>
      <c r="E17465" s="5">
        <v>501682</v>
      </c>
    </row>
    <row r="17466" spans="1:5" x14ac:dyDescent="0.35">
      <c r="A17466" s="3">
        <v>46252</v>
      </c>
      <c r="B17466" s="5" t="s">
        <v>373</v>
      </c>
      <c r="C17466" s="5" t="s">
        <v>83</v>
      </c>
      <c r="D17466" s="5">
        <v>1</v>
      </c>
      <c r="E17466" s="5">
        <v>70850</v>
      </c>
    </row>
    <row r="17467" spans="1:5" x14ac:dyDescent="0.35">
      <c r="A17467" s="3">
        <v>46252</v>
      </c>
      <c r="B17467" s="5" t="s">
        <v>244</v>
      </c>
      <c r="C17467" s="5" t="s">
        <v>18</v>
      </c>
      <c r="D17467" s="5">
        <v>1</v>
      </c>
      <c r="E17467" s="5">
        <v>129941</v>
      </c>
    </row>
    <row r="17468" spans="1:5" x14ac:dyDescent="0.35">
      <c r="A17468" s="3">
        <v>46252</v>
      </c>
      <c r="B17468" s="5" t="s">
        <v>315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315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315</v>
      </c>
      <c r="C17470" s="5" t="s">
        <v>66</v>
      </c>
      <c r="D17470" s="5">
        <v>1</v>
      </c>
      <c r="E17470" s="5">
        <v>116305</v>
      </c>
    </row>
    <row r="17471" spans="1:5" x14ac:dyDescent="0.35">
      <c r="A17471" s="3">
        <v>46252</v>
      </c>
      <c r="B17471" s="5" t="s">
        <v>315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315</v>
      </c>
      <c r="C17472" s="5" t="s">
        <v>65</v>
      </c>
      <c r="D17472" s="5">
        <v>1</v>
      </c>
      <c r="E17472" s="5">
        <v>116305</v>
      </c>
    </row>
    <row r="17473" spans="1:5" x14ac:dyDescent="0.35">
      <c r="A17473" s="3">
        <v>46252</v>
      </c>
      <c r="B17473" s="5" t="s">
        <v>315</v>
      </c>
      <c r="C17473" s="5" t="s">
        <v>65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258</v>
      </c>
      <c r="C17474" s="5" t="s">
        <v>18</v>
      </c>
      <c r="D17474" s="5">
        <v>1</v>
      </c>
      <c r="E17474" s="5">
        <v>127942</v>
      </c>
    </row>
    <row r="17475" spans="1:5" x14ac:dyDescent="0.35">
      <c r="A17475" s="3">
        <v>46252</v>
      </c>
      <c r="B17475" s="5" t="s">
        <v>258</v>
      </c>
      <c r="C17475" s="5" t="s">
        <v>18</v>
      </c>
      <c r="D17475" s="5">
        <v>1</v>
      </c>
      <c r="E17475" s="5">
        <v>127942</v>
      </c>
    </row>
    <row r="17476" spans="1:5" x14ac:dyDescent="0.35">
      <c r="A17476" s="3">
        <v>46252</v>
      </c>
      <c r="B17476" s="5" t="s">
        <v>364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258</v>
      </c>
      <c r="C17477" s="5" t="s">
        <v>18</v>
      </c>
      <c r="D17477" s="5">
        <v>1</v>
      </c>
      <c r="E17477" s="5">
        <v>127942</v>
      </c>
    </row>
    <row r="17478" spans="1:5" x14ac:dyDescent="0.35">
      <c r="A17478" s="3">
        <v>46252</v>
      </c>
      <c r="B17478" s="5" t="s">
        <v>258</v>
      </c>
      <c r="C17478" s="5" t="s">
        <v>18</v>
      </c>
      <c r="D17478" s="5">
        <v>1</v>
      </c>
      <c r="E17478" s="5">
        <v>127942</v>
      </c>
    </row>
    <row r="17479" spans="1:5" x14ac:dyDescent="0.35">
      <c r="A17479" s="3">
        <v>46252</v>
      </c>
      <c r="B17479" s="5" t="s">
        <v>364</v>
      </c>
      <c r="C17479" s="5" t="s">
        <v>67</v>
      </c>
      <c r="D17479" s="5">
        <v>1</v>
      </c>
      <c r="E17479" s="5">
        <v>116305</v>
      </c>
    </row>
    <row r="17480" spans="1:5" x14ac:dyDescent="0.35">
      <c r="A17480" s="3">
        <v>46252</v>
      </c>
      <c r="B17480" s="5" t="s">
        <v>364</v>
      </c>
      <c r="C17480" s="5" t="s">
        <v>66</v>
      </c>
      <c r="D17480" s="5">
        <v>1</v>
      </c>
      <c r="E17480" s="5">
        <v>116305</v>
      </c>
    </row>
    <row r="17481" spans="1:5" x14ac:dyDescent="0.35">
      <c r="A17481" s="3">
        <v>46252</v>
      </c>
      <c r="B17481" s="5" t="s">
        <v>364</v>
      </c>
      <c r="C17481" s="5" t="s">
        <v>66</v>
      </c>
      <c r="D17481" s="5">
        <v>1</v>
      </c>
      <c r="E17481" s="5">
        <v>116305</v>
      </c>
    </row>
    <row r="17482" spans="1:5" x14ac:dyDescent="0.35">
      <c r="A17482" s="3">
        <v>46252</v>
      </c>
      <c r="B17482" s="5" t="s">
        <v>364</v>
      </c>
      <c r="C17482" s="5" t="s">
        <v>67</v>
      </c>
      <c r="D17482" s="5">
        <v>1</v>
      </c>
      <c r="E17482" s="5">
        <v>116305</v>
      </c>
    </row>
    <row r="17483" spans="1:5" x14ac:dyDescent="0.35">
      <c r="A17483" s="3">
        <v>46252</v>
      </c>
      <c r="B17483" s="5" t="s">
        <v>364</v>
      </c>
      <c r="C17483" s="5" t="s">
        <v>67</v>
      </c>
      <c r="D17483" s="5">
        <v>1</v>
      </c>
      <c r="E17483" s="5">
        <v>116305</v>
      </c>
    </row>
    <row r="17484" spans="1:5" x14ac:dyDescent="0.35">
      <c r="A17484" s="3">
        <v>46252</v>
      </c>
      <c r="B17484" s="5" t="s">
        <v>362</v>
      </c>
      <c r="C17484" s="5" t="s">
        <v>67</v>
      </c>
      <c r="D17484" s="5">
        <v>1</v>
      </c>
      <c r="E17484" s="5">
        <v>116305</v>
      </c>
    </row>
    <row r="17485" spans="1:5" x14ac:dyDescent="0.35">
      <c r="A17485" s="3">
        <v>46252</v>
      </c>
      <c r="B17485" s="5" t="s">
        <v>373</v>
      </c>
      <c r="C17485" s="5" t="s">
        <v>18</v>
      </c>
      <c r="D17485" s="5">
        <v>1</v>
      </c>
      <c r="E17485" s="5">
        <v>129941</v>
      </c>
    </row>
    <row r="17486" spans="1:5" x14ac:dyDescent="0.35">
      <c r="A17486" s="3">
        <v>46252</v>
      </c>
      <c r="B17486" s="5" t="s">
        <v>315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315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315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315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355</v>
      </c>
      <c r="C17490" s="5" t="s">
        <v>20</v>
      </c>
      <c r="D17490" s="5">
        <v>1</v>
      </c>
      <c r="E17490" s="5">
        <v>127942</v>
      </c>
    </row>
    <row r="17491" spans="1:5" x14ac:dyDescent="0.35">
      <c r="A17491" s="3">
        <v>46252</v>
      </c>
      <c r="B17491" s="5" t="s">
        <v>355</v>
      </c>
      <c r="C17491" s="5" t="s">
        <v>20</v>
      </c>
      <c r="D17491" s="5">
        <v>1</v>
      </c>
      <c r="E17491" s="5">
        <v>127942</v>
      </c>
    </row>
    <row r="17492" spans="1:5" x14ac:dyDescent="0.35">
      <c r="A17492" s="3">
        <v>46252</v>
      </c>
      <c r="B17492" s="5" t="s">
        <v>258</v>
      </c>
      <c r="C17492" s="5" t="s">
        <v>19</v>
      </c>
      <c r="D17492" s="5">
        <v>1</v>
      </c>
      <c r="E17492" s="5">
        <v>127942</v>
      </c>
    </row>
    <row r="17493" spans="1:5" x14ac:dyDescent="0.35">
      <c r="A17493" s="3">
        <v>46252</v>
      </c>
      <c r="B17493" s="5" t="s">
        <v>258</v>
      </c>
      <c r="C17493" s="5" t="s">
        <v>20</v>
      </c>
      <c r="D17493" s="5">
        <v>1</v>
      </c>
      <c r="E17493" s="5">
        <v>127942</v>
      </c>
    </row>
    <row r="17494" spans="1:5" x14ac:dyDescent="0.35">
      <c r="A17494" s="3">
        <v>46252</v>
      </c>
      <c r="B17494" s="5" t="s">
        <v>258</v>
      </c>
      <c r="C17494" s="5" t="s">
        <v>19</v>
      </c>
      <c r="D17494" s="5">
        <v>1</v>
      </c>
      <c r="E17494" s="5">
        <v>127942</v>
      </c>
    </row>
    <row r="17495" spans="1:5" x14ac:dyDescent="0.35">
      <c r="A17495" s="3">
        <v>46252</v>
      </c>
      <c r="B17495" s="5" t="s">
        <v>258</v>
      </c>
      <c r="C17495" s="5" t="s">
        <v>19</v>
      </c>
      <c r="D17495" s="5">
        <v>1</v>
      </c>
      <c r="E17495" s="5">
        <v>127942</v>
      </c>
    </row>
    <row r="17496" spans="1:5" x14ac:dyDescent="0.35">
      <c r="A17496" s="3">
        <v>46252</v>
      </c>
      <c r="B17496" s="5" t="s">
        <v>376</v>
      </c>
      <c r="C17496" s="5" t="s">
        <v>23</v>
      </c>
      <c r="D17496" s="5">
        <v>1</v>
      </c>
      <c r="E17496" s="5">
        <v>501682</v>
      </c>
    </row>
    <row r="17497" spans="1:5" x14ac:dyDescent="0.35">
      <c r="A17497" s="3">
        <v>46252</v>
      </c>
      <c r="B17497" s="5" t="s">
        <v>315</v>
      </c>
      <c r="C17497" s="5" t="s">
        <v>66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315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315</v>
      </c>
      <c r="C17499" s="5" t="s">
        <v>66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355</v>
      </c>
      <c r="C17500" s="5" t="s">
        <v>20</v>
      </c>
      <c r="D17500" s="5">
        <v>1</v>
      </c>
      <c r="E17500" s="5">
        <v>127942</v>
      </c>
    </row>
    <row r="17501" spans="1:5" x14ac:dyDescent="0.35">
      <c r="A17501" s="3">
        <v>46252</v>
      </c>
      <c r="B17501" s="5" t="s">
        <v>354</v>
      </c>
      <c r="C17501" s="5" t="s">
        <v>18</v>
      </c>
      <c r="D17501" s="5">
        <v>1</v>
      </c>
      <c r="E17501" s="5">
        <v>127942</v>
      </c>
    </row>
    <row r="17502" spans="1:5" x14ac:dyDescent="0.35">
      <c r="A17502" s="3">
        <v>46252</v>
      </c>
      <c r="B17502" s="5" t="s">
        <v>363</v>
      </c>
      <c r="C17502" s="5" t="s">
        <v>65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354</v>
      </c>
      <c r="C17503" s="5" t="s">
        <v>18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354</v>
      </c>
      <c r="C17504" s="5" t="s">
        <v>18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258</v>
      </c>
      <c r="C17505" s="5" t="s">
        <v>20</v>
      </c>
      <c r="D17505" s="5">
        <v>1</v>
      </c>
      <c r="E17505" s="5">
        <v>127942</v>
      </c>
    </row>
    <row r="17506" spans="1:5" x14ac:dyDescent="0.35">
      <c r="A17506" s="3">
        <v>46252</v>
      </c>
      <c r="B17506" s="5" t="s">
        <v>354</v>
      </c>
      <c r="C17506" s="5" t="s">
        <v>18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258</v>
      </c>
      <c r="C17507" s="5" t="s">
        <v>20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364</v>
      </c>
      <c r="C17508" s="5" t="s">
        <v>66</v>
      </c>
      <c r="D17508" s="5">
        <v>1</v>
      </c>
      <c r="E17508" s="5">
        <v>116305</v>
      </c>
    </row>
    <row r="17509" spans="1:5" x14ac:dyDescent="0.35">
      <c r="A17509" s="3">
        <v>46252</v>
      </c>
      <c r="B17509" s="5" t="s">
        <v>364</v>
      </c>
      <c r="C17509" s="5" t="s">
        <v>67</v>
      </c>
      <c r="D17509" s="5">
        <v>1</v>
      </c>
      <c r="E17509" s="5">
        <v>116305</v>
      </c>
    </row>
    <row r="17510" spans="1:5" x14ac:dyDescent="0.35">
      <c r="A17510" s="3">
        <v>46252</v>
      </c>
      <c r="B17510" s="5" t="s">
        <v>364</v>
      </c>
      <c r="C17510" s="5" t="s">
        <v>67</v>
      </c>
      <c r="D17510" s="5">
        <v>1</v>
      </c>
      <c r="E17510" s="5">
        <v>116305</v>
      </c>
    </row>
    <row r="17511" spans="1:5" x14ac:dyDescent="0.35">
      <c r="A17511" s="3">
        <v>46252</v>
      </c>
      <c r="B17511" s="5" t="s">
        <v>364</v>
      </c>
      <c r="C17511" s="5" t="s">
        <v>66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376</v>
      </c>
      <c r="C17512" s="5" t="s">
        <v>18</v>
      </c>
      <c r="D17512" s="5">
        <v>1</v>
      </c>
      <c r="E17512" s="5">
        <v>129941</v>
      </c>
    </row>
    <row r="17513" spans="1:5" x14ac:dyDescent="0.35">
      <c r="A17513" s="3">
        <v>46252</v>
      </c>
      <c r="B17513" s="5" t="s">
        <v>315</v>
      </c>
      <c r="C17513" s="5" t="s">
        <v>66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315</v>
      </c>
      <c r="C17514" s="5" t="s">
        <v>66</v>
      </c>
      <c r="D17514" s="5">
        <v>1</v>
      </c>
      <c r="E17514" s="5">
        <v>116305</v>
      </c>
    </row>
    <row r="17515" spans="1:5" x14ac:dyDescent="0.35">
      <c r="A17515" s="3">
        <v>46252</v>
      </c>
      <c r="B17515" s="5" t="s">
        <v>315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315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355</v>
      </c>
      <c r="C17517" s="5" t="s">
        <v>20</v>
      </c>
      <c r="D17517" s="5">
        <v>1</v>
      </c>
      <c r="E17517" s="5">
        <v>127942</v>
      </c>
    </row>
    <row r="17518" spans="1:5" x14ac:dyDescent="0.35">
      <c r="A17518" s="3">
        <v>46252</v>
      </c>
      <c r="B17518" s="5" t="s">
        <v>355</v>
      </c>
      <c r="C17518" s="5" t="s">
        <v>20</v>
      </c>
      <c r="D17518" s="5">
        <v>1</v>
      </c>
      <c r="E17518" s="5">
        <v>127942</v>
      </c>
    </row>
    <row r="17519" spans="1:5" x14ac:dyDescent="0.35">
      <c r="A17519" s="3">
        <v>46252</v>
      </c>
      <c r="B17519" s="5" t="s">
        <v>315</v>
      </c>
      <c r="C17519" s="5" t="s">
        <v>65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258</v>
      </c>
      <c r="C17520" s="5" t="s">
        <v>20</v>
      </c>
      <c r="D17520" s="5">
        <v>1</v>
      </c>
      <c r="E17520" s="5">
        <v>127942</v>
      </c>
    </row>
    <row r="17521" spans="1:5" x14ac:dyDescent="0.35">
      <c r="A17521" s="3">
        <v>46252</v>
      </c>
      <c r="B17521" s="5" t="s">
        <v>315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355</v>
      </c>
      <c r="C17522" s="5" t="s">
        <v>20</v>
      </c>
      <c r="D17522" s="5">
        <v>1</v>
      </c>
      <c r="E17522" s="5">
        <v>127942</v>
      </c>
    </row>
    <row r="17523" spans="1:5" x14ac:dyDescent="0.35">
      <c r="A17523" s="3">
        <v>46252</v>
      </c>
      <c r="B17523" s="5" t="s">
        <v>355</v>
      </c>
      <c r="C17523" s="5" t="s">
        <v>20</v>
      </c>
      <c r="D17523" s="5">
        <v>1</v>
      </c>
      <c r="E17523" s="5">
        <v>127942</v>
      </c>
    </row>
    <row r="17524" spans="1:5" x14ac:dyDescent="0.35">
      <c r="A17524" s="3">
        <v>46252</v>
      </c>
      <c r="B17524" s="5" t="s">
        <v>355</v>
      </c>
      <c r="C17524" s="5" t="s">
        <v>20</v>
      </c>
      <c r="D17524" s="5">
        <v>1</v>
      </c>
      <c r="E17524" s="5">
        <v>127942</v>
      </c>
    </row>
    <row r="17525" spans="1:5" x14ac:dyDescent="0.35">
      <c r="A17525" s="3">
        <v>46252</v>
      </c>
      <c r="B17525" s="5" t="s">
        <v>258</v>
      </c>
      <c r="C17525" s="5" t="s">
        <v>18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258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364</v>
      </c>
      <c r="C17527" s="5" t="s">
        <v>66</v>
      </c>
      <c r="D17527" s="5">
        <v>1</v>
      </c>
      <c r="E17527" s="5">
        <v>116305</v>
      </c>
    </row>
    <row r="17528" spans="1:5" x14ac:dyDescent="0.35">
      <c r="A17528" s="3">
        <v>46252</v>
      </c>
      <c r="B17528" s="5" t="s">
        <v>258</v>
      </c>
      <c r="C17528" s="5" t="s">
        <v>19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364</v>
      </c>
      <c r="C17529" s="5" t="s">
        <v>66</v>
      </c>
      <c r="D17529" s="5">
        <v>1</v>
      </c>
      <c r="E17529" s="5">
        <v>116305</v>
      </c>
    </row>
    <row r="17530" spans="1:5" x14ac:dyDescent="0.35">
      <c r="A17530" s="3">
        <v>46252</v>
      </c>
      <c r="B17530" s="5" t="s">
        <v>364</v>
      </c>
      <c r="C17530" s="5" t="s">
        <v>66</v>
      </c>
      <c r="D17530" s="5">
        <v>1</v>
      </c>
      <c r="E17530" s="5">
        <v>116305</v>
      </c>
    </row>
    <row r="17531" spans="1:5" x14ac:dyDescent="0.35">
      <c r="A17531" s="3">
        <v>46252</v>
      </c>
      <c r="B17531" s="5" t="s">
        <v>364</v>
      </c>
      <c r="C17531" s="5" t="s">
        <v>66</v>
      </c>
      <c r="D17531" s="5">
        <v>1</v>
      </c>
      <c r="E17531" s="5">
        <v>116305</v>
      </c>
    </row>
    <row r="17532" spans="1:5" x14ac:dyDescent="0.35">
      <c r="A17532" s="3">
        <v>46252</v>
      </c>
      <c r="B17532" s="5" t="s">
        <v>364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364</v>
      </c>
      <c r="C17533" s="5" t="s">
        <v>67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362</v>
      </c>
      <c r="C17534" s="5" t="s">
        <v>65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362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244</v>
      </c>
      <c r="C17536" s="5" t="s">
        <v>18</v>
      </c>
      <c r="D17536" s="5">
        <v>1</v>
      </c>
      <c r="E17536" s="5">
        <v>129941</v>
      </c>
    </row>
    <row r="17537" spans="1:5" x14ac:dyDescent="0.35">
      <c r="A17537" s="3">
        <v>46252</v>
      </c>
      <c r="B17537" s="5" t="s">
        <v>373</v>
      </c>
      <c r="C17537" s="5" t="s">
        <v>18</v>
      </c>
      <c r="D17537" s="5">
        <v>1</v>
      </c>
      <c r="E17537" s="5">
        <v>129941</v>
      </c>
    </row>
    <row r="17538" spans="1:5" x14ac:dyDescent="0.35">
      <c r="A17538" s="3">
        <v>46252</v>
      </c>
      <c r="B17538" s="5" t="s">
        <v>244</v>
      </c>
      <c r="C17538" s="5" t="s">
        <v>18</v>
      </c>
      <c r="D17538" s="5">
        <v>1</v>
      </c>
      <c r="E17538" s="5">
        <v>129941</v>
      </c>
    </row>
    <row r="17539" spans="1:5" x14ac:dyDescent="0.35">
      <c r="A17539" s="3">
        <v>46252</v>
      </c>
      <c r="B17539" s="5" t="s">
        <v>315</v>
      </c>
      <c r="C17539" s="5" t="s">
        <v>66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315</v>
      </c>
      <c r="C17540" s="5" t="s">
        <v>66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315</v>
      </c>
      <c r="C17541" s="5" t="s">
        <v>66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315</v>
      </c>
      <c r="C17542" s="5" t="s">
        <v>66</v>
      </c>
      <c r="D17542" s="5">
        <v>1</v>
      </c>
      <c r="E17542" s="5">
        <v>116305</v>
      </c>
    </row>
    <row r="17543" spans="1:5" x14ac:dyDescent="0.35">
      <c r="A17543" s="3">
        <v>46252</v>
      </c>
      <c r="B17543" s="5" t="s">
        <v>315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315</v>
      </c>
      <c r="C17544" s="5" t="s">
        <v>65</v>
      </c>
      <c r="D17544" s="5">
        <v>1</v>
      </c>
      <c r="E17544" s="5">
        <v>116305</v>
      </c>
    </row>
    <row r="17545" spans="1:5" x14ac:dyDescent="0.35">
      <c r="A17545" s="3">
        <v>46252</v>
      </c>
      <c r="B17545" s="5" t="s">
        <v>364</v>
      </c>
      <c r="C17545" s="5" t="s">
        <v>66</v>
      </c>
      <c r="D17545" s="5">
        <v>1</v>
      </c>
      <c r="E17545" s="5">
        <v>116305</v>
      </c>
    </row>
    <row r="17546" spans="1:5" x14ac:dyDescent="0.35">
      <c r="A17546" s="3">
        <v>46252</v>
      </c>
      <c r="B17546" s="5" t="s">
        <v>355</v>
      </c>
      <c r="C17546" s="5" t="s">
        <v>19</v>
      </c>
      <c r="D17546" s="5">
        <v>1</v>
      </c>
      <c r="E17546" s="5">
        <v>127942</v>
      </c>
    </row>
    <row r="17547" spans="1:5" x14ac:dyDescent="0.35">
      <c r="A17547" s="3">
        <v>46252</v>
      </c>
      <c r="B17547" s="5" t="s">
        <v>315</v>
      </c>
      <c r="C17547" s="5" t="s">
        <v>65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258</v>
      </c>
      <c r="C17548" s="5" t="s">
        <v>19</v>
      </c>
      <c r="D17548" s="5">
        <v>1</v>
      </c>
      <c r="E17548" s="5">
        <v>127942</v>
      </c>
    </row>
    <row r="17549" spans="1:5" x14ac:dyDescent="0.35">
      <c r="A17549" s="3">
        <v>46252</v>
      </c>
      <c r="B17549" s="5" t="s">
        <v>258</v>
      </c>
      <c r="C17549" s="5" t="s">
        <v>19</v>
      </c>
      <c r="D17549" s="5">
        <v>1</v>
      </c>
      <c r="E17549" s="5">
        <v>127942</v>
      </c>
    </row>
    <row r="17550" spans="1:5" x14ac:dyDescent="0.35">
      <c r="A17550" s="3">
        <v>46252</v>
      </c>
      <c r="B17550" s="5" t="s">
        <v>364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364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364</v>
      </c>
      <c r="C17552" s="5" t="s">
        <v>67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364</v>
      </c>
      <c r="C17553" s="5" t="s">
        <v>66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364</v>
      </c>
      <c r="C17554" s="5" t="s">
        <v>66</v>
      </c>
      <c r="D17554" s="5">
        <v>1</v>
      </c>
      <c r="E17554" s="5">
        <v>116305</v>
      </c>
    </row>
    <row r="17555" spans="1:5" x14ac:dyDescent="0.35">
      <c r="A17555" s="3">
        <v>46252</v>
      </c>
      <c r="B17555" s="5" t="s">
        <v>362</v>
      </c>
      <c r="C17555" s="5" t="s">
        <v>65</v>
      </c>
      <c r="D17555" s="5">
        <v>1</v>
      </c>
      <c r="E17555" s="5">
        <v>116305</v>
      </c>
    </row>
    <row r="17556" spans="1:5" x14ac:dyDescent="0.35">
      <c r="A17556" s="3">
        <v>46252</v>
      </c>
      <c r="B17556" s="5" t="s">
        <v>373</v>
      </c>
      <c r="C17556" s="5" t="s">
        <v>93</v>
      </c>
      <c r="D17556" s="5">
        <v>1</v>
      </c>
      <c r="E17556" s="5">
        <v>50168</v>
      </c>
    </row>
    <row r="17557" spans="1:5" x14ac:dyDescent="0.35">
      <c r="A17557" s="3">
        <v>46252</v>
      </c>
      <c r="B17557" s="5" t="s">
        <v>376</v>
      </c>
      <c r="C17557" s="5" t="s">
        <v>18</v>
      </c>
      <c r="D17557" s="5">
        <v>1</v>
      </c>
      <c r="E17557" s="5">
        <v>129941</v>
      </c>
    </row>
    <row r="17558" spans="1:5" x14ac:dyDescent="0.35">
      <c r="A17558" s="3">
        <v>46252</v>
      </c>
      <c r="B17558" s="5" t="s">
        <v>315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315</v>
      </c>
      <c r="C17559" s="5" t="s">
        <v>66</v>
      </c>
      <c r="D17559" s="5">
        <v>1</v>
      </c>
      <c r="E17559" s="5">
        <v>116305</v>
      </c>
    </row>
    <row r="17560" spans="1:5" x14ac:dyDescent="0.35">
      <c r="A17560" s="3">
        <v>46252</v>
      </c>
      <c r="B17560" s="5" t="s">
        <v>315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315</v>
      </c>
      <c r="C17561" s="5" t="s">
        <v>66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315</v>
      </c>
      <c r="C17562" s="5" t="s">
        <v>66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315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315</v>
      </c>
      <c r="C17564" s="5" t="s">
        <v>66</v>
      </c>
      <c r="D17564" s="5">
        <v>1</v>
      </c>
      <c r="E17564" s="5">
        <v>116305</v>
      </c>
    </row>
    <row r="17565" spans="1:5" x14ac:dyDescent="0.35">
      <c r="A17565" s="3">
        <v>46252</v>
      </c>
      <c r="B17565" s="5" t="s">
        <v>315</v>
      </c>
      <c r="C17565" s="5" t="s">
        <v>66</v>
      </c>
      <c r="D17565" s="5">
        <v>1</v>
      </c>
      <c r="E17565" s="5">
        <v>116305</v>
      </c>
    </row>
    <row r="17566" spans="1:5" x14ac:dyDescent="0.35">
      <c r="A17566" s="3">
        <v>46252</v>
      </c>
      <c r="B17566" s="5" t="s">
        <v>315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315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315</v>
      </c>
      <c r="C17568" s="5" t="s">
        <v>66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315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315</v>
      </c>
      <c r="C17570" s="5" t="s">
        <v>66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315</v>
      </c>
      <c r="C17571" s="5" t="s">
        <v>66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355</v>
      </c>
      <c r="C17572" s="5" t="s">
        <v>20</v>
      </c>
      <c r="D17572" s="5">
        <v>1</v>
      </c>
      <c r="E17572" s="5">
        <v>127942</v>
      </c>
    </row>
    <row r="17573" spans="1:5" x14ac:dyDescent="0.35">
      <c r="A17573" s="3">
        <v>46252</v>
      </c>
      <c r="B17573" s="5" t="s">
        <v>315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258</v>
      </c>
      <c r="C17574" s="5" t="s">
        <v>20</v>
      </c>
      <c r="D17574" s="5">
        <v>1</v>
      </c>
      <c r="E17574" s="5">
        <v>127942</v>
      </c>
    </row>
    <row r="17575" spans="1:5" x14ac:dyDescent="0.35">
      <c r="A17575" s="3">
        <v>46252</v>
      </c>
      <c r="B17575" s="5" t="s">
        <v>363</v>
      </c>
      <c r="C17575" s="5" t="s">
        <v>66</v>
      </c>
      <c r="D17575" s="5">
        <v>1</v>
      </c>
      <c r="E17575" s="5">
        <v>116305</v>
      </c>
    </row>
    <row r="17576" spans="1:5" x14ac:dyDescent="0.35">
      <c r="A17576" s="3">
        <v>46252</v>
      </c>
      <c r="B17576" s="5" t="s">
        <v>364</v>
      </c>
      <c r="C17576" s="5" t="s">
        <v>66</v>
      </c>
      <c r="D17576" s="5">
        <v>1</v>
      </c>
      <c r="E17576" s="5">
        <v>116305</v>
      </c>
    </row>
    <row r="17577" spans="1:5" x14ac:dyDescent="0.35">
      <c r="A17577" s="3">
        <v>46252</v>
      </c>
      <c r="B17577" s="5" t="s">
        <v>364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364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373</v>
      </c>
      <c r="C17579" s="5" t="s">
        <v>18</v>
      </c>
      <c r="D17579" s="5">
        <v>1</v>
      </c>
      <c r="E17579" s="5">
        <v>129941</v>
      </c>
    </row>
    <row r="17580" spans="1:5" x14ac:dyDescent="0.35">
      <c r="A17580" s="3">
        <v>46252</v>
      </c>
      <c r="B17580" s="5" t="s">
        <v>373</v>
      </c>
      <c r="C17580" s="5" t="s">
        <v>93</v>
      </c>
      <c r="D17580" s="5">
        <v>1</v>
      </c>
      <c r="E17580" s="5">
        <v>50168</v>
      </c>
    </row>
    <row r="17581" spans="1:5" x14ac:dyDescent="0.35">
      <c r="A17581" s="3">
        <v>46252</v>
      </c>
      <c r="B17581" s="5" t="s">
        <v>315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315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315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315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140</v>
      </c>
      <c r="C17585" s="5" t="s">
        <v>42</v>
      </c>
      <c r="D17585" s="5">
        <v>1</v>
      </c>
      <c r="E17585" s="5">
        <v>203578</v>
      </c>
    </row>
    <row r="17586" spans="1:5" x14ac:dyDescent="0.35">
      <c r="A17586" s="3">
        <v>46252</v>
      </c>
      <c r="B17586" s="5" t="s">
        <v>315</v>
      </c>
      <c r="C17586" s="5" t="s">
        <v>67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315</v>
      </c>
      <c r="C17587" s="5" t="s">
        <v>67</v>
      </c>
      <c r="D17587" s="5">
        <v>1</v>
      </c>
      <c r="E17587" s="5">
        <v>116305</v>
      </c>
    </row>
    <row r="17588" spans="1:5" x14ac:dyDescent="0.35">
      <c r="A17588" s="3">
        <v>46252</v>
      </c>
      <c r="B17588" s="5" t="s">
        <v>315</v>
      </c>
      <c r="C17588" s="5" t="s">
        <v>66</v>
      </c>
      <c r="D17588" s="5">
        <v>1</v>
      </c>
      <c r="E17588" s="5">
        <v>116305</v>
      </c>
    </row>
    <row r="17589" spans="1:5" x14ac:dyDescent="0.35">
      <c r="A17589" s="3">
        <v>46252</v>
      </c>
      <c r="B17589" s="5" t="s">
        <v>315</v>
      </c>
      <c r="C17589" s="5" t="s">
        <v>67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355</v>
      </c>
      <c r="C17590" s="5" t="s">
        <v>18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315</v>
      </c>
      <c r="C17591" s="5" t="s">
        <v>65</v>
      </c>
      <c r="D17591" s="5">
        <v>1</v>
      </c>
      <c r="E17591" s="5">
        <v>116305</v>
      </c>
    </row>
    <row r="17592" spans="1:5" x14ac:dyDescent="0.35">
      <c r="A17592" s="3">
        <v>46252</v>
      </c>
      <c r="B17592" s="5" t="s">
        <v>363</v>
      </c>
      <c r="C17592" s="5" t="s">
        <v>66</v>
      </c>
      <c r="D17592" s="5">
        <v>1</v>
      </c>
      <c r="E17592" s="5">
        <v>116305</v>
      </c>
    </row>
    <row r="17593" spans="1:5" x14ac:dyDescent="0.35">
      <c r="A17593" s="3">
        <v>46252</v>
      </c>
      <c r="B17593" s="5" t="s">
        <v>258</v>
      </c>
      <c r="C17593" s="5" t="s">
        <v>19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258</v>
      </c>
      <c r="C17594" s="5" t="s">
        <v>18</v>
      </c>
      <c r="D17594" s="5">
        <v>1</v>
      </c>
      <c r="E17594" s="5">
        <v>127942</v>
      </c>
    </row>
    <row r="17595" spans="1:5" x14ac:dyDescent="0.35">
      <c r="A17595" s="3">
        <v>46252</v>
      </c>
      <c r="B17595" s="5" t="s">
        <v>258</v>
      </c>
      <c r="C17595" s="5" t="s">
        <v>18</v>
      </c>
      <c r="D17595" s="5">
        <v>1</v>
      </c>
      <c r="E17595" s="5">
        <v>127942</v>
      </c>
    </row>
    <row r="17596" spans="1:5" x14ac:dyDescent="0.35">
      <c r="A17596" s="3">
        <v>46252</v>
      </c>
      <c r="B17596" s="5" t="s">
        <v>364</v>
      </c>
      <c r="C17596" s="5" t="s">
        <v>66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364</v>
      </c>
      <c r="C17597" s="5" t="s">
        <v>65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364</v>
      </c>
      <c r="C17598" s="5" t="s">
        <v>65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362</v>
      </c>
      <c r="C17599" s="5" t="s">
        <v>66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362</v>
      </c>
      <c r="C17600" s="5" t="s">
        <v>65</v>
      </c>
      <c r="D17600" s="5">
        <v>1</v>
      </c>
      <c r="E17600" s="5">
        <v>116305</v>
      </c>
    </row>
    <row r="17601" spans="1:5" x14ac:dyDescent="0.35">
      <c r="A17601" s="3">
        <v>46252</v>
      </c>
      <c r="B17601" s="5" t="s">
        <v>362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376</v>
      </c>
      <c r="C17602" s="5" t="s">
        <v>40</v>
      </c>
      <c r="D17602" s="5">
        <v>1</v>
      </c>
      <c r="E17602" s="5">
        <v>189032</v>
      </c>
    </row>
    <row r="17603" spans="1:5" x14ac:dyDescent="0.35">
      <c r="A17603" s="3">
        <v>46252</v>
      </c>
      <c r="B17603" s="5" t="s">
        <v>315</v>
      </c>
      <c r="C17603" s="5" t="s">
        <v>65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315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315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355</v>
      </c>
      <c r="C17606" s="5" t="s">
        <v>19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354</v>
      </c>
      <c r="C17607" s="5" t="s">
        <v>19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355</v>
      </c>
      <c r="C17608" s="5" t="s">
        <v>20</v>
      </c>
      <c r="D17608" s="5">
        <v>1</v>
      </c>
      <c r="E17608" s="5">
        <v>127942</v>
      </c>
    </row>
    <row r="17609" spans="1:5" x14ac:dyDescent="0.35">
      <c r="A17609" s="3">
        <v>46252</v>
      </c>
      <c r="B17609" s="5" t="s">
        <v>237</v>
      </c>
      <c r="C17609" s="5" t="s">
        <v>38</v>
      </c>
      <c r="D17609" s="5">
        <v>1</v>
      </c>
      <c r="E17609" s="5">
        <v>203578</v>
      </c>
    </row>
    <row r="17610" spans="1:5" x14ac:dyDescent="0.35">
      <c r="A17610" s="3">
        <v>46252</v>
      </c>
      <c r="B17610" s="5" t="s">
        <v>354</v>
      </c>
      <c r="C17610" s="5" t="s">
        <v>18</v>
      </c>
      <c r="D17610" s="5">
        <v>1</v>
      </c>
      <c r="E17610" s="5">
        <v>127942</v>
      </c>
    </row>
    <row r="17611" spans="1:5" x14ac:dyDescent="0.35">
      <c r="A17611" s="3">
        <v>46252</v>
      </c>
      <c r="B17611" s="5" t="s">
        <v>237</v>
      </c>
      <c r="C17611" s="5" t="s">
        <v>38</v>
      </c>
      <c r="D17611" s="5">
        <v>1</v>
      </c>
      <c r="E17611" s="5">
        <v>203578</v>
      </c>
    </row>
    <row r="17612" spans="1:5" x14ac:dyDescent="0.35">
      <c r="A17612" s="3">
        <v>46252</v>
      </c>
      <c r="B17612" s="5" t="s">
        <v>258</v>
      </c>
      <c r="C17612" s="5" t="s">
        <v>20</v>
      </c>
      <c r="D17612" s="5">
        <v>1</v>
      </c>
      <c r="E17612" s="5">
        <v>127942</v>
      </c>
    </row>
    <row r="17613" spans="1:5" x14ac:dyDescent="0.35">
      <c r="A17613" s="3">
        <v>46252</v>
      </c>
      <c r="B17613" s="5" t="s">
        <v>258</v>
      </c>
      <c r="C17613" s="5" t="s">
        <v>18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258</v>
      </c>
      <c r="C17614" s="5" t="s">
        <v>18</v>
      </c>
      <c r="D17614" s="5">
        <v>1</v>
      </c>
      <c r="E17614" s="5">
        <v>127942</v>
      </c>
    </row>
    <row r="17615" spans="1:5" x14ac:dyDescent="0.35">
      <c r="A17615" s="3">
        <v>46252</v>
      </c>
      <c r="B17615" s="5" t="s">
        <v>364</v>
      </c>
      <c r="C17615" s="5" t="s">
        <v>66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364</v>
      </c>
      <c r="C17616" s="5" t="s">
        <v>66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364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364</v>
      </c>
      <c r="C17618" s="5" t="s">
        <v>65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364</v>
      </c>
      <c r="C17619" s="5" t="s">
        <v>65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364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364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364</v>
      </c>
      <c r="C17622" s="5" t="s">
        <v>65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364</v>
      </c>
      <c r="C17623" s="5" t="s">
        <v>67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364</v>
      </c>
      <c r="C17624" s="5" t="s">
        <v>66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315</v>
      </c>
      <c r="C17625" s="5" t="s">
        <v>67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237</v>
      </c>
      <c r="C17626" s="5" t="s">
        <v>38</v>
      </c>
      <c r="D17626" s="5">
        <v>1</v>
      </c>
      <c r="E17626" s="5">
        <v>203578</v>
      </c>
    </row>
    <row r="17627" spans="1:5" x14ac:dyDescent="0.35">
      <c r="A17627" s="3">
        <v>46252</v>
      </c>
      <c r="B17627" s="5" t="s">
        <v>315</v>
      </c>
      <c r="C17627" s="5" t="s">
        <v>67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355</v>
      </c>
      <c r="C17628" s="5" t="s">
        <v>19</v>
      </c>
      <c r="D17628" s="5">
        <v>1</v>
      </c>
      <c r="E17628" s="5">
        <v>127942</v>
      </c>
    </row>
    <row r="17629" spans="1:5" x14ac:dyDescent="0.35">
      <c r="A17629" s="3">
        <v>46252</v>
      </c>
      <c r="B17629" s="5" t="s">
        <v>258</v>
      </c>
      <c r="C17629" s="5" t="s">
        <v>20</v>
      </c>
      <c r="D17629" s="5">
        <v>1</v>
      </c>
      <c r="E17629" s="5">
        <v>127942</v>
      </c>
    </row>
    <row r="17630" spans="1:5" x14ac:dyDescent="0.35">
      <c r="A17630" s="3">
        <v>46252</v>
      </c>
      <c r="B17630" s="5" t="s">
        <v>362</v>
      </c>
      <c r="C17630" s="5" t="s">
        <v>67</v>
      </c>
      <c r="D17630" s="5">
        <v>1</v>
      </c>
      <c r="E17630" s="5">
        <v>116305</v>
      </c>
    </row>
    <row r="17631" spans="1:5" x14ac:dyDescent="0.35">
      <c r="A17631" s="3">
        <v>46252</v>
      </c>
      <c r="B17631" s="5" t="s">
        <v>373</v>
      </c>
      <c r="C17631" s="5" t="s">
        <v>83</v>
      </c>
      <c r="D17631" s="5">
        <v>1</v>
      </c>
      <c r="E17631" s="5">
        <v>70850</v>
      </c>
    </row>
    <row r="17632" spans="1:5" x14ac:dyDescent="0.35">
      <c r="A17632" s="3">
        <v>46252</v>
      </c>
      <c r="B17632" s="5" t="s">
        <v>315</v>
      </c>
      <c r="C17632" s="5" t="s">
        <v>66</v>
      </c>
      <c r="D17632" s="5">
        <v>1</v>
      </c>
      <c r="E17632" s="5">
        <v>116305</v>
      </c>
    </row>
    <row r="17633" spans="1:5" x14ac:dyDescent="0.35">
      <c r="A17633" s="3">
        <v>46252</v>
      </c>
      <c r="B17633" s="5" t="s">
        <v>315</v>
      </c>
      <c r="C17633" s="5" t="s">
        <v>66</v>
      </c>
      <c r="D17633" s="5">
        <v>1</v>
      </c>
      <c r="E17633" s="5">
        <v>116305</v>
      </c>
    </row>
    <row r="17634" spans="1:5" x14ac:dyDescent="0.35">
      <c r="A17634" s="3">
        <v>46252</v>
      </c>
      <c r="B17634" s="5" t="s">
        <v>315</v>
      </c>
      <c r="C17634" s="5" t="s">
        <v>66</v>
      </c>
      <c r="D17634" s="5">
        <v>1</v>
      </c>
      <c r="E17634" s="5">
        <v>116305</v>
      </c>
    </row>
    <row r="17635" spans="1:5" x14ac:dyDescent="0.35">
      <c r="A17635" s="3">
        <v>46252</v>
      </c>
      <c r="B17635" s="5" t="s">
        <v>315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315</v>
      </c>
      <c r="C17636" s="5" t="s">
        <v>66</v>
      </c>
      <c r="D17636" s="5">
        <v>1</v>
      </c>
      <c r="E17636" s="5">
        <v>116305</v>
      </c>
    </row>
    <row r="17637" spans="1:5" x14ac:dyDescent="0.35">
      <c r="A17637" s="3">
        <v>46252</v>
      </c>
      <c r="B17637" s="5" t="s">
        <v>315</v>
      </c>
      <c r="C17637" s="5" t="s">
        <v>66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315</v>
      </c>
      <c r="C17638" s="5" t="s">
        <v>65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355</v>
      </c>
      <c r="C17639" s="5" t="s">
        <v>19</v>
      </c>
      <c r="D17639" s="5">
        <v>1</v>
      </c>
      <c r="E17639" s="5">
        <v>127942</v>
      </c>
    </row>
    <row r="17640" spans="1:5" x14ac:dyDescent="0.35">
      <c r="A17640" s="3">
        <v>46252</v>
      </c>
      <c r="B17640" s="5" t="s">
        <v>315</v>
      </c>
      <c r="C17640" s="5" t="s">
        <v>67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355</v>
      </c>
      <c r="C17641" s="5" t="s">
        <v>19</v>
      </c>
      <c r="D17641" s="5">
        <v>1</v>
      </c>
      <c r="E17641" s="5">
        <v>127942</v>
      </c>
    </row>
    <row r="17642" spans="1:5" x14ac:dyDescent="0.35">
      <c r="A17642" s="3">
        <v>46252</v>
      </c>
      <c r="B17642" s="5" t="s">
        <v>363</v>
      </c>
      <c r="C17642" s="5" t="s">
        <v>67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355</v>
      </c>
      <c r="C17643" s="5" t="s">
        <v>18</v>
      </c>
      <c r="D17643" s="5">
        <v>1</v>
      </c>
      <c r="E17643" s="5">
        <v>127942</v>
      </c>
    </row>
    <row r="17644" spans="1:5" x14ac:dyDescent="0.35">
      <c r="A17644" s="3">
        <v>46252</v>
      </c>
      <c r="B17644" s="5" t="s">
        <v>258</v>
      </c>
      <c r="C17644" s="5" t="s">
        <v>19</v>
      </c>
      <c r="D17644" s="5">
        <v>1</v>
      </c>
      <c r="E17644" s="5">
        <v>127942</v>
      </c>
    </row>
    <row r="17645" spans="1:5" x14ac:dyDescent="0.35">
      <c r="A17645" s="3">
        <v>46252</v>
      </c>
      <c r="B17645" s="5" t="s">
        <v>258</v>
      </c>
      <c r="C17645" s="5" t="s">
        <v>18</v>
      </c>
      <c r="D17645" s="5">
        <v>1</v>
      </c>
      <c r="E17645" s="5">
        <v>127942</v>
      </c>
    </row>
    <row r="17646" spans="1:5" x14ac:dyDescent="0.35">
      <c r="A17646" s="3">
        <v>46252</v>
      </c>
      <c r="B17646" s="5" t="s">
        <v>364</v>
      </c>
      <c r="C17646" s="5" t="s">
        <v>65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364</v>
      </c>
      <c r="C17647" s="5" t="s">
        <v>67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364</v>
      </c>
      <c r="C17648" s="5" t="s">
        <v>65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362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373</v>
      </c>
      <c r="C17650" s="5" t="s">
        <v>18</v>
      </c>
      <c r="D17650" s="5">
        <v>1</v>
      </c>
      <c r="E17650" s="5">
        <v>129941</v>
      </c>
    </row>
    <row r="17651" spans="1:5" x14ac:dyDescent="0.35">
      <c r="A17651" s="3">
        <v>46252</v>
      </c>
      <c r="B17651" s="5" t="s">
        <v>373</v>
      </c>
      <c r="C17651" s="5" t="s">
        <v>18</v>
      </c>
      <c r="D17651" s="5">
        <v>1</v>
      </c>
      <c r="E17651" s="5">
        <v>129941</v>
      </c>
    </row>
    <row r="17652" spans="1:5" x14ac:dyDescent="0.35">
      <c r="A17652" s="3">
        <v>46252</v>
      </c>
      <c r="B17652" s="5" t="s">
        <v>315</v>
      </c>
      <c r="C17652" s="5" t="s">
        <v>66</v>
      </c>
      <c r="D17652" s="5">
        <v>1</v>
      </c>
      <c r="E17652" s="5">
        <v>116305</v>
      </c>
    </row>
    <row r="17653" spans="1:5" x14ac:dyDescent="0.35">
      <c r="A17653" s="3">
        <v>46252</v>
      </c>
      <c r="B17653" s="5" t="s">
        <v>315</v>
      </c>
      <c r="C17653" s="5" t="s">
        <v>66</v>
      </c>
      <c r="D17653" s="5">
        <v>1</v>
      </c>
      <c r="E17653" s="5">
        <v>116305</v>
      </c>
    </row>
    <row r="17654" spans="1:5" x14ac:dyDescent="0.35">
      <c r="A17654" s="3">
        <v>46252</v>
      </c>
      <c r="B17654" s="5" t="s">
        <v>315</v>
      </c>
      <c r="C17654" s="5" t="s">
        <v>66</v>
      </c>
      <c r="D17654" s="5">
        <v>1</v>
      </c>
      <c r="E17654" s="5">
        <v>116305</v>
      </c>
    </row>
    <row r="17655" spans="1:5" x14ac:dyDescent="0.35">
      <c r="A17655" s="3">
        <v>46252</v>
      </c>
      <c r="B17655" s="5" t="s">
        <v>315</v>
      </c>
      <c r="C17655" s="5" t="s">
        <v>66</v>
      </c>
      <c r="D17655" s="5">
        <v>1</v>
      </c>
      <c r="E17655" s="5">
        <v>116305</v>
      </c>
    </row>
    <row r="17656" spans="1:5" x14ac:dyDescent="0.35">
      <c r="A17656" s="3">
        <v>46252</v>
      </c>
      <c r="B17656" s="5" t="s">
        <v>315</v>
      </c>
      <c r="C17656" s="5" t="s">
        <v>66</v>
      </c>
      <c r="D17656" s="5">
        <v>1</v>
      </c>
      <c r="E17656" s="5">
        <v>116305</v>
      </c>
    </row>
    <row r="17657" spans="1:5" x14ac:dyDescent="0.35">
      <c r="A17657" s="3">
        <v>46252</v>
      </c>
      <c r="B17657" s="5" t="s">
        <v>315</v>
      </c>
      <c r="C17657" s="5" t="s">
        <v>66</v>
      </c>
      <c r="D17657" s="5">
        <v>1</v>
      </c>
      <c r="E17657" s="5">
        <v>116305</v>
      </c>
    </row>
    <row r="17658" spans="1:5" x14ac:dyDescent="0.35">
      <c r="A17658" s="3">
        <v>46252</v>
      </c>
      <c r="B17658" s="5" t="s">
        <v>315</v>
      </c>
      <c r="C17658" s="5" t="s">
        <v>66</v>
      </c>
      <c r="D17658" s="5">
        <v>1</v>
      </c>
      <c r="E17658" s="5">
        <v>116305</v>
      </c>
    </row>
    <row r="17659" spans="1:5" x14ac:dyDescent="0.35">
      <c r="A17659" s="3">
        <v>46252</v>
      </c>
      <c r="B17659" s="5" t="s">
        <v>315</v>
      </c>
      <c r="C17659" s="5" t="s">
        <v>66</v>
      </c>
      <c r="D17659" s="5">
        <v>1</v>
      </c>
      <c r="E17659" s="5">
        <v>116305</v>
      </c>
    </row>
    <row r="17660" spans="1:5" x14ac:dyDescent="0.35">
      <c r="A17660" s="3">
        <v>46252</v>
      </c>
      <c r="B17660" s="5" t="s">
        <v>315</v>
      </c>
      <c r="C17660" s="5" t="s">
        <v>66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315</v>
      </c>
      <c r="C17661" s="5" t="s">
        <v>66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315</v>
      </c>
      <c r="C17662" s="5" t="s">
        <v>66</v>
      </c>
      <c r="D17662" s="5">
        <v>1</v>
      </c>
      <c r="E17662" s="5">
        <v>116305</v>
      </c>
    </row>
    <row r="17663" spans="1:5" x14ac:dyDescent="0.35">
      <c r="A17663" s="3">
        <v>46252</v>
      </c>
      <c r="B17663" s="5" t="s">
        <v>315</v>
      </c>
      <c r="C17663" s="5" t="s">
        <v>67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315</v>
      </c>
      <c r="C17664" s="5" t="s">
        <v>65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258</v>
      </c>
      <c r="C17665" s="5" t="s">
        <v>19</v>
      </c>
      <c r="D17665" s="5">
        <v>1</v>
      </c>
      <c r="E17665" s="5">
        <v>127942</v>
      </c>
    </row>
    <row r="17666" spans="1:5" x14ac:dyDescent="0.35">
      <c r="A17666" s="3">
        <v>46252</v>
      </c>
      <c r="B17666" s="5" t="s">
        <v>258</v>
      </c>
      <c r="C17666" s="5" t="s">
        <v>18</v>
      </c>
      <c r="D17666" s="5">
        <v>1</v>
      </c>
      <c r="E17666" s="5">
        <v>127942</v>
      </c>
    </row>
    <row r="17667" spans="1:5" x14ac:dyDescent="0.35">
      <c r="A17667" s="3">
        <v>46252</v>
      </c>
      <c r="B17667" s="5" t="s">
        <v>258</v>
      </c>
      <c r="C17667" s="5" t="s">
        <v>18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258</v>
      </c>
      <c r="C17668" s="5" t="s">
        <v>18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258</v>
      </c>
      <c r="C17669" s="5" t="s">
        <v>18</v>
      </c>
      <c r="D17669" s="5">
        <v>1</v>
      </c>
      <c r="E17669" s="5">
        <v>127942</v>
      </c>
    </row>
    <row r="17670" spans="1:5" x14ac:dyDescent="0.35">
      <c r="A17670" s="3">
        <v>46252</v>
      </c>
      <c r="B17670" s="5" t="s">
        <v>258</v>
      </c>
      <c r="C17670" s="5" t="s">
        <v>18</v>
      </c>
      <c r="D17670" s="5">
        <v>1</v>
      </c>
      <c r="E17670" s="5">
        <v>127942</v>
      </c>
    </row>
    <row r="17671" spans="1:5" x14ac:dyDescent="0.35">
      <c r="A17671" s="3">
        <v>46252</v>
      </c>
      <c r="B17671" s="5" t="s">
        <v>364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376</v>
      </c>
      <c r="C17672" s="5" t="s">
        <v>40</v>
      </c>
      <c r="D17672" s="5">
        <v>1</v>
      </c>
      <c r="E17672" s="5">
        <v>189032</v>
      </c>
    </row>
    <row r="17673" spans="1:5" x14ac:dyDescent="0.35">
      <c r="A17673" s="3">
        <v>46252</v>
      </c>
      <c r="B17673" s="5" t="s">
        <v>376</v>
      </c>
      <c r="C17673" s="5" t="s">
        <v>32</v>
      </c>
      <c r="D17673" s="5">
        <v>1</v>
      </c>
      <c r="E17673" s="5">
        <v>177214</v>
      </c>
    </row>
    <row r="17674" spans="1:5" x14ac:dyDescent="0.35">
      <c r="A17674" s="3">
        <v>46252</v>
      </c>
      <c r="B17674" s="5" t="s">
        <v>376</v>
      </c>
      <c r="C17674" s="5" t="s">
        <v>18</v>
      </c>
      <c r="D17674" s="5">
        <v>1</v>
      </c>
      <c r="E17674" s="5">
        <v>129941</v>
      </c>
    </row>
    <row r="17675" spans="1:5" x14ac:dyDescent="0.35">
      <c r="A17675" s="3">
        <v>46252</v>
      </c>
      <c r="B17675" s="5" t="s">
        <v>376</v>
      </c>
      <c r="C17675" s="5" t="s">
        <v>18</v>
      </c>
      <c r="D17675" s="5">
        <v>1</v>
      </c>
      <c r="E17675" s="5">
        <v>129941</v>
      </c>
    </row>
    <row r="17676" spans="1:5" x14ac:dyDescent="0.35">
      <c r="A17676" s="3">
        <v>46252</v>
      </c>
      <c r="B17676" s="5" t="s">
        <v>315</v>
      </c>
      <c r="C17676" s="5" t="s">
        <v>65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315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315</v>
      </c>
      <c r="C17678" s="5" t="s">
        <v>66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315</v>
      </c>
      <c r="C17679" s="5" t="s">
        <v>66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315</v>
      </c>
      <c r="C17680" s="5" t="s">
        <v>65</v>
      </c>
      <c r="D17680" s="5">
        <v>1</v>
      </c>
      <c r="E17680" s="5">
        <v>116305</v>
      </c>
    </row>
    <row r="17681" spans="1:5" x14ac:dyDescent="0.35">
      <c r="A17681" s="3">
        <v>46252</v>
      </c>
      <c r="B17681" s="5" t="s">
        <v>355</v>
      </c>
      <c r="C17681" s="5" t="s">
        <v>19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258</v>
      </c>
      <c r="C17682" s="5" t="s">
        <v>20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355</v>
      </c>
      <c r="C17683" s="5" t="s">
        <v>19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354</v>
      </c>
      <c r="C17684" s="5" t="s">
        <v>18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355</v>
      </c>
      <c r="C17685" s="5" t="s">
        <v>19</v>
      </c>
      <c r="D17685" s="5">
        <v>1</v>
      </c>
      <c r="E17685" s="5">
        <v>127942</v>
      </c>
    </row>
    <row r="17686" spans="1:5" x14ac:dyDescent="0.35">
      <c r="A17686" s="3">
        <v>46252</v>
      </c>
      <c r="B17686" s="5" t="s">
        <v>364</v>
      </c>
      <c r="C17686" s="5" t="s">
        <v>65</v>
      </c>
      <c r="D17686" s="5">
        <v>1</v>
      </c>
      <c r="E17686" s="5">
        <v>116305</v>
      </c>
    </row>
    <row r="17687" spans="1:5" x14ac:dyDescent="0.35">
      <c r="A17687" s="3">
        <v>46252</v>
      </c>
      <c r="B17687" s="5" t="s">
        <v>364</v>
      </c>
      <c r="C17687" s="5" t="s">
        <v>67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364</v>
      </c>
      <c r="C17688" s="5" t="s">
        <v>66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362</v>
      </c>
      <c r="C17689" s="5" t="s">
        <v>66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362</v>
      </c>
      <c r="C17690" s="5" t="s">
        <v>66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364</v>
      </c>
      <c r="C17691" s="5" t="s">
        <v>66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315</v>
      </c>
      <c r="C17692" s="5" t="s">
        <v>66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315</v>
      </c>
      <c r="C17693" s="5" t="s">
        <v>66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315</v>
      </c>
      <c r="C17694" s="5" t="s">
        <v>65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315</v>
      </c>
      <c r="C17695" s="5" t="s">
        <v>66</v>
      </c>
      <c r="D17695" s="5">
        <v>1</v>
      </c>
      <c r="E17695" s="5">
        <v>116305</v>
      </c>
    </row>
    <row r="17696" spans="1:5" x14ac:dyDescent="0.35">
      <c r="A17696" s="3">
        <v>46252</v>
      </c>
      <c r="B17696" s="5" t="s">
        <v>315</v>
      </c>
      <c r="C17696" s="5" t="s">
        <v>66</v>
      </c>
      <c r="D17696" s="5">
        <v>1</v>
      </c>
      <c r="E17696" s="5">
        <v>116305</v>
      </c>
    </row>
    <row r="17697" spans="1:5" x14ac:dyDescent="0.35">
      <c r="A17697" s="3">
        <v>46252</v>
      </c>
      <c r="B17697" s="5" t="s">
        <v>315</v>
      </c>
      <c r="C17697" s="5" t="s">
        <v>65</v>
      </c>
      <c r="D17697" s="5">
        <v>1</v>
      </c>
      <c r="E17697" s="5">
        <v>116305</v>
      </c>
    </row>
    <row r="17698" spans="1:5" x14ac:dyDescent="0.35">
      <c r="A17698" s="3">
        <v>46252</v>
      </c>
      <c r="B17698" s="5" t="s">
        <v>315</v>
      </c>
      <c r="C17698" s="5" t="s">
        <v>67</v>
      </c>
      <c r="D17698" s="5">
        <v>1</v>
      </c>
      <c r="E17698" s="5">
        <v>116305</v>
      </c>
    </row>
    <row r="17699" spans="1:5" x14ac:dyDescent="0.35">
      <c r="A17699" s="3">
        <v>46252</v>
      </c>
      <c r="B17699" s="5" t="s">
        <v>355</v>
      </c>
      <c r="C17699" s="5" t="s">
        <v>20</v>
      </c>
      <c r="D17699" s="5">
        <v>1</v>
      </c>
      <c r="E17699" s="5">
        <v>127942</v>
      </c>
    </row>
    <row r="17700" spans="1:5" x14ac:dyDescent="0.35">
      <c r="A17700" s="3">
        <v>46252</v>
      </c>
      <c r="B17700" s="5" t="s">
        <v>355</v>
      </c>
      <c r="C17700" s="5" t="s">
        <v>20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363</v>
      </c>
      <c r="C17701" s="5" t="s">
        <v>66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354</v>
      </c>
      <c r="C17702" s="5" t="s">
        <v>18</v>
      </c>
      <c r="D17702" s="5">
        <v>1</v>
      </c>
      <c r="E17702" s="5">
        <v>127942</v>
      </c>
    </row>
    <row r="17703" spans="1:5" x14ac:dyDescent="0.35">
      <c r="A17703" s="3">
        <v>46252</v>
      </c>
      <c r="B17703" s="5" t="s">
        <v>355</v>
      </c>
      <c r="C17703" s="5" t="s">
        <v>19</v>
      </c>
      <c r="D17703" s="5">
        <v>1</v>
      </c>
      <c r="E17703" s="5">
        <v>127942</v>
      </c>
    </row>
    <row r="17704" spans="1:5" x14ac:dyDescent="0.35">
      <c r="A17704" s="3">
        <v>46252</v>
      </c>
      <c r="B17704" s="5" t="s">
        <v>258</v>
      </c>
      <c r="C17704" s="5" t="s">
        <v>20</v>
      </c>
      <c r="D17704" s="5">
        <v>1</v>
      </c>
      <c r="E17704" s="5">
        <v>127942</v>
      </c>
    </row>
    <row r="17705" spans="1:5" x14ac:dyDescent="0.35">
      <c r="A17705" s="3">
        <v>46252</v>
      </c>
      <c r="B17705" s="5" t="s">
        <v>258</v>
      </c>
      <c r="C17705" s="5" t="s">
        <v>20</v>
      </c>
      <c r="D17705" s="5">
        <v>1</v>
      </c>
      <c r="E17705" s="5">
        <v>127942</v>
      </c>
    </row>
    <row r="17706" spans="1:5" x14ac:dyDescent="0.35">
      <c r="A17706" s="3">
        <v>46252</v>
      </c>
      <c r="B17706" s="5" t="s">
        <v>354</v>
      </c>
      <c r="C17706" s="5" t="s">
        <v>18</v>
      </c>
      <c r="D17706" s="5">
        <v>1</v>
      </c>
      <c r="E17706" s="5">
        <v>127942</v>
      </c>
    </row>
    <row r="17707" spans="1:5" x14ac:dyDescent="0.35">
      <c r="A17707" s="3">
        <v>46252</v>
      </c>
      <c r="B17707" s="5" t="s">
        <v>364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258</v>
      </c>
      <c r="C17708" s="5" t="s">
        <v>19</v>
      </c>
      <c r="D17708" s="5">
        <v>1</v>
      </c>
      <c r="E17708" s="5">
        <v>127942</v>
      </c>
    </row>
    <row r="17709" spans="1:5" x14ac:dyDescent="0.35">
      <c r="A17709" s="3">
        <v>46252</v>
      </c>
      <c r="B17709" s="5" t="s">
        <v>364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364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364</v>
      </c>
      <c r="C17711" s="5" t="s">
        <v>67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364</v>
      </c>
      <c r="C17712" s="5" t="s">
        <v>66</v>
      </c>
      <c r="D17712" s="5">
        <v>1</v>
      </c>
      <c r="E17712" s="5">
        <v>116305</v>
      </c>
    </row>
    <row r="17713" spans="1:5" x14ac:dyDescent="0.35">
      <c r="A17713" s="3">
        <v>46252</v>
      </c>
      <c r="B17713" s="5" t="s">
        <v>362</v>
      </c>
      <c r="C17713" s="5" t="s">
        <v>65</v>
      </c>
      <c r="D17713" s="5">
        <v>1</v>
      </c>
      <c r="E17713" s="5">
        <v>116305</v>
      </c>
    </row>
    <row r="17714" spans="1:5" x14ac:dyDescent="0.35">
      <c r="A17714" s="3">
        <v>46252</v>
      </c>
      <c r="B17714" s="5" t="s">
        <v>244</v>
      </c>
      <c r="C17714" s="5" t="s">
        <v>18</v>
      </c>
      <c r="D17714" s="5">
        <v>1</v>
      </c>
      <c r="E17714" s="5">
        <v>129941</v>
      </c>
    </row>
    <row r="17715" spans="1:5" x14ac:dyDescent="0.35">
      <c r="A17715" s="3">
        <v>46252</v>
      </c>
      <c r="B17715" s="5" t="s">
        <v>376</v>
      </c>
      <c r="C17715" s="5" t="s">
        <v>18</v>
      </c>
      <c r="D17715" s="5">
        <v>1</v>
      </c>
      <c r="E17715" s="5">
        <v>129941</v>
      </c>
    </row>
    <row r="17716" spans="1:5" x14ac:dyDescent="0.35">
      <c r="A17716" s="3">
        <v>46252</v>
      </c>
      <c r="B17716" s="5" t="s">
        <v>376</v>
      </c>
      <c r="C17716" s="5" t="s">
        <v>18</v>
      </c>
      <c r="D17716" s="5">
        <v>1</v>
      </c>
      <c r="E17716" s="5">
        <v>129941</v>
      </c>
    </row>
    <row r="17717" spans="1:5" x14ac:dyDescent="0.35">
      <c r="A17717" s="3">
        <v>46252</v>
      </c>
      <c r="B17717" s="5" t="s">
        <v>315</v>
      </c>
      <c r="C17717" s="5" t="s">
        <v>66</v>
      </c>
      <c r="D17717" s="5">
        <v>2</v>
      </c>
      <c r="E17717" s="5">
        <v>232611</v>
      </c>
    </row>
    <row r="17718" spans="1:5" x14ac:dyDescent="0.35">
      <c r="A17718" s="3">
        <v>46252</v>
      </c>
      <c r="B17718" s="5" t="s">
        <v>315</v>
      </c>
      <c r="C17718" s="5" t="s">
        <v>66</v>
      </c>
      <c r="D17718" s="5">
        <v>1</v>
      </c>
      <c r="E17718" s="5">
        <v>116305</v>
      </c>
    </row>
    <row r="17719" spans="1:5" x14ac:dyDescent="0.35">
      <c r="A17719" s="3">
        <v>46252</v>
      </c>
      <c r="B17719" s="5" t="s">
        <v>315</v>
      </c>
      <c r="C17719" s="5" t="s">
        <v>66</v>
      </c>
      <c r="D17719" s="5">
        <v>1</v>
      </c>
      <c r="E17719" s="5">
        <v>116305</v>
      </c>
    </row>
    <row r="17720" spans="1:5" x14ac:dyDescent="0.35">
      <c r="A17720" s="3">
        <v>46252</v>
      </c>
      <c r="B17720" s="5" t="s">
        <v>315</v>
      </c>
      <c r="C17720" s="5" t="s">
        <v>66</v>
      </c>
      <c r="D17720" s="5">
        <v>1</v>
      </c>
      <c r="E17720" s="5">
        <v>116305</v>
      </c>
    </row>
    <row r="17721" spans="1:5" x14ac:dyDescent="0.35">
      <c r="A17721" s="3">
        <v>46252</v>
      </c>
      <c r="B17721" s="5" t="s">
        <v>315</v>
      </c>
      <c r="C17721" s="5" t="s">
        <v>66</v>
      </c>
      <c r="D17721" s="5">
        <v>1</v>
      </c>
      <c r="E17721" s="5">
        <v>116305</v>
      </c>
    </row>
    <row r="17722" spans="1:5" x14ac:dyDescent="0.35">
      <c r="A17722" s="3">
        <v>46252</v>
      </c>
      <c r="B17722" s="5" t="s">
        <v>315</v>
      </c>
      <c r="C17722" s="5" t="s">
        <v>65</v>
      </c>
      <c r="D17722" s="5">
        <v>1</v>
      </c>
      <c r="E17722" s="5">
        <v>116305</v>
      </c>
    </row>
    <row r="17723" spans="1:5" x14ac:dyDescent="0.35">
      <c r="A17723" s="3">
        <v>46252</v>
      </c>
      <c r="B17723" s="5" t="s">
        <v>315</v>
      </c>
      <c r="C17723" s="5" t="s">
        <v>67</v>
      </c>
      <c r="D17723" s="5">
        <v>1</v>
      </c>
      <c r="E17723" s="5">
        <v>116305</v>
      </c>
    </row>
    <row r="17724" spans="1:5" x14ac:dyDescent="0.35">
      <c r="A17724" s="3">
        <v>46252</v>
      </c>
      <c r="B17724" s="5" t="s">
        <v>354</v>
      </c>
      <c r="C17724" s="5" t="s">
        <v>18</v>
      </c>
      <c r="D17724" s="5">
        <v>1</v>
      </c>
      <c r="E17724" s="5">
        <v>127942</v>
      </c>
    </row>
    <row r="17725" spans="1:5" x14ac:dyDescent="0.35">
      <c r="A17725" s="3">
        <v>46252</v>
      </c>
      <c r="B17725" s="5" t="s">
        <v>258</v>
      </c>
      <c r="C17725" s="5" t="s">
        <v>20</v>
      </c>
      <c r="D17725" s="5">
        <v>1</v>
      </c>
      <c r="E17725" s="5">
        <v>127942</v>
      </c>
    </row>
    <row r="17726" spans="1:5" x14ac:dyDescent="0.35">
      <c r="A17726" s="3">
        <v>46252</v>
      </c>
      <c r="B17726" s="5" t="s">
        <v>258</v>
      </c>
      <c r="C17726" s="5" t="s">
        <v>20</v>
      </c>
      <c r="D17726" s="5">
        <v>1</v>
      </c>
      <c r="E17726" s="5">
        <v>127942</v>
      </c>
    </row>
    <row r="17727" spans="1:5" x14ac:dyDescent="0.35">
      <c r="A17727" s="3">
        <v>46252</v>
      </c>
      <c r="B17727" s="5" t="s">
        <v>258</v>
      </c>
      <c r="C17727" s="5" t="s">
        <v>19</v>
      </c>
      <c r="D17727" s="5">
        <v>1</v>
      </c>
      <c r="E17727" s="5">
        <v>127942</v>
      </c>
    </row>
    <row r="17728" spans="1:5" x14ac:dyDescent="0.35">
      <c r="A17728" s="3">
        <v>46252</v>
      </c>
      <c r="B17728" s="5" t="s">
        <v>354</v>
      </c>
      <c r="C17728" s="5" t="s">
        <v>18</v>
      </c>
      <c r="D17728" s="5">
        <v>1</v>
      </c>
      <c r="E17728" s="5">
        <v>127942</v>
      </c>
    </row>
    <row r="17729" spans="1:5" x14ac:dyDescent="0.35">
      <c r="A17729" s="3">
        <v>46252</v>
      </c>
      <c r="B17729" s="5" t="s">
        <v>258</v>
      </c>
      <c r="C17729" s="5" t="s">
        <v>20</v>
      </c>
      <c r="D17729" s="5">
        <v>1</v>
      </c>
      <c r="E17729" s="5">
        <v>127942</v>
      </c>
    </row>
    <row r="17730" spans="1:5" x14ac:dyDescent="0.35">
      <c r="A17730" s="3">
        <v>46252</v>
      </c>
      <c r="B17730" s="5" t="s">
        <v>258</v>
      </c>
      <c r="C17730" s="5" t="s">
        <v>18</v>
      </c>
      <c r="D17730" s="5">
        <v>1</v>
      </c>
      <c r="E17730" s="5">
        <v>127942</v>
      </c>
    </row>
    <row r="17731" spans="1:5" x14ac:dyDescent="0.35">
      <c r="A17731" s="3">
        <v>46252</v>
      </c>
      <c r="B17731" s="5" t="s">
        <v>258</v>
      </c>
      <c r="C17731" s="5" t="s">
        <v>18</v>
      </c>
      <c r="D17731" s="5">
        <v>1</v>
      </c>
      <c r="E17731" s="5">
        <v>127942</v>
      </c>
    </row>
    <row r="17732" spans="1:5" x14ac:dyDescent="0.35">
      <c r="A17732" s="3">
        <v>46252</v>
      </c>
      <c r="B17732" s="5" t="s">
        <v>258</v>
      </c>
      <c r="C17732" s="5" t="s">
        <v>18</v>
      </c>
      <c r="D17732" s="5">
        <v>1</v>
      </c>
      <c r="E17732" s="5">
        <v>127942</v>
      </c>
    </row>
    <row r="17733" spans="1:5" x14ac:dyDescent="0.35">
      <c r="A17733" s="3">
        <v>46252</v>
      </c>
      <c r="B17733" s="5" t="s">
        <v>364</v>
      </c>
      <c r="C17733" s="5" t="s">
        <v>66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364</v>
      </c>
      <c r="C17734" s="5" t="s">
        <v>66</v>
      </c>
      <c r="D17734" s="5">
        <v>1</v>
      </c>
      <c r="E17734" s="5">
        <v>116305</v>
      </c>
    </row>
    <row r="17735" spans="1:5" x14ac:dyDescent="0.35">
      <c r="A17735" s="3">
        <v>46252</v>
      </c>
      <c r="B17735" s="5" t="s">
        <v>364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373</v>
      </c>
      <c r="C17736" s="5" t="s">
        <v>18</v>
      </c>
      <c r="D17736" s="5">
        <v>1</v>
      </c>
      <c r="E17736" s="5">
        <v>129941</v>
      </c>
    </row>
    <row r="17737" spans="1:5" x14ac:dyDescent="0.35">
      <c r="A17737" s="3">
        <v>46252</v>
      </c>
      <c r="B17737" s="5" t="s">
        <v>376</v>
      </c>
      <c r="C17737" s="5" t="s">
        <v>27</v>
      </c>
      <c r="D17737" s="5">
        <v>1</v>
      </c>
      <c r="E17737" s="5">
        <v>177214</v>
      </c>
    </row>
    <row r="17738" spans="1:5" x14ac:dyDescent="0.35">
      <c r="A17738" s="3">
        <v>46252</v>
      </c>
      <c r="B17738" s="5" t="s">
        <v>315</v>
      </c>
      <c r="C17738" s="5" t="s">
        <v>66</v>
      </c>
      <c r="D17738" s="5">
        <v>1</v>
      </c>
      <c r="E17738" s="5">
        <v>116305</v>
      </c>
    </row>
    <row r="17739" spans="1:5" x14ac:dyDescent="0.35">
      <c r="A17739" s="3">
        <v>46252</v>
      </c>
      <c r="B17739" s="5" t="s">
        <v>315</v>
      </c>
      <c r="C17739" s="5" t="s">
        <v>66</v>
      </c>
      <c r="D17739" s="5">
        <v>1</v>
      </c>
      <c r="E17739" s="5">
        <v>116305</v>
      </c>
    </row>
    <row r="17740" spans="1:5" x14ac:dyDescent="0.35">
      <c r="A17740" s="3">
        <v>46252</v>
      </c>
      <c r="B17740" s="5" t="s">
        <v>315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315</v>
      </c>
      <c r="C17741" s="5" t="s">
        <v>65</v>
      </c>
      <c r="D17741" s="5">
        <v>1</v>
      </c>
      <c r="E17741" s="5">
        <v>116305</v>
      </c>
    </row>
    <row r="17742" spans="1:5" x14ac:dyDescent="0.35">
      <c r="A17742" s="3">
        <v>46252</v>
      </c>
      <c r="B17742" s="5" t="s">
        <v>355</v>
      </c>
      <c r="C17742" s="5" t="s">
        <v>20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355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258</v>
      </c>
      <c r="C17744" s="5" t="s">
        <v>20</v>
      </c>
      <c r="D17744" s="5">
        <v>1</v>
      </c>
      <c r="E17744" s="5">
        <v>127942</v>
      </c>
    </row>
    <row r="17745" spans="1:5" x14ac:dyDescent="0.35">
      <c r="A17745" s="3">
        <v>46252</v>
      </c>
      <c r="B17745" s="5" t="s">
        <v>364</v>
      </c>
      <c r="C17745" s="5" t="s">
        <v>66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258</v>
      </c>
      <c r="C17746" s="5" t="s">
        <v>18</v>
      </c>
      <c r="D17746" s="5">
        <v>1</v>
      </c>
      <c r="E17746" s="5">
        <v>127942</v>
      </c>
    </row>
    <row r="17747" spans="1:5" x14ac:dyDescent="0.35">
      <c r="A17747" s="3">
        <v>46252</v>
      </c>
      <c r="B17747" s="5" t="s">
        <v>364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364</v>
      </c>
      <c r="C17748" s="5" t="s">
        <v>65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373</v>
      </c>
      <c r="C17749" s="5" t="s">
        <v>28</v>
      </c>
      <c r="D17749" s="5">
        <v>1</v>
      </c>
      <c r="E17749" s="5">
        <v>118123</v>
      </c>
    </row>
    <row r="17750" spans="1:5" x14ac:dyDescent="0.35">
      <c r="A17750" s="3">
        <v>46252</v>
      </c>
      <c r="B17750" s="5" t="s">
        <v>315</v>
      </c>
      <c r="C17750" s="5" t="s">
        <v>66</v>
      </c>
      <c r="D17750" s="5">
        <v>1</v>
      </c>
      <c r="E17750" s="5">
        <v>116305</v>
      </c>
    </row>
    <row r="17751" spans="1:5" x14ac:dyDescent="0.35">
      <c r="A17751" s="3">
        <v>46252</v>
      </c>
      <c r="B17751" s="5" t="s">
        <v>315</v>
      </c>
      <c r="C17751" s="5" t="s">
        <v>66</v>
      </c>
      <c r="D17751" s="5">
        <v>1</v>
      </c>
      <c r="E17751" s="5">
        <v>116305</v>
      </c>
    </row>
    <row r="17752" spans="1:5" x14ac:dyDescent="0.35">
      <c r="A17752" s="3">
        <v>46252</v>
      </c>
      <c r="B17752" s="5" t="s">
        <v>315</v>
      </c>
      <c r="C17752" s="5" t="s">
        <v>66</v>
      </c>
      <c r="D17752" s="5">
        <v>1</v>
      </c>
      <c r="E17752" s="5">
        <v>116305</v>
      </c>
    </row>
    <row r="17753" spans="1:5" x14ac:dyDescent="0.35">
      <c r="A17753" s="3">
        <v>46252</v>
      </c>
      <c r="B17753" s="5" t="s">
        <v>315</v>
      </c>
      <c r="C17753" s="5" t="s">
        <v>66</v>
      </c>
      <c r="D17753" s="5">
        <v>1</v>
      </c>
      <c r="E17753" s="5">
        <v>116305</v>
      </c>
    </row>
    <row r="17754" spans="1:5" x14ac:dyDescent="0.35">
      <c r="A17754" s="3">
        <v>46252</v>
      </c>
      <c r="B17754" s="5" t="s">
        <v>315</v>
      </c>
      <c r="C17754" s="5" t="s">
        <v>65</v>
      </c>
      <c r="D17754" s="5">
        <v>1</v>
      </c>
      <c r="E17754" s="5">
        <v>116305</v>
      </c>
    </row>
    <row r="17755" spans="1:5" x14ac:dyDescent="0.35">
      <c r="A17755" s="3">
        <v>46252</v>
      </c>
      <c r="B17755" s="5" t="s">
        <v>355</v>
      </c>
      <c r="C17755" s="5" t="s">
        <v>19</v>
      </c>
      <c r="D17755" s="5">
        <v>1</v>
      </c>
      <c r="E17755" s="5">
        <v>127942</v>
      </c>
    </row>
    <row r="17756" spans="1:5" x14ac:dyDescent="0.35">
      <c r="A17756" s="3">
        <v>46252</v>
      </c>
      <c r="B17756" s="5" t="s">
        <v>355</v>
      </c>
      <c r="C17756" s="5" t="s">
        <v>18</v>
      </c>
      <c r="D17756" s="5">
        <v>1</v>
      </c>
      <c r="E17756" s="5">
        <v>127942</v>
      </c>
    </row>
    <row r="17757" spans="1:5" x14ac:dyDescent="0.35">
      <c r="A17757" s="3">
        <v>46252</v>
      </c>
      <c r="B17757" s="5" t="s">
        <v>258</v>
      </c>
      <c r="C17757" s="5" t="s">
        <v>19</v>
      </c>
      <c r="D17757" s="5">
        <v>1</v>
      </c>
      <c r="E17757" s="5">
        <v>127942</v>
      </c>
    </row>
    <row r="17758" spans="1:5" x14ac:dyDescent="0.35">
      <c r="A17758" s="3">
        <v>46252</v>
      </c>
      <c r="B17758" s="5" t="s">
        <v>258</v>
      </c>
      <c r="C17758" s="5" t="s">
        <v>19</v>
      </c>
      <c r="D17758" s="5">
        <v>1</v>
      </c>
      <c r="E17758" s="5">
        <v>127942</v>
      </c>
    </row>
    <row r="17759" spans="1:5" x14ac:dyDescent="0.35">
      <c r="A17759" s="3">
        <v>46252</v>
      </c>
      <c r="B17759" s="5" t="s">
        <v>258</v>
      </c>
      <c r="C17759" s="5" t="s">
        <v>18</v>
      </c>
      <c r="D17759" s="5">
        <v>1</v>
      </c>
      <c r="E17759" s="5">
        <v>127942</v>
      </c>
    </row>
    <row r="17760" spans="1:5" x14ac:dyDescent="0.35">
      <c r="A17760" s="3">
        <v>46252</v>
      </c>
      <c r="B17760" s="5" t="s">
        <v>364</v>
      </c>
      <c r="C17760" s="5" t="s">
        <v>66</v>
      </c>
      <c r="D17760" s="5">
        <v>1</v>
      </c>
      <c r="E17760" s="5">
        <v>116305</v>
      </c>
    </row>
    <row r="17761" spans="1:5" x14ac:dyDescent="0.35">
      <c r="A17761" s="3">
        <v>46252</v>
      </c>
      <c r="B17761" s="5" t="s">
        <v>364</v>
      </c>
      <c r="C17761" s="5" t="s">
        <v>65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364</v>
      </c>
      <c r="C17762" s="5" t="s">
        <v>66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362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373</v>
      </c>
      <c r="C17764" s="5" t="s">
        <v>18</v>
      </c>
      <c r="D17764" s="5">
        <v>1</v>
      </c>
      <c r="E17764" s="5">
        <v>129941</v>
      </c>
    </row>
    <row r="17765" spans="1:5" x14ac:dyDescent="0.35">
      <c r="A17765" s="3">
        <v>46252</v>
      </c>
      <c r="B17765" s="5" t="s">
        <v>373</v>
      </c>
      <c r="C17765" s="5" t="s">
        <v>18</v>
      </c>
      <c r="D17765" s="5">
        <v>1</v>
      </c>
      <c r="E17765" s="5">
        <v>129941</v>
      </c>
    </row>
    <row r="17766" spans="1:5" x14ac:dyDescent="0.35">
      <c r="A17766" s="3">
        <v>46252</v>
      </c>
      <c r="B17766" s="5" t="s">
        <v>315</v>
      </c>
      <c r="C17766" s="5" t="s">
        <v>66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315</v>
      </c>
      <c r="C17767" s="5" t="s">
        <v>66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315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315</v>
      </c>
      <c r="C17769" s="5" t="s">
        <v>66</v>
      </c>
      <c r="D17769" s="5">
        <v>1</v>
      </c>
      <c r="E17769" s="5">
        <v>116305</v>
      </c>
    </row>
    <row r="17770" spans="1:5" x14ac:dyDescent="0.35">
      <c r="A17770" s="3">
        <v>46252</v>
      </c>
      <c r="B17770" s="5" t="s">
        <v>315</v>
      </c>
      <c r="C17770" s="5" t="s">
        <v>65</v>
      </c>
      <c r="D17770" s="5">
        <v>1</v>
      </c>
      <c r="E17770" s="5">
        <v>116305</v>
      </c>
    </row>
    <row r="17771" spans="1:5" x14ac:dyDescent="0.35">
      <c r="A17771" s="3">
        <v>46252</v>
      </c>
      <c r="B17771" s="5" t="s">
        <v>315</v>
      </c>
      <c r="C17771" s="5" t="s">
        <v>67</v>
      </c>
      <c r="D17771" s="5">
        <v>1</v>
      </c>
      <c r="E17771" s="5">
        <v>116305</v>
      </c>
    </row>
    <row r="17772" spans="1:5" x14ac:dyDescent="0.35">
      <c r="A17772" s="3">
        <v>46252</v>
      </c>
      <c r="B17772" s="5" t="s">
        <v>315</v>
      </c>
      <c r="C17772" s="5" t="s">
        <v>67</v>
      </c>
      <c r="D17772" s="5">
        <v>1</v>
      </c>
      <c r="E17772" s="5">
        <v>116305</v>
      </c>
    </row>
    <row r="17773" spans="1:5" x14ac:dyDescent="0.35">
      <c r="A17773" s="3">
        <v>46252</v>
      </c>
      <c r="B17773" s="5" t="s">
        <v>355</v>
      </c>
      <c r="C17773" s="5" t="s">
        <v>20</v>
      </c>
      <c r="D17773" s="5">
        <v>1</v>
      </c>
      <c r="E17773" s="5">
        <v>127942</v>
      </c>
    </row>
    <row r="17774" spans="1:5" x14ac:dyDescent="0.35">
      <c r="A17774" s="3">
        <v>46252</v>
      </c>
      <c r="B17774" s="5" t="s">
        <v>315</v>
      </c>
      <c r="C17774" s="5" t="s">
        <v>65</v>
      </c>
      <c r="D17774" s="5">
        <v>1</v>
      </c>
      <c r="E17774" s="5">
        <v>116305</v>
      </c>
    </row>
    <row r="17775" spans="1:5" x14ac:dyDescent="0.35">
      <c r="A17775" s="3">
        <v>46252</v>
      </c>
      <c r="B17775" s="5" t="s">
        <v>258</v>
      </c>
      <c r="C17775" s="5" t="s">
        <v>20</v>
      </c>
      <c r="D17775" s="5">
        <v>1</v>
      </c>
      <c r="E17775" s="5">
        <v>127942</v>
      </c>
    </row>
    <row r="17776" spans="1:5" x14ac:dyDescent="0.35">
      <c r="A17776" s="3">
        <v>46252</v>
      </c>
      <c r="B17776" s="5" t="s">
        <v>258</v>
      </c>
      <c r="C17776" s="5" t="s">
        <v>20</v>
      </c>
      <c r="D17776" s="5">
        <v>1</v>
      </c>
      <c r="E17776" s="5">
        <v>127942</v>
      </c>
    </row>
    <row r="17777" spans="1:5" x14ac:dyDescent="0.35">
      <c r="A17777" s="3">
        <v>46252</v>
      </c>
      <c r="B17777" s="5" t="s">
        <v>258</v>
      </c>
      <c r="C17777" s="5" t="s">
        <v>19</v>
      </c>
      <c r="D17777" s="5">
        <v>1</v>
      </c>
      <c r="E17777" s="5">
        <v>127942</v>
      </c>
    </row>
    <row r="17778" spans="1:5" x14ac:dyDescent="0.35">
      <c r="A17778" s="3">
        <v>46252</v>
      </c>
      <c r="B17778" s="5" t="s">
        <v>258</v>
      </c>
      <c r="C17778" s="5" t="s">
        <v>20</v>
      </c>
      <c r="D17778" s="5">
        <v>1</v>
      </c>
      <c r="E17778" s="5">
        <v>127942</v>
      </c>
    </row>
    <row r="17779" spans="1:5" x14ac:dyDescent="0.35">
      <c r="A17779" s="3">
        <v>46252</v>
      </c>
      <c r="B17779" s="5" t="s">
        <v>258</v>
      </c>
      <c r="C17779" s="5" t="s">
        <v>18</v>
      </c>
      <c r="D17779" s="5">
        <v>1</v>
      </c>
      <c r="E17779" s="5">
        <v>127942</v>
      </c>
    </row>
    <row r="17780" spans="1:5" x14ac:dyDescent="0.35">
      <c r="A17780" s="3">
        <v>46252</v>
      </c>
      <c r="B17780" s="5" t="s">
        <v>258</v>
      </c>
      <c r="C17780" s="5" t="s">
        <v>18</v>
      </c>
      <c r="D17780" s="5">
        <v>1</v>
      </c>
      <c r="E17780" s="5">
        <v>127942</v>
      </c>
    </row>
    <row r="17781" spans="1:5" x14ac:dyDescent="0.35">
      <c r="A17781" s="3">
        <v>46252</v>
      </c>
      <c r="B17781" s="5" t="s">
        <v>364</v>
      </c>
      <c r="C17781" s="5" t="s">
        <v>66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364</v>
      </c>
      <c r="C17782" s="5" t="s">
        <v>66</v>
      </c>
      <c r="D17782" s="5">
        <v>1</v>
      </c>
      <c r="E17782" s="5">
        <v>116305</v>
      </c>
    </row>
    <row r="17783" spans="1:5" x14ac:dyDescent="0.35">
      <c r="A17783" s="3">
        <v>46252</v>
      </c>
      <c r="B17783" s="5" t="s">
        <v>258</v>
      </c>
      <c r="C17783" s="5" t="s">
        <v>18</v>
      </c>
      <c r="D17783" s="5">
        <v>1</v>
      </c>
      <c r="E17783" s="5">
        <v>127942</v>
      </c>
    </row>
    <row r="17784" spans="1:5" x14ac:dyDescent="0.35">
      <c r="A17784" s="3">
        <v>46252</v>
      </c>
      <c r="B17784" s="5" t="s">
        <v>364</v>
      </c>
      <c r="C17784" s="5" t="s">
        <v>65</v>
      </c>
      <c r="D17784" s="5">
        <v>1</v>
      </c>
      <c r="E17784" s="5">
        <v>116305</v>
      </c>
    </row>
    <row r="17785" spans="1:5" x14ac:dyDescent="0.35">
      <c r="A17785" s="3">
        <v>46252</v>
      </c>
      <c r="B17785" s="5" t="s">
        <v>373</v>
      </c>
      <c r="C17785" s="5" t="s">
        <v>42</v>
      </c>
      <c r="D17785" s="5">
        <v>1</v>
      </c>
      <c r="E17785" s="5">
        <v>206759</v>
      </c>
    </row>
    <row r="17786" spans="1:5" x14ac:dyDescent="0.35">
      <c r="A17786" s="3">
        <v>46252</v>
      </c>
      <c r="B17786" s="5" t="s">
        <v>244</v>
      </c>
      <c r="C17786" s="5" t="s">
        <v>18</v>
      </c>
      <c r="D17786" s="5">
        <v>1</v>
      </c>
      <c r="E17786" s="5">
        <v>129941</v>
      </c>
    </row>
    <row r="17787" spans="1:5" x14ac:dyDescent="0.35">
      <c r="A17787" s="3">
        <v>46252</v>
      </c>
      <c r="B17787" s="5" t="s">
        <v>315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315</v>
      </c>
      <c r="C17788" s="5" t="s">
        <v>66</v>
      </c>
      <c r="D17788" s="5">
        <v>1</v>
      </c>
      <c r="E17788" s="5">
        <v>116305</v>
      </c>
    </row>
    <row r="17789" spans="1:5" x14ac:dyDescent="0.35">
      <c r="A17789" s="3">
        <v>46252</v>
      </c>
      <c r="B17789" s="5" t="s">
        <v>315</v>
      </c>
      <c r="C17789" s="5" t="s">
        <v>65</v>
      </c>
      <c r="D17789" s="5">
        <v>1</v>
      </c>
      <c r="E17789" s="5">
        <v>116305</v>
      </c>
    </row>
    <row r="17790" spans="1:5" x14ac:dyDescent="0.35">
      <c r="A17790" s="3">
        <v>46252</v>
      </c>
      <c r="B17790" s="5" t="s">
        <v>315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315</v>
      </c>
      <c r="C17791" s="5" t="s">
        <v>65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315</v>
      </c>
      <c r="C17792" s="5" t="s">
        <v>67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355</v>
      </c>
      <c r="C17793" s="5" t="s">
        <v>19</v>
      </c>
      <c r="D17793" s="5">
        <v>1</v>
      </c>
      <c r="E17793" s="5">
        <v>127942</v>
      </c>
    </row>
    <row r="17794" spans="1:5" x14ac:dyDescent="0.35">
      <c r="A17794" s="3">
        <v>46252</v>
      </c>
      <c r="B17794" s="5" t="s">
        <v>355</v>
      </c>
      <c r="C17794" s="5" t="s">
        <v>18</v>
      </c>
      <c r="D17794" s="5">
        <v>1</v>
      </c>
      <c r="E17794" s="5">
        <v>127942</v>
      </c>
    </row>
    <row r="17795" spans="1:5" x14ac:dyDescent="0.35">
      <c r="A17795" s="3">
        <v>46252</v>
      </c>
      <c r="B17795" s="5" t="s">
        <v>355</v>
      </c>
      <c r="C17795" s="5" t="s">
        <v>19</v>
      </c>
      <c r="D17795" s="5">
        <v>1</v>
      </c>
      <c r="E17795" s="5">
        <v>127942</v>
      </c>
    </row>
    <row r="17796" spans="1:5" x14ac:dyDescent="0.35">
      <c r="A17796" s="3">
        <v>46252</v>
      </c>
      <c r="B17796" s="5" t="s">
        <v>258</v>
      </c>
      <c r="C17796" s="5" t="s">
        <v>20</v>
      </c>
      <c r="D17796" s="5">
        <v>1</v>
      </c>
      <c r="E17796" s="5">
        <v>127942</v>
      </c>
    </row>
    <row r="17797" spans="1:5" x14ac:dyDescent="0.35">
      <c r="A17797" s="3">
        <v>46252</v>
      </c>
      <c r="B17797" s="5" t="s">
        <v>258</v>
      </c>
      <c r="C17797" s="5" t="s">
        <v>19</v>
      </c>
      <c r="D17797" s="5">
        <v>1</v>
      </c>
      <c r="E17797" s="5">
        <v>127942</v>
      </c>
    </row>
    <row r="17798" spans="1:5" x14ac:dyDescent="0.35">
      <c r="A17798" s="3">
        <v>46252</v>
      </c>
      <c r="B17798" s="5" t="s">
        <v>258</v>
      </c>
      <c r="C17798" s="5" t="s">
        <v>20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258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364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364</v>
      </c>
      <c r="C17801" s="5" t="s">
        <v>65</v>
      </c>
      <c r="D17801" s="5">
        <v>1</v>
      </c>
      <c r="E17801" s="5">
        <v>116305</v>
      </c>
    </row>
    <row r="17802" spans="1:5" x14ac:dyDescent="0.35">
      <c r="A17802" s="3">
        <v>46252</v>
      </c>
      <c r="B17802" s="5" t="s">
        <v>364</v>
      </c>
      <c r="C17802" s="5" t="s">
        <v>66</v>
      </c>
      <c r="D17802" s="5">
        <v>1</v>
      </c>
      <c r="E17802" s="5">
        <v>116305</v>
      </c>
    </row>
    <row r="17803" spans="1:5" x14ac:dyDescent="0.35">
      <c r="A17803" s="3">
        <v>46252</v>
      </c>
      <c r="B17803" s="5" t="s">
        <v>364</v>
      </c>
      <c r="C17803" s="5" t="s">
        <v>65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362</v>
      </c>
      <c r="C17804" s="5" t="s">
        <v>66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362</v>
      </c>
      <c r="C17805" s="5" t="s">
        <v>66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373</v>
      </c>
      <c r="C17806" s="5" t="s">
        <v>18</v>
      </c>
      <c r="D17806" s="5">
        <v>1</v>
      </c>
      <c r="E17806" s="5">
        <v>129941</v>
      </c>
    </row>
    <row r="17807" spans="1:5" x14ac:dyDescent="0.35">
      <c r="A17807" s="3">
        <v>46252</v>
      </c>
      <c r="B17807" s="5" t="s">
        <v>244</v>
      </c>
      <c r="C17807" s="5" t="s">
        <v>108</v>
      </c>
      <c r="D17807" s="5">
        <v>1</v>
      </c>
      <c r="E17807" s="5">
        <v>106305</v>
      </c>
    </row>
    <row r="17808" spans="1:5" x14ac:dyDescent="0.35">
      <c r="A17808" s="3">
        <v>46252</v>
      </c>
      <c r="B17808" s="5" t="s">
        <v>244</v>
      </c>
      <c r="C17808" s="5" t="s">
        <v>25</v>
      </c>
      <c r="D17808" s="5">
        <v>1</v>
      </c>
      <c r="E17808" s="5">
        <v>460318</v>
      </c>
    </row>
    <row r="17809" spans="1:5" x14ac:dyDescent="0.35">
      <c r="A17809" s="3">
        <v>46252</v>
      </c>
      <c r="B17809" s="5" t="s">
        <v>315</v>
      </c>
      <c r="C17809" s="5" t="s">
        <v>66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315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315</v>
      </c>
      <c r="C17811" s="5" t="s">
        <v>66</v>
      </c>
      <c r="D17811" s="5">
        <v>1</v>
      </c>
      <c r="E17811" s="5">
        <v>116305</v>
      </c>
    </row>
    <row r="17812" spans="1:5" x14ac:dyDescent="0.35">
      <c r="A17812" s="3">
        <v>46252</v>
      </c>
      <c r="B17812" s="5" t="s">
        <v>315</v>
      </c>
      <c r="C17812" s="5" t="s">
        <v>67</v>
      </c>
      <c r="D17812" s="5">
        <v>1</v>
      </c>
      <c r="E17812" s="5">
        <v>116305</v>
      </c>
    </row>
    <row r="17813" spans="1:5" x14ac:dyDescent="0.35">
      <c r="A17813" s="3">
        <v>46252</v>
      </c>
      <c r="B17813" s="5" t="s">
        <v>315</v>
      </c>
      <c r="C17813" s="5" t="s">
        <v>65</v>
      </c>
      <c r="D17813" s="5">
        <v>1</v>
      </c>
      <c r="E17813" s="5">
        <v>116305</v>
      </c>
    </row>
    <row r="17814" spans="1:5" x14ac:dyDescent="0.35">
      <c r="A17814" s="3">
        <v>46252</v>
      </c>
      <c r="B17814" s="5" t="s">
        <v>315</v>
      </c>
      <c r="C17814" s="5" t="s">
        <v>67</v>
      </c>
      <c r="D17814" s="5">
        <v>1</v>
      </c>
      <c r="E17814" s="5">
        <v>116305</v>
      </c>
    </row>
    <row r="17815" spans="1:5" x14ac:dyDescent="0.35">
      <c r="A17815" s="3">
        <v>46252</v>
      </c>
      <c r="B17815" s="5" t="s">
        <v>315</v>
      </c>
      <c r="C17815" s="5" t="s">
        <v>67</v>
      </c>
      <c r="D17815" s="5">
        <v>1</v>
      </c>
      <c r="E17815" s="5">
        <v>116305</v>
      </c>
    </row>
    <row r="17816" spans="1:5" x14ac:dyDescent="0.35">
      <c r="A17816" s="3">
        <v>46252</v>
      </c>
      <c r="B17816" s="5" t="s">
        <v>140</v>
      </c>
      <c r="C17816" s="5" t="s">
        <v>33</v>
      </c>
      <c r="D17816" s="5">
        <v>1</v>
      </c>
      <c r="E17816" s="5">
        <v>203578</v>
      </c>
    </row>
    <row r="17817" spans="1:5" x14ac:dyDescent="0.35">
      <c r="A17817" s="3">
        <v>46252</v>
      </c>
      <c r="B17817" s="5" t="s">
        <v>315</v>
      </c>
      <c r="C17817" s="5" t="s">
        <v>67</v>
      </c>
      <c r="D17817" s="5">
        <v>1</v>
      </c>
      <c r="E17817" s="5">
        <v>116305</v>
      </c>
    </row>
    <row r="17818" spans="1:5" x14ac:dyDescent="0.35">
      <c r="A17818" s="3">
        <v>46252</v>
      </c>
      <c r="B17818" s="5" t="s">
        <v>355</v>
      </c>
      <c r="C17818" s="5" t="s">
        <v>19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355</v>
      </c>
      <c r="C17819" s="5" t="s">
        <v>19</v>
      </c>
      <c r="D17819" s="5">
        <v>1</v>
      </c>
      <c r="E17819" s="5">
        <v>127942</v>
      </c>
    </row>
    <row r="17820" spans="1:5" x14ac:dyDescent="0.35">
      <c r="A17820" s="3">
        <v>46252</v>
      </c>
      <c r="B17820" s="5" t="s">
        <v>363</v>
      </c>
      <c r="C17820" s="5" t="s">
        <v>66</v>
      </c>
      <c r="D17820" s="5">
        <v>1</v>
      </c>
      <c r="E17820" s="5">
        <v>116305</v>
      </c>
    </row>
    <row r="17821" spans="1:5" x14ac:dyDescent="0.35">
      <c r="A17821" s="3">
        <v>46252</v>
      </c>
      <c r="B17821" s="5" t="s">
        <v>258</v>
      </c>
      <c r="C17821" s="5" t="s">
        <v>19</v>
      </c>
      <c r="D17821" s="5">
        <v>1</v>
      </c>
      <c r="E17821" s="5">
        <v>127942</v>
      </c>
    </row>
    <row r="17822" spans="1:5" x14ac:dyDescent="0.35">
      <c r="A17822" s="3">
        <v>46252</v>
      </c>
      <c r="B17822" s="5" t="s">
        <v>258</v>
      </c>
      <c r="C17822" s="5" t="s">
        <v>18</v>
      </c>
      <c r="D17822" s="5">
        <v>1</v>
      </c>
      <c r="E17822" s="5">
        <v>127942</v>
      </c>
    </row>
    <row r="17823" spans="1:5" x14ac:dyDescent="0.35">
      <c r="A17823" s="3">
        <v>46252</v>
      </c>
      <c r="B17823" s="5" t="s">
        <v>258</v>
      </c>
      <c r="C17823" s="5" t="s">
        <v>20</v>
      </c>
      <c r="D17823" s="5">
        <v>1</v>
      </c>
      <c r="E17823" s="5">
        <v>127942</v>
      </c>
    </row>
    <row r="17824" spans="1:5" x14ac:dyDescent="0.35">
      <c r="A17824" s="3">
        <v>46252</v>
      </c>
      <c r="B17824" s="5" t="s">
        <v>258</v>
      </c>
      <c r="C17824" s="5" t="s">
        <v>20</v>
      </c>
      <c r="D17824" s="5">
        <v>1</v>
      </c>
      <c r="E17824" s="5">
        <v>127942</v>
      </c>
    </row>
    <row r="17825" spans="1:5" x14ac:dyDescent="0.35">
      <c r="A17825" s="3">
        <v>46252</v>
      </c>
      <c r="B17825" s="5" t="s">
        <v>258</v>
      </c>
      <c r="C17825" s="5" t="s">
        <v>18</v>
      </c>
      <c r="D17825" s="5">
        <v>1</v>
      </c>
      <c r="E17825" s="5">
        <v>127942</v>
      </c>
    </row>
    <row r="17826" spans="1:5" x14ac:dyDescent="0.35">
      <c r="A17826" s="3">
        <v>46252</v>
      </c>
      <c r="B17826" s="5" t="s">
        <v>364</v>
      </c>
      <c r="C17826" s="5" t="s">
        <v>65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258</v>
      </c>
      <c r="C17827" s="5" t="s">
        <v>18</v>
      </c>
      <c r="D17827" s="5">
        <v>1</v>
      </c>
      <c r="E17827" s="5">
        <v>127942</v>
      </c>
    </row>
    <row r="17828" spans="1:5" x14ac:dyDescent="0.35">
      <c r="A17828" s="3">
        <v>46252</v>
      </c>
      <c r="B17828" s="5" t="s">
        <v>364</v>
      </c>
      <c r="C17828" s="5" t="s">
        <v>65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244</v>
      </c>
      <c r="C17829" s="5" t="s">
        <v>17</v>
      </c>
      <c r="D17829" s="5">
        <v>1</v>
      </c>
      <c r="E17829" s="5">
        <v>236305</v>
      </c>
    </row>
    <row r="17830" spans="1:5" x14ac:dyDescent="0.35">
      <c r="A17830" s="3">
        <v>46252</v>
      </c>
      <c r="B17830" s="5" t="s">
        <v>315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315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315</v>
      </c>
      <c r="C17832" s="5" t="s">
        <v>66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315</v>
      </c>
      <c r="C17833" s="5" t="s">
        <v>66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315</v>
      </c>
      <c r="C17834" s="5" t="s">
        <v>66</v>
      </c>
      <c r="D17834" s="5">
        <v>1</v>
      </c>
      <c r="E17834" s="5">
        <v>116305</v>
      </c>
    </row>
    <row r="17835" spans="1:5" x14ac:dyDescent="0.35">
      <c r="A17835" s="3">
        <v>46252</v>
      </c>
      <c r="B17835" s="5" t="s">
        <v>315</v>
      </c>
      <c r="C17835" s="5" t="s">
        <v>66</v>
      </c>
      <c r="D17835" s="5">
        <v>1</v>
      </c>
      <c r="E17835" s="5">
        <v>116305</v>
      </c>
    </row>
    <row r="17836" spans="1:5" x14ac:dyDescent="0.35">
      <c r="A17836" s="3">
        <v>46252</v>
      </c>
      <c r="B17836" s="5" t="s">
        <v>315</v>
      </c>
      <c r="C17836" s="5" t="s">
        <v>65</v>
      </c>
      <c r="D17836" s="5">
        <v>1</v>
      </c>
      <c r="E17836" s="5">
        <v>116305</v>
      </c>
    </row>
    <row r="17837" spans="1:5" x14ac:dyDescent="0.35">
      <c r="A17837" s="3">
        <v>46252</v>
      </c>
      <c r="B17837" s="5" t="s">
        <v>315</v>
      </c>
      <c r="C17837" s="5" t="s">
        <v>65</v>
      </c>
      <c r="D17837" s="5">
        <v>1</v>
      </c>
      <c r="E17837" s="5">
        <v>116305</v>
      </c>
    </row>
    <row r="17838" spans="1:5" x14ac:dyDescent="0.35">
      <c r="A17838" s="3">
        <v>46252</v>
      </c>
      <c r="B17838" s="5" t="s">
        <v>237</v>
      </c>
      <c r="C17838" s="5" t="s">
        <v>38</v>
      </c>
      <c r="D17838" s="5">
        <v>1</v>
      </c>
      <c r="E17838" s="5">
        <v>203578</v>
      </c>
    </row>
    <row r="17839" spans="1:5" x14ac:dyDescent="0.35">
      <c r="A17839" s="3">
        <v>46252</v>
      </c>
      <c r="B17839" s="5" t="s">
        <v>237</v>
      </c>
      <c r="C17839" s="5" t="s">
        <v>38</v>
      </c>
      <c r="D17839" s="5">
        <v>1</v>
      </c>
      <c r="E17839" s="5">
        <v>203578</v>
      </c>
    </row>
    <row r="17840" spans="1:5" x14ac:dyDescent="0.35">
      <c r="A17840" s="3">
        <v>46252</v>
      </c>
      <c r="B17840" s="5" t="s">
        <v>355</v>
      </c>
      <c r="C17840" s="5" t="s">
        <v>19</v>
      </c>
      <c r="D17840" s="5">
        <v>1</v>
      </c>
      <c r="E17840" s="5">
        <v>127942</v>
      </c>
    </row>
    <row r="17841" spans="1:5" x14ac:dyDescent="0.35">
      <c r="A17841" s="3">
        <v>46252</v>
      </c>
      <c r="B17841" s="5" t="s">
        <v>258</v>
      </c>
      <c r="C17841" s="5" t="s">
        <v>20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258</v>
      </c>
      <c r="C17842" s="5" t="s">
        <v>20</v>
      </c>
      <c r="D17842" s="5">
        <v>1</v>
      </c>
      <c r="E17842" s="5">
        <v>127942</v>
      </c>
    </row>
    <row r="17843" spans="1:5" x14ac:dyDescent="0.35">
      <c r="A17843" s="3">
        <v>46252</v>
      </c>
      <c r="B17843" s="5" t="s">
        <v>258</v>
      </c>
      <c r="C17843" s="5" t="s">
        <v>20</v>
      </c>
      <c r="D17843" s="5">
        <v>1</v>
      </c>
      <c r="E17843" s="5">
        <v>127942</v>
      </c>
    </row>
    <row r="17844" spans="1:5" x14ac:dyDescent="0.35">
      <c r="A17844" s="3">
        <v>46252</v>
      </c>
      <c r="B17844" s="5" t="s">
        <v>258</v>
      </c>
      <c r="C17844" s="5" t="s">
        <v>18</v>
      </c>
      <c r="D17844" s="5">
        <v>1</v>
      </c>
      <c r="E17844" s="5">
        <v>127942</v>
      </c>
    </row>
    <row r="17845" spans="1:5" x14ac:dyDescent="0.35">
      <c r="A17845" s="3">
        <v>46252</v>
      </c>
      <c r="B17845" s="5" t="s">
        <v>258</v>
      </c>
      <c r="C17845" s="5" t="s">
        <v>19</v>
      </c>
      <c r="D17845" s="5">
        <v>1</v>
      </c>
      <c r="E17845" s="5">
        <v>127942</v>
      </c>
    </row>
    <row r="17846" spans="1:5" x14ac:dyDescent="0.35">
      <c r="A17846" s="3">
        <v>46252</v>
      </c>
      <c r="B17846" s="5" t="s">
        <v>258</v>
      </c>
      <c r="C17846" s="5" t="s">
        <v>18</v>
      </c>
      <c r="D17846" s="5">
        <v>1</v>
      </c>
      <c r="E17846" s="5">
        <v>127942</v>
      </c>
    </row>
    <row r="17847" spans="1:5" x14ac:dyDescent="0.35">
      <c r="A17847" s="3">
        <v>46252</v>
      </c>
      <c r="B17847" s="5" t="s">
        <v>364</v>
      </c>
      <c r="C17847" s="5" t="s">
        <v>65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364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364</v>
      </c>
      <c r="C17849" s="5" t="s">
        <v>66</v>
      </c>
      <c r="D17849" s="5">
        <v>1</v>
      </c>
      <c r="E17849" s="5">
        <v>116305</v>
      </c>
    </row>
    <row r="17850" spans="1:5" x14ac:dyDescent="0.35">
      <c r="A17850" s="3">
        <v>46252</v>
      </c>
      <c r="B17850" s="5" t="s">
        <v>364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362</v>
      </c>
      <c r="C17851" s="5" t="s">
        <v>65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373</v>
      </c>
      <c r="C17852" s="5" t="s">
        <v>18</v>
      </c>
      <c r="D17852" s="5">
        <v>1</v>
      </c>
      <c r="E17852" s="5">
        <v>129941</v>
      </c>
    </row>
    <row r="17853" spans="1:5" x14ac:dyDescent="0.35">
      <c r="A17853" s="3">
        <v>46252</v>
      </c>
      <c r="B17853" s="5" t="s">
        <v>373</v>
      </c>
      <c r="C17853" s="5" t="s">
        <v>25</v>
      </c>
      <c r="D17853" s="5">
        <v>1</v>
      </c>
      <c r="E17853" s="5">
        <v>460318</v>
      </c>
    </row>
    <row r="17854" spans="1:5" x14ac:dyDescent="0.35">
      <c r="A17854" s="3">
        <v>46252</v>
      </c>
      <c r="B17854" s="5" t="s">
        <v>140</v>
      </c>
      <c r="C17854" s="5" t="s">
        <v>42</v>
      </c>
      <c r="D17854" s="5">
        <v>1</v>
      </c>
      <c r="E17854" s="5">
        <v>203578</v>
      </c>
    </row>
    <row r="17855" spans="1:5" x14ac:dyDescent="0.35">
      <c r="A17855" s="3">
        <v>46252</v>
      </c>
      <c r="B17855" s="5" t="s">
        <v>315</v>
      </c>
      <c r="C17855" s="5" t="s">
        <v>66</v>
      </c>
      <c r="D17855" s="5">
        <v>1</v>
      </c>
      <c r="E17855" s="5">
        <v>116305</v>
      </c>
    </row>
    <row r="17856" spans="1:5" x14ac:dyDescent="0.35">
      <c r="A17856" s="3">
        <v>46252</v>
      </c>
      <c r="B17856" s="5" t="s">
        <v>315</v>
      </c>
      <c r="C17856" s="5" t="s">
        <v>65</v>
      </c>
      <c r="D17856" s="5">
        <v>1</v>
      </c>
      <c r="E17856" s="5">
        <v>116305</v>
      </c>
    </row>
    <row r="17857" spans="1:5" x14ac:dyDescent="0.35">
      <c r="A17857" s="3">
        <v>46252</v>
      </c>
      <c r="B17857" s="5" t="s">
        <v>315</v>
      </c>
      <c r="C17857" s="5" t="s">
        <v>65</v>
      </c>
      <c r="D17857" s="5">
        <v>1</v>
      </c>
      <c r="E17857" s="5">
        <v>116305</v>
      </c>
    </row>
    <row r="17858" spans="1:5" x14ac:dyDescent="0.35">
      <c r="A17858" s="3">
        <v>46252</v>
      </c>
      <c r="B17858" s="5" t="s">
        <v>315</v>
      </c>
      <c r="C17858" s="5" t="s">
        <v>67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355</v>
      </c>
      <c r="C17859" s="5" t="s">
        <v>18</v>
      </c>
      <c r="D17859" s="5">
        <v>1</v>
      </c>
      <c r="E17859" s="5">
        <v>127942</v>
      </c>
    </row>
    <row r="17860" spans="1:5" x14ac:dyDescent="0.35">
      <c r="A17860" s="3">
        <v>46252</v>
      </c>
      <c r="B17860" s="5" t="s">
        <v>364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355</v>
      </c>
      <c r="C17861" s="5" t="s">
        <v>20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258</v>
      </c>
      <c r="C17862" s="5" t="s">
        <v>18</v>
      </c>
      <c r="D17862" s="5">
        <v>1</v>
      </c>
      <c r="E17862" s="5">
        <v>127942</v>
      </c>
    </row>
    <row r="17863" spans="1:5" x14ac:dyDescent="0.35">
      <c r="A17863" s="3">
        <v>46252</v>
      </c>
      <c r="B17863" s="5" t="s">
        <v>364</v>
      </c>
      <c r="C17863" s="5" t="s">
        <v>67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364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373</v>
      </c>
      <c r="C17865" s="5" t="s">
        <v>82</v>
      </c>
      <c r="D17865" s="5">
        <v>1</v>
      </c>
      <c r="E17865" s="5">
        <v>70850</v>
      </c>
    </row>
    <row r="17866" spans="1:5" x14ac:dyDescent="0.35">
      <c r="A17866" s="3">
        <v>46252</v>
      </c>
      <c r="B17866" s="5" t="s">
        <v>315</v>
      </c>
      <c r="C17866" s="5" t="s">
        <v>66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315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315</v>
      </c>
      <c r="C17868" s="5" t="s">
        <v>66</v>
      </c>
      <c r="D17868" s="5">
        <v>1</v>
      </c>
      <c r="E17868" s="5">
        <v>116305</v>
      </c>
    </row>
    <row r="17869" spans="1:5" x14ac:dyDescent="0.35">
      <c r="A17869" s="3">
        <v>46252</v>
      </c>
      <c r="B17869" s="5" t="s">
        <v>315</v>
      </c>
      <c r="C17869" s="5" t="s">
        <v>66</v>
      </c>
      <c r="D17869" s="5">
        <v>1</v>
      </c>
      <c r="E17869" s="5">
        <v>116305</v>
      </c>
    </row>
    <row r="17870" spans="1:5" x14ac:dyDescent="0.35">
      <c r="A17870" s="3">
        <v>46252</v>
      </c>
      <c r="B17870" s="5" t="s">
        <v>315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315</v>
      </c>
      <c r="C17871" s="5" t="s">
        <v>65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237</v>
      </c>
      <c r="C17872" s="5" t="s">
        <v>38</v>
      </c>
      <c r="D17872" s="5">
        <v>1</v>
      </c>
      <c r="E17872" s="5">
        <v>203578</v>
      </c>
    </row>
    <row r="17873" spans="1:5" x14ac:dyDescent="0.35">
      <c r="A17873" s="3">
        <v>46252</v>
      </c>
      <c r="B17873" s="5" t="s">
        <v>258</v>
      </c>
      <c r="C17873" s="5" t="s">
        <v>19</v>
      </c>
      <c r="D17873" s="5">
        <v>1</v>
      </c>
      <c r="E17873" s="5">
        <v>127942</v>
      </c>
    </row>
    <row r="17874" spans="1:5" x14ac:dyDescent="0.35">
      <c r="A17874" s="3">
        <v>46252</v>
      </c>
      <c r="B17874" s="5" t="s">
        <v>258</v>
      </c>
      <c r="C17874" s="5" t="s">
        <v>19</v>
      </c>
      <c r="D17874" s="5">
        <v>1</v>
      </c>
      <c r="E17874" s="5">
        <v>127942</v>
      </c>
    </row>
    <row r="17875" spans="1:5" x14ac:dyDescent="0.35">
      <c r="A17875" s="3">
        <v>46252</v>
      </c>
      <c r="B17875" s="5" t="s">
        <v>354</v>
      </c>
      <c r="C17875" s="5" t="s">
        <v>19</v>
      </c>
      <c r="D17875" s="5">
        <v>1</v>
      </c>
      <c r="E17875" s="5">
        <v>127942</v>
      </c>
    </row>
    <row r="17876" spans="1:5" x14ac:dyDescent="0.35">
      <c r="A17876" s="3">
        <v>46252</v>
      </c>
      <c r="B17876" s="5" t="s">
        <v>364</v>
      </c>
      <c r="C17876" s="5" t="s">
        <v>66</v>
      </c>
      <c r="D17876" s="5">
        <v>1</v>
      </c>
      <c r="E17876" s="5">
        <v>116305</v>
      </c>
    </row>
    <row r="17877" spans="1:5" x14ac:dyDescent="0.35">
      <c r="A17877" s="3">
        <v>46252</v>
      </c>
      <c r="B17877" s="5" t="s">
        <v>237</v>
      </c>
      <c r="C17877" s="5" t="s">
        <v>38</v>
      </c>
      <c r="D17877" s="5">
        <v>1</v>
      </c>
      <c r="E17877" s="5">
        <v>203578</v>
      </c>
    </row>
    <row r="17878" spans="1:5" x14ac:dyDescent="0.35">
      <c r="A17878" s="3">
        <v>46252</v>
      </c>
      <c r="B17878" s="5" t="s">
        <v>364</v>
      </c>
      <c r="C17878" s="5" t="s">
        <v>66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364</v>
      </c>
      <c r="C17879" s="5" t="s">
        <v>67</v>
      </c>
      <c r="D17879" s="5">
        <v>1</v>
      </c>
      <c r="E17879" s="5">
        <v>116305</v>
      </c>
    </row>
    <row r="17880" spans="1:5" x14ac:dyDescent="0.35">
      <c r="A17880" s="3">
        <v>46252</v>
      </c>
      <c r="B17880" s="5" t="s">
        <v>364</v>
      </c>
      <c r="C17880" s="5" t="s">
        <v>67</v>
      </c>
      <c r="D17880" s="5">
        <v>1</v>
      </c>
      <c r="E17880" s="5">
        <v>116305</v>
      </c>
    </row>
    <row r="17881" spans="1:5" x14ac:dyDescent="0.35">
      <c r="A17881" s="3">
        <v>46252</v>
      </c>
      <c r="B17881" s="5" t="s">
        <v>364</v>
      </c>
      <c r="C17881" s="5" t="s">
        <v>65</v>
      </c>
      <c r="D17881" s="5">
        <v>1</v>
      </c>
      <c r="E17881" s="5">
        <v>116305</v>
      </c>
    </row>
    <row r="17882" spans="1:5" x14ac:dyDescent="0.35">
      <c r="A17882" s="3">
        <v>46252</v>
      </c>
      <c r="B17882" s="5" t="s">
        <v>244</v>
      </c>
      <c r="C17882" s="5" t="s">
        <v>39</v>
      </c>
      <c r="D17882" s="5">
        <v>1</v>
      </c>
      <c r="E17882" s="5">
        <v>118123</v>
      </c>
    </row>
    <row r="17883" spans="1:5" x14ac:dyDescent="0.35">
      <c r="A17883" s="3">
        <v>46252</v>
      </c>
      <c r="B17883" s="5" t="s">
        <v>373</v>
      </c>
      <c r="C17883" s="5" t="s">
        <v>18</v>
      </c>
      <c r="D17883" s="5">
        <v>1</v>
      </c>
      <c r="E17883" s="5">
        <v>129941</v>
      </c>
    </row>
    <row r="17884" spans="1:5" x14ac:dyDescent="0.35">
      <c r="A17884" s="3">
        <v>46252</v>
      </c>
      <c r="B17884" s="5" t="s">
        <v>244</v>
      </c>
      <c r="C17884" s="5" t="s">
        <v>18</v>
      </c>
      <c r="D17884" s="5">
        <v>1</v>
      </c>
      <c r="E17884" s="5">
        <v>129941</v>
      </c>
    </row>
    <row r="17885" spans="1:5" x14ac:dyDescent="0.35">
      <c r="A17885" s="3">
        <v>46252</v>
      </c>
      <c r="B17885" s="5" t="s">
        <v>315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315</v>
      </c>
      <c r="C17886" s="5" t="s">
        <v>66</v>
      </c>
      <c r="D17886" s="5">
        <v>1</v>
      </c>
      <c r="E17886" s="5">
        <v>116305</v>
      </c>
    </row>
    <row r="17887" spans="1:5" x14ac:dyDescent="0.35">
      <c r="A17887" s="3">
        <v>46252</v>
      </c>
      <c r="B17887" s="5" t="s">
        <v>315</v>
      </c>
      <c r="C17887" s="5" t="s">
        <v>65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315</v>
      </c>
      <c r="C17888" s="5" t="s">
        <v>65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315</v>
      </c>
      <c r="C17889" s="5" t="s">
        <v>65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315</v>
      </c>
      <c r="C17890" s="5" t="s">
        <v>67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363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315</v>
      </c>
      <c r="C17892" s="5" t="s">
        <v>67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121</v>
      </c>
      <c r="C17893" s="5" t="s">
        <v>42</v>
      </c>
      <c r="D17893" s="5">
        <v>1</v>
      </c>
      <c r="E17893" s="5">
        <v>203578</v>
      </c>
    </row>
    <row r="17894" spans="1:5" x14ac:dyDescent="0.35">
      <c r="A17894" s="3">
        <v>46252</v>
      </c>
      <c r="B17894" s="5" t="s">
        <v>354</v>
      </c>
      <c r="C17894" s="5" t="s">
        <v>19</v>
      </c>
      <c r="D17894" s="5">
        <v>1</v>
      </c>
      <c r="E17894" s="5">
        <v>127942</v>
      </c>
    </row>
    <row r="17895" spans="1:5" x14ac:dyDescent="0.35">
      <c r="A17895" s="3">
        <v>46252</v>
      </c>
      <c r="B17895" s="5" t="s">
        <v>258</v>
      </c>
      <c r="C17895" s="5" t="s">
        <v>19</v>
      </c>
      <c r="D17895" s="5">
        <v>1</v>
      </c>
      <c r="E17895" s="5">
        <v>127942</v>
      </c>
    </row>
    <row r="17896" spans="1:5" x14ac:dyDescent="0.35">
      <c r="A17896" s="3">
        <v>46252</v>
      </c>
      <c r="B17896" s="5" t="s">
        <v>364</v>
      </c>
      <c r="C17896" s="5" t="s">
        <v>65</v>
      </c>
      <c r="D17896" s="5">
        <v>1</v>
      </c>
      <c r="E17896" s="5">
        <v>116305</v>
      </c>
    </row>
    <row r="17897" spans="1:5" x14ac:dyDescent="0.35">
      <c r="A17897" s="3">
        <v>46252</v>
      </c>
      <c r="B17897" s="5" t="s">
        <v>362</v>
      </c>
      <c r="C17897" s="5" t="s">
        <v>66</v>
      </c>
      <c r="D17897" s="5">
        <v>1</v>
      </c>
      <c r="E17897" s="5">
        <v>116305</v>
      </c>
    </row>
    <row r="17898" spans="1:5" x14ac:dyDescent="0.35">
      <c r="A17898" s="3">
        <v>46252</v>
      </c>
      <c r="B17898" s="5" t="s">
        <v>373</v>
      </c>
      <c r="C17898" s="5" t="s">
        <v>41</v>
      </c>
      <c r="D17898" s="5">
        <v>1</v>
      </c>
      <c r="E17898" s="5">
        <v>159486</v>
      </c>
    </row>
    <row r="17899" spans="1:5" x14ac:dyDescent="0.35">
      <c r="A17899" s="3">
        <v>46252</v>
      </c>
      <c r="B17899" s="5" t="s">
        <v>376</v>
      </c>
      <c r="C17899" s="5" t="s">
        <v>18</v>
      </c>
      <c r="D17899" s="5">
        <v>1</v>
      </c>
      <c r="E17899" s="5">
        <v>129941</v>
      </c>
    </row>
    <row r="17900" spans="1:5" x14ac:dyDescent="0.35">
      <c r="A17900" s="3">
        <v>46252</v>
      </c>
      <c r="B17900" s="5" t="s">
        <v>315</v>
      </c>
      <c r="C17900" s="5" t="s">
        <v>66</v>
      </c>
      <c r="D17900" s="5">
        <v>1</v>
      </c>
      <c r="E17900" s="5">
        <v>116305</v>
      </c>
    </row>
    <row r="17901" spans="1:5" x14ac:dyDescent="0.35">
      <c r="A17901" s="3">
        <v>46252</v>
      </c>
      <c r="B17901" s="5" t="s">
        <v>315</v>
      </c>
      <c r="C17901" s="5" t="s">
        <v>66</v>
      </c>
      <c r="D17901" s="5">
        <v>1</v>
      </c>
      <c r="E17901" s="5">
        <v>116305</v>
      </c>
    </row>
    <row r="17902" spans="1:5" x14ac:dyDescent="0.35">
      <c r="A17902" s="3">
        <v>46252</v>
      </c>
      <c r="B17902" s="5" t="s">
        <v>315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315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315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315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315</v>
      </c>
      <c r="C17906" s="5" t="s">
        <v>66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315</v>
      </c>
      <c r="C17907" s="5" t="s">
        <v>65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355</v>
      </c>
      <c r="C17908" s="5" t="s">
        <v>20</v>
      </c>
      <c r="D17908" s="5">
        <v>1</v>
      </c>
      <c r="E17908" s="5">
        <v>127942</v>
      </c>
    </row>
    <row r="17909" spans="1:5" x14ac:dyDescent="0.35">
      <c r="A17909" s="3">
        <v>46252</v>
      </c>
      <c r="B17909" s="5" t="s">
        <v>237</v>
      </c>
      <c r="C17909" s="5" t="s">
        <v>38</v>
      </c>
      <c r="D17909" s="5">
        <v>1</v>
      </c>
      <c r="E17909" s="5">
        <v>203578</v>
      </c>
    </row>
    <row r="17910" spans="1:5" x14ac:dyDescent="0.35">
      <c r="A17910" s="3">
        <v>46252</v>
      </c>
      <c r="B17910" s="5" t="s">
        <v>315</v>
      </c>
      <c r="C17910" s="5" t="s">
        <v>65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355</v>
      </c>
      <c r="C17911" s="5" t="s">
        <v>19</v>
      </c>
      <c r="D17911" s="5">
        <v>1</v>
      </c>
      <c r="E17911" s="5">
        <v>127942</v>
      </c>
    </row>
    <row r="17912" spans="1:5" x14ac:dyDescent="0.35">
      <c r="A17912" s="3">
        <v>46252</v>
      </c>
      <c r="B17912" s="5" t="s">
        <v>258</v>
      </c>
      <c r="C17912" s="5" t="s">
        <v>20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258</v>
      </c>
      <c r="C17913" s="5" t="s">
        <v>19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355</v>
      </c>
      <c r="C17914" s="5" t="s">
        <v>20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364</v>
      </c>
      <c r="C17915" s="5" t="s">
        <v>66</v>
      </c>
      <c r="D17915" s="5">
        <v>1</v>
      </c>
      <c r="E17915" s="5">
        <v>116305</v>
      </c>
    </row>
    <row r="17916" spans="1:5" x14ac:dyDescent="0.35">
      <c r="A17916" s="3">
        <v>46252</v>
      </c>
      <c r="B17916" s="5" t="s">
        <v>364</v>
      </c>
      <c r="C17916" s="5" t="s">
        <v>66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364</v>
      </c>
      <c r="C17917" s="5" t="s">
        <v>67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362</v>
      </c>
      <c r="C17918" s="5" t="s">
        <v>66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364</v>
      </c>
      <c r="C17919" s="5" t="s">
        <v>66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362</v>
      </c>
      <c r="C17920" s="5" t="s">
        <v>67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373</v>
      </c>
      <c r="C17921" s="5" t="s">
        <v>42</v>
      </c>
      <c r="D17921" s="5">
        <v>1</v>
      </c>
      <c r="E17921" s="5">
        <v>206759</v>
      </c>
    </row>
    <row r="17922" spans="1:5" x14ac:dyDescent="0.35">
      <c r="A17922" s="3">
        <v>46252</v>
      </c>
      <c r="B17922" s="5" t="s">
        <v>244</v>
      </c>
      <c r="C17922" s="5" t="s">
        <v>18</v>
      </c>
      <c r="D17922" s="5">
        <v>1</v>
      </c>
      <c r="E17922" s="5">
        <v>129941</v>
      </c>
    </row>
    <row r="17923" spans="1:5" x14ac:dyDescent="0.35">
      <c r="A17923" s="3">
        <v>46252</v>
      </c>
      <c r="B17923" s="5" t="s">
        <v>373</v>
      </c>
      <c r="C17923" s="5" t="s">
        <v>28</v>
      </c>
      <c r="D17923" s="5">
        <v>1</v>
      </c>
      <c r="E17923" s="5">
        <v>118123</v>
      </c>
    </row>
    <row r="17924" spans="1:5" x14ac:dyDescent="0.35">
      <c r="A17924" s="3">
        <v>46252</v>
      </c>
      <c r="B17924" s="5" t="s">
        <v>315</v>
      </c>
      <c r="C17924" s="5" t="s">
        <v>66</v>
      </c>
      <c r="D17924" s="5">
        <v>1</v>
      </c>
      <c r="E17924" s="5">
        <v>116305</v>
      </c>
    </row>
    <row r="17925" spans="1:5" x14ac:dyDescent="0.35">
      <c r="A17925" s="3">
        <v>46252</v>
      </c>
      <c r="B17925" s="5" t="s">
        <v>315</v>
      </c>
      <c r="C17925" s="5" t="s">
        <v>65</v>
      </c>
      <c r="D17925" s="5">
        <v>1</v>
      </c>
      <c r="E17925" s="5">
        <v>116305</v>
      </c>
    </row>
    <row r="17926" spans="1:5" x14ac:dyDescent="0.35">
      <c r="A17926" s="3">
        <v>46252</v>
      </c>
      <c r="B17926" s="5" t="s">
        <v>315</v>
      </c>
      <c r="C17926" s="5" t="s">
        <v>66</v>
      </c>
      <c r="D17926" s="5">
        <v>1</v>
      </c>
      <c r="E17926" s="5">
        <v>116305</v>
      </c>
    </row>
    <row r="17927" spans="1:5" x14ac:dyDescent="0.35">
      <c r="A17927" s="3">
        <v>46252</v>
      </c>
      <c r="B17927" s="5" t="s">
        <v>315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315</v>
      </c>
      <c r="C17928" s="5" t="s">
        <v>67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354</v>
      </c>
      <c r="C17929" s="5" t="s">
        <v>18</v>
      </c>
      <c r="D17929" s="5">
        <v>1</v>
      </c>
      <c r="E17929" s="5">
        <v>127942</v>
      </c>
    </row>
    <row r="17930" spans="1:5" x14ac:dyDescent="0.35">
      <c r="A17930" s="3">
        <v>46252</v>
      </c>
      <c r="B17930" s="5" t="s">
        <v>258</v>
      </c>
      <c r="C17930" s="5" t="s">
        <v>20</v>
      </c>
      <c r="D17930" s="5">
        <v>1</v>
      </c>
      <c r="E17930" s="5">
        <v>127942</v>
      </c>
    </row>
    <row r="17931" spans="1:5" x14ac:dyDescent="0.35">
      <c r="A17931" s="3">
        <v>46252</v>
      </c>
      <c r="B17931" s="5" t="s">
        <v>315</v>
      </c>
      <c r="C17931" s="5" t="s">
        <v>67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258</v>
      </c>
      <c r="C17932" s="5" t="s">
        <v>18</v>
      </c>
      <c r="D17932" s="5">
        <v>1</v>
      </c>
      <c r="E17932" s="5">
        <v>127942</v>
      </c>
    </row>
    <row r="17933" spans="1:5" x14ac:dyDescent="0.35">
      <c r="A17933" s="3">
        <v>46252</v>
      </c>
      <c r="B17933" s="5" t="s">
        <v>363</v>
      </c>
      <c r="C17933" s="5" t="s">
        <v>65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258</v>
      </c>
      <c r="C17934" s="5" t="s">
        <v>19</v>
      </c>
      <c r="D17934" s="5">
        <v>1</v>
      </c>
      <c r="E17934" s="5">
        <v>127942</v>
      </c>
    </row>
    <row r="17935" spans="1:5" x14ac:dyDescent="0.35">
      <c r="A17935" s="3">
        <v>46252</v>
      </c>
      <c r="B17935" s="5" t="s">
        <v>364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258</v>
      </c>
      <c r="C17936" s="5" t="s">
        <v>19</v>
      </c>
      <c r="D17936" s="5">
        <v>1</v>
      </c>
      <c r="E17936" s="5">
        <v>127942</v>
      </c>
    </row>
    <row r="17937" spans="1:5" x14ac:dyDescent="0.35">
      <c r="A17937" s="3">
        <v>46252</v>
      </c>
      <c r="B17937" s="5" t="s">
        <v>364</v>
      </c>
      <c r="C17937" s="5" t="s">
        <v>66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364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364</v>
      </c>
      <c r="C17939" s="5" t="s">
        <v>65</v>
      </c>
      <c r="D17939" s="5">
        <v>1</v>
      </c>
      <c r="E17939" s="5">
        <v>116305</v>
      </c>
    </row>
    <row r="17940" spans="1:5" x14ac:dyDescent="0.35">
      <c r="A17940" s="3">
        <v>46252</v>
      </c>
      <c r="B17940" s="5" t="s">
        <v>362</v>
      </c>
      <c r="C17940" s="5" t="s">
        <v>66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364</v>
      </c>
      <c r="C17941" s="5" t="s">
        <v>66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362</v>
      </c>
      <c r="C17942" s="5" t="s">
        <v>66</v>
      </c>
      <c r="D17942" s="5">
        <v>1</v>
      </c>
      <c r="E17942" s="5">
        <v>116305</v>
      </c>
    </row>
    <row r="17943" spans="1:5" x14ac:dyDescent="0.35">
      <c r="A17943" s="3">
        <v>46252</v>
      </c>
      <c r="B17943" s="5" t="s">
        <v>362</v>
      </c>
      <c r="C17943" s="5" t="s">
        <v>67</v>
      </c>
      <c r="D17943" s="5">
        <v>1</v>
      </c>
      <c r="E17943" s="5">
        <v>116305</v>
      </c>
    </row>
    <row r="17944" spans="1:5" x14ac:dyDescent="0.35">
      <c r="A17944" s="3">
        <v>46252</v>
      </c>
      <c r="B17944" s="5" t="s">
        <v>315</v>
      </c>
      <c r="C17944" s="5" t="s">
        <v>66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315</v>
      </c>
      <c r="C17945" s="5" t="s">
        <v>66</v>
      </c>
      <c r="D17945" s="5">
        <v>1</v>
      </c>
      <c r="E17945" s="5">
        <v>116305</v>
      </c>
    </row>
    <row r="17946" spans="1:5" x14ac:dyDescent="0.35">
      <c r="A17946" s="3">
        <v>46252</v>
      </c>
      <c r="B17946" s="5" t="s">
        <v>315</v>
      </c>
      <c r="C17946" s="5" t="s">
        <v>66</v>
      </c>
      <c r="D17946" s="5">
        <v>1</v>
      </c>
      <c r="E17946" s="5">
        <v>116305</v>
      </c>
    </row>
    <row r="17947" spans="1:5" x14ac:dyDescent="0.35">
      <c r="A17947" s="3">
        <v>46252</v>
      </c>
      <c r="B17947" s="5" t="s">
        <v>315</v>
      </c>
      <c r="C17947" s="5" t="s">
        <v>65</v>
      </c>
      <c r="D17947" s="5">
        <v>1</v>
      </c>
      <c r="E17947" s="5">
        <v>116305</v>
      </c>
    </row>
    <row r="17948" spans="1:5" x14ac:dyDescent="0.35">
      <c r="A17948" s="3">
        <v>46252</v>
      </c>
      <c r="B17948" s="5" t="s">
        <v>315</v>
      </c>
      <c r="C17948" s="5" t="s">
        <v>66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315</v>
      </c>
      <c r="C17949" s="5" t="s">
        <v>66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315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315</v>
      </c>
      <c r="C17951" s="5" t="s">
        <v>65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315</v>
      </c>
      <c r="C17952" s="5" t="s">
        <v>67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355</v>
      </c>
      <c r="C17953" s="5" t="s">
        <v>19</v>
      </c>
      <c r="D17953" s="5">
        <v>1</v>
      </c>
      <c r="E17953" s="5">
        <v>127942</v>
      </c>
    </row>
    <row r="17954" spans="1:5" x14ac:dyDescent="0.35">
      <c r="A17954" s="3">
        <v>46252</v>
      </c>
      <c r="B17954" s="5" t="s">
        <v>258</v>
      </c>
      <c r="C17954" s="5" t="s">
        <v>20</v>
      </c>
      <c r="D17954" s="5">
        <v>1</v>
      </c>
      <c r="E17954" s="5">
        <v>127942</v>
      </c>
    </row>
    <row r="17955" spans="1:5" x14ac:dyDescent="0.35">
      <c r="A17955" s="3">
        <v>46252</v>
      </c>
      <c r="B17955" s="5" t="s">
        <v>258</v>
      </c>
      <c r="C17955" s="5" t="s">
        <v>20</v>
      </c>
      <c r="D17955" s="5">
        <v>1</v>
      </c>
      <c r="E17955" s="5">
        <v>127942</v>
      </c>
    </row>
    <row r="17956" spans="1:5" x14ac:dyDescent="0.35">
      <c r="A17956" s="3">
        <v>46252</v>
      </c>
      <c r="B17956" s="5" t="s">
        <v>258</v>
      </c>
      <c r="C17956" s="5" t="s">
        <v>20</v>
      </c>
      <c r="D17956" s="5">
        <v>1</v>
      </c>
      <c r="E17956" s="5">
        <v>127942</v>
      </c>
    </row>
    <row r="17957" spans="1:5" x14ac:dyDescent="0.35">
      <c r="A17957" s="3">
        <v>46252</v>
      </c>
      <c r="B17957" s="5" t="s">
        <v>258</v>
      </c>
      <c r="C17957" s="5" t="s">
        <v>19</v>
      </c>
      <c r="D17957" s="5">
        <v>1</v>
      </c>
      <c r="E17957" s="5">
        <v>127942</v>
      </c>
    </row>
    <row r="17958" spans="1:5" x14ac:dyDescent="0.35">
      <c r="A17958" s="3">
        <v>46252</v>
      </c>
      <c r="B17958" s="5" t="s">
        <v>364</v>
      </c>
      <c r="C17958" s="5" t="s">
        <v>66</v>
      </c>
      <c r="D17958" s="5">
        <v>1</v>
      </c>
      <c r="E17958" s="5">
        <v>116305</v>
      </c>
    </row>
    <row r="17959" spans="1:5" x14ac:dyDescent="0.35">
      <c r="A17959" s="3">
        <v>46252</v>
      </c>
      <c r="B17959" s="5" t="s">
        <v>364</v>
      </c>
      <c r="C17959" s="5" t="s">
        <v>66</v>
      </c>
      <c r="D17959" s="5">
        <v>2</v>
      </c>
      <c r="E17959" s="5">
        <v>232611</v>
      </c>
    </row>
    <row r="17960" spans="1:5" x14ac:dyDescent="0.35">
      <c r="A17960" s="3">
        <v>46252</v>
      </c>
      <c r="B17960" s="5" t="s">
        <v>364</v>
      </c>
      <c r="C17960" s="5" t="s">
        <v>65</v>
      </c>
      <c r="D17960" s="5">
        <v>1</v>
      </c>
      <c r="E17960" s="5">
        <v>116305</v>
      </c>
    </row>
    <row r="17961" spans="1:5" x14ac:dyDescent="0.35">
      <c r="A17961" s="3">
        <v>46252</v>
      </c>
      <c r="B17961" s="5" t="s">
        <v>364</v>
      </c>
      <c r="C17961" s="5" t="s">
        <v>66</v>
      </c>
      <c r="D17961" s="5">
        <v>1</v>
      </c>
      <c r="E17961" s="5">
        <v>116305</v>
      </c>
    </row>
    <row r="17962" spans="1:5" x14ac:dyDescent="0.35">
      <c r="A17962" s="3">
        <v>46252</v>
      </c>
      <c r="B17962" s="5" t="s">
        <v>364</v>
      </c>
      <c r="C17962" s="5" t="s">
        <v>67</v>
      </c>
      <c r="D17962" s="5">
        <v>1</v>
      </c>
      <c r="E17962" s="5">
        <v>116305</v>
      </c>
    </row>
    <row r="17963" spans="1:5" x14ac:dyDescent="0.35">
      <c r="A17963" s="3">
        <v>46252</v>
      </c>
      <c r="B17963" s="5" t="s">
        <v>364</v>
      </c>
      <c r="C17963" s="5" t="s">
        <v>65</v>
      </c>
      <c r="D17963" s="5">
        <v>1</v>
      </c>
      <c r="E17963" s="5">
        <v>116305</v>
      </c>
    </row>
    <row r="17964" spans="1:5" x14ac:dyDescent="0.35">
      <c r="A17964" s="3">
        <v>46252</v>
      </c>
      <c r="B17964" s="5" t="s">
        <v>364</v>
      </c>
      <c r="C17964" s="5" t="s">
        <v>67</v>
      </c>
      <c r="D17964" s="5">
        <v>1</v>
      </c>
      <c r="E17964" s="5">
        <v>116305</v>
      </c>
    </row>
    <row r="17965" spans="1:5" x14ac:dyDescent="0.35">
      <c r="A17965" s="3">
        <v>46252</v>
      </c>
      <c r="B17965" s="5" t="s">
        <v>364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373</v>
      </c>
      <c r="C17966" s="5" t="s">
        <v>18</v>
      </c>
      <c r="D17966" s="5">
        <v>1</v>
      </c>
      <c r="E17966" s="5">
        <v>129941</v>
      </c>
    </row>
    <row r="17967" spans="1:5" x14ac:dyDescent="0.35">
      <c r="A17967" s="3">
        <v>46252</v>
      </c>
      <c r="B17967" s="5" t="s">
        <v>376</v>
      </c>
      <c r="C17967" s="5" t="s">
        <v>18</v>
      </c>
      <c r="D17967" s="5">
        <v>1</v>
      </c>
      <c r="E17967" s="5">
        <v>129941</v>
      </c>
    </row>
    <row r="17968" spans="1:5" x14ac:dyDescent="0.35">
      <c r="A17968" s="3">
        <v>46252</v>
      </c>
      <c r="B17968" s="5" t="s">
        <v>376</v>
      </c>
      <c r="C17968" s="5" t="s">
        <v>36</v>
      </c>
      <c r="D17968" s="5">
        <v>1</v>
      </c>
      <c r="E17968" s="5">
        <v>236305</v>
      </c>
    </row>
    <row r="17969" spans="1:5" x14ac:dyDescent="0.35">
      <c r="A17969" s="3">
        <v>46252</v>
      </c>
      <c r="B17969" s="5" t="s">
        <v>315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315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315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315</v>
      </c>
      <c r="C17972" s="5" t="s">
        <v>66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315</v>
      </c>
      <c r="C17973" s="5" t="s">
        <v>66</v>
      </c>
      <c r="D17973" s="5">
        <v>1</v>
      </c>
      <c r="E17973" s="5">
        <v>116305</v>
      </c>
    </row>
    <row r="17974" spans="1:5" x14ac:dyDescent="0.35">
      <c r="A17974" s="3">
        <v>46252</v>
      </c>
      <c r="B17974" s="5" t="s">
        <v>315</v>
      </c>
      <c r="C17974" s="5" t="s">
        <v>67</v>
      </c>
      <c r="D17974" s="5">
        <v>1</v>
      </c>
      <c r="E17974" s="5">
        <v>116305</v>
      </c>
    </row>
    <row r="17975" spans="1:5" x14ac:dyDescent="0.35">
      <c r="A17975" s="3">
        <v>46252</v>
      </c>
      <c r="B17975" s="5" t="s">
        <v>315</v>
      </c>
      <c r="C17975" s="5" t="s">
        <v>66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355</v>
      </c>
      <c r="C17976" s="5" t="s">
        <v>20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363</v>
      </c>
      <c r="C17977" s="5" t="s">
        <v>66</v>
      </c>
      <c r="D17977" s="5">
        <v>1</v>
      </c>
      <c r="E17977" s="5">
        <v>116305</v>
      </c>
    </row>
    <row r="17978" spans="1:5" x14ac:dyDescent="0.35">
      <c r="A17978" s="3">
        <v>46252</v>
      </c>
      <c r="B17978" s="5" t="s">
        <v>354</v>
      </c>
      <c r="C17978" s="5" t="s">
        <v>18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355</v>
      </c>
      <c r="C17979" s="5" t="s">
        <v>18</v>
      </c>
      <c r="D17979" s="5">
        <v>1</v>
      </c>
      <c r="E17979" s="5">
        <v>127942</v>
      </c>
    </row>
    <row r="17980" spans="1:5" x14ac:dyDescent="0.35">
      <c r="A17980" s="3">
        <v>46252</v>
      </c>
      <c r="B17980" s="5" t="s">
        <v>355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354</v>
      </c>
      <c r="C17981" s="5" t="s">
        <v>18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258</v>
      </c>
      <c r="C17982" s="5" t="s">
        <v>19</v>
      </c>
      <c r="D17982" s="5">
        <v>1</v>
      </c>
      <c r="E17982" s="5">
        <v>127942</v>
      </c>
    </row>
    <row r="17983" spans="1:5" x14ac:dyDescent="0.35">
      <c r="A17983" s="3">
        <v>46252</v>
      </c>
      <c r="B17983" s="5" t="s">
        <v>258</v>
      </c>
      <c r="C17983" s="5" t="s">
        <v>20</v>
      </c>
      <c r="D17983" s="5">
        <v>1</v>
      </c>
      <c r="E17983" s="5">
        <v>127942</v>
      </c>
    </row>
    <row r="17984" spans="1:5" x14ac:dyDescent="0.35">
      <c r="A17984" s="3">
        <v>46252</v>
      </c>
      <c r="B17984" s="5" t="s">
        <v>258</v>
      </c>
      <c r="C17984" s="5" t="s">
        <v>20</v>
      </c>
      <c r="D17984" s="5">
        <v>1</v>
      </c>
      <c r="E17984" s="5">
        <v>127942</v>
      </c>
    </row>
    <row r="17985" spans="1:5" x14ac:dyDescent="0.35">
      <c r="A17985" s="3">
        <v>46252</v>
      </c>
      <c r="B17985" s="5" t="s">
        <v>258</v>
      </c>
      <c r="C17985" s="5" t="s">
        <v>18</v>
      </c>
      <c r="D17985" s="5">
        <v>1</v>
      </c>
      <c r="E17985" s="5">
        <v>127942</v>
      </c>
    </row>
    <row r="17986" spans="1:5" x14ac:dyDescent="0.35">
      <c r="A17986" s="3">
        <v>46252</v>
      </c>
      <c r="B17986" s="5" t="s">
        <v>364</v>
      </c>
      <c r="C17986" s="5" t="s">
        <v>65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364</v>
      </c>
      <c r="C17987" s="5" t="s">
        <v>67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373</v>
      </c>
      <c r="C17988" s="5" t="s">
        <v>93</v>
      </c>
      <c r="D17988" s="5">
        <v>1</v>
      </c>
      <c r="E17988" s="5">
        <v>50168</v>
      </c>
    </row>
    <row r="17989" spans="1:5" x14ac:dyDescent="0.35">
      <c r="A17989" s="3">
        <v>46252</v>
      </c>
      <c r="B17989" s="5" t="s">
        <v>244</v>
      </c>
      <c r="C17989" s="5" t="s">
        <v>85</v>
      </c>
      <c r="D17989" s="5">
        <v>1</v>
      </c>
      <c r="E17989" s="5">
        <v>189032</v>
      </c>
    </row>
    <row r="17990" spans="1:5" x14ac:dyDescent="0.35">
      <c r="A17990" s="3">
        <v>46252</v>
      </c>
      <c r="B17990" s="5" t="s">
        <v>315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315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315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315</v>
      </c>
      <c r="C17993" s="5" t="s">
        <v>65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355</v>
      </c>
      <c r="C17994" s="5" t="s">
        <v>20</v>
      </c>
      <c r="D17994" s="5">
        <v>1</v>
      </c>
      <c r="E17994" s="5">
        <v>127942</v>
      </c>
    </row>
    <row r="17995" spans="1:5" x14ac:dyDescent="0.35">
      <c r="A17995" s="3">
        <v>46252</v>
      </c>
      <c r="B17995" s="5" t="s">
        <v>258</v>
      </c>
      <c r="C17995" s="5" t="s">
        <v>20</v>
      </c>
      <c r="D17995" s="5">
        <v>1</v>
      </c>
      <c r="E17995" s="5">
        <v>127942</v>
      </c>
    </row>
    <row r="17996" spans="1:5" x14ac:dyDescent="0.35">
      <c r="A17996" s="3">
        <v>46252</v>
      </c>
      <c r="B17996" s="5" t="s">
        <v>364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364</v>
      </c>
      <c r="C17997" s="5" t="s">
        <v>66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364</v>
      </c>
      <c r="C17998" s="5" t="s">
        <v>66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362</v>
      </c>
      <c r="C17999" s="5" t="s">
        <v>65</v>
      </c>
      <c r="D17999" s="5">
        <v>1</v>
      </c>
      <c r="E17999" s="5">
        <v>116305</v>
      </c>
    </row>
    <row r="18000" spans="1:5" x14ac:dyDescent="0.35">
      <c r="A18000" s="3">
        <v>46252</v>
      </c>
      <c r="B18000" s="5" t="s">
        <v>373</v>
      </c>
      <c r="C18000" s="5" t="s">
        <v>26</v>
      </c>
      <c r="D18000" s="5">
        <v>1</v>
      </c>
      <c r="E18000" s="5">
        <v>501682</v>
      </c>
    </row>
    <row r="18001" spans="1:5" x14ac:dyDescent="0.35">
      <c r="A18001" s="3">
        <v>46252</v>
      </c>
      <c r="B18001" s="5" t="s">
        <v>315</v>
      </c>
      <c r="C18001" s="5" t="s">
        <v>66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315</v>
      </c>
      <c r="C18002" s="5" t="s">
        <v>66</v>
      </c>
      <c r="D18002" s="5">
        <v>1</v>
      </c>
      <c r="E18002" s="5">
        <v>116305</v>
      </c>
    </row>
    <row r="18003" spans="1:5" x14ac:dyDescent="0.35">
      <c r="A18003" s="3">
        <v>46252</v>
      </c>
      <c r="B18003" s="5" t="s">
        <v>315</v>
      </c>
      <c r="C18003" s="5" t="s">
        <v>66</v>
      </c>
      <c r="D18003" s="5">
        <v>1</v>
      </c>
      <c r="E18003" s="5">
        <v>116305</v>
      </c>
    </row>
    <row r="18004" spans="1:5" x14ac:dyDescent="0.35">
      <c r="A18004" s="3">
        <v>46252</v>
      </c>
      <c r="B18004" s="5" t="s">
        <v>315</v>
      </c>
      <c r="C18004" s="5" t="s">
        <v>66</v>
      </c>
      <c r="D18004" s="5">
        <v>1</v>
      </c>
      <c r="E18004" s="5">
        <v>116305</v>
      </c>
    </row>
    <row r="18005" spans="1:5" x14ac:dyDescent="0.35">
      <c r="A18005" s="3">
        <v>46252</v>
      </c>
      <c r="B18005" s="5" t="s">
        <v>315</v>
      </c>
      <c r="C18005" s="5" t="s">
        <v>66</v>
      </c>
      <c r="D18005" s="5">
        <v>1</v>
      </c>
      <c r="E18005" s="5">
        <v>116305</v>
      </c>
    </row>
    <row r="18006" spans="1:5" x14ac:dyDescent="0.35">
      <c r="A18006" s="3">
        <v>46252</v>
      </c>
      <c r="B18006" s="5" t="s">
        <v>315</v>
      </c>
      <c r="C18006" s="5" t="s">
        <v>67</v>
      </c>
      <c r="D18006" s="5">
        <v>1</v>
      </c>
      <c r="E18006" s="5">
        <v>116305</v>
      </c>
    </row>
    <row r="18007" spans="1:5" x14ac:dyDescent="0.35">
      <c r="A18007" s="3">
        <v>46252</v>
      </c>
      <c r="B18007" s="5" t="s">
        <v>315</v>
      </c>
      <c r="C18007" s="5" t="s">
        <v>67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258</v>
      </c>
      <c r="C18008" s="5" t="s">
        <v>20</v>
      </c>
      <c r="D18008" s="5">
        <v>1</v>
      </c>
      <c r="E18008" s="5">
        <v>127942</v>
      </c>
    </row>
    <row r="18009" spans="1:5" x14ac:dyDescent="0.35">
      <c r="A18009" s="3">
        <v>46252</v>
      </c>
      <c r="B18009" s="5" t="s">
        <v>258</v>
      </c>
      <c r="C18009" s="5" t="s">
        <v>20</v>
      </c>
      <c r="D18009" s="5">
        <v>1</v>
      </c>
      <c r="E18009" s="5">
        <v>127942</v>
      </c>
    </row>
    <row r="18010" spans="1:5" x14ac:dyDescent="0.35">
      <c r="A18010" s="3">
        <v>46252</v>
      </c>
      <c r="B18010" s="5" t="s">
        <v>258</v>
      </c>
      <c r="C18010" s="5" t="s">
        <v>18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258</v>
      </c>
      <c r="C18011" s="5" t="s">
        <v>20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258</v>
      </c>
      <c r="C18012" s="5" t="s">
        <v>19</v>
      </c>
      <c r="D18012" s="5">
        <v>1</v>
      </c>
      <c r="E18012" s="5">
        <v>127942</v>
      </c>
    </row>
    <row r="18013" spans="1:5" x14ac:dyDescent="0.35">
      <c r="A18013" s="3">
        <v>46252</v>
      </c>
      <c r="B18013" s="5" t="s">
        <v>364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258</v>
      </c>
      <c r="C18014" s="5" t="s">
        <v>18</v>
      </c>
      <c r="D18014" s="5">
        <v>1</v>
      </c>
      <c r="E18014" s="5">
        <v>127942</v>
      </c>
    </row>
    <row r="18015" spans="1:5" x14ac:dyDescent="0.35">
      <c r="A18015" s="3">
        <v>46252</v>
      </c>
      <c r="B18015" s="5" t="s">
        <v>315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315</v>
      </c>
      <c r="C18016" s="5" t="s">
        <v>65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315</v>
      </c>
      <c r="C18017" s="5" t="s">
        <v>67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315</v>
      </c>
      <c r="C18018" s="5" t="s">
        <v>65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315</v>
      </c>
      <c r="C18019" s="5" t="s">
        <v>67</v>
      </c>
      <c r="D18019" s="5">
        <v>1</v>
      </c>
      <c r="E18019" s="5">
        <v>116305</v>
      </c>
    </row>
    <row r="18020" spans="1:5" x14ac:dyDescent="0.35">
      <c r="A18020" s="3">
        <v>46252</v>
      </c>
      <c r="B18020" s="5" t="s">
        <v>315</v>
      </c>
      <c r="C18020" s="5" t="s">
        <v>67</v>
      </c>
      <c r="D18020" s="5">
        <v>1</v>
      </c>
      <c r="E18020" s="5">
        <v>116305</v>
      </c>
    </row>
    <row r="18021" spans="1:5" x14ac:dyDescent="0.35">
      <c r="A18021" s="3">
        <v>46252</v>
      </c>
      <c r="B18021" s="5" t="s">
        <v>315</v>
      </c>
      <c r="C18021" s="5" t="s">
        <v>65</v>
      </c>
      <c r="D18021" s="5">
        <v>1</v>
      </c>
      <c r="E18021" s="5">
        <v>116305</v>
      </c>
    </row>
    <row r="18022" spans="1:5" x14ac:dyDescent="0.35">
      <c r="A18022" s="3">
        <v>46252</v>
      </c>
      <c r="B18022" s="5" t="s">
        <v>315</v>
      </c>
      <c r="C18022" s="5" t="s">
        <v>67</v>
      </c>
      <c r="D18022" s="5">
        <v>1</v>
      </c>
      <c r="E18022" s="5">
        <v>116305</v>
      </c>
    </row>
    <row r="18023" spans="1:5" x14ac:dyDescent="0.35">
      <c r="A18023" s="3">
        <v>46252</v>
      </c>
      <c r="B18023" s="5" t="s">
        <v>355</v>
      </c>
      <c r="C18023" s="5" t="s">
        <v>18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258</v>
      </c>
      <c r="C18024" s="5" t="s">
        <v>20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355</v>
      </c>
      <c r="C18025" s="5" t="s">
        <v>19</v>
      </c>
      <c r="D18025" s="5">
        <v>1</v>
      </c>
      <c r="E18025" s="5">
        <v>127942</v>
      </c>
    </row>
    <row r="18026" spans="1:5" x14ac:dyDescent="0.35">
      <c r="A18026" s="3">
        <v>46252</v>
      </c>
      <c r="B18026" s="5" t="s">
        <v>355</v>
      </c>
      <c r="C18026" s="5" t="s">
        <v>19</v>
      </c>
      <c r="D18026" s="5">
        <v>1</v>
      </c>
      <c r="E18026" s="5">
        <v>127942</v>
      </c>
    </row>
    <row r="18027" spans="1:5" x14ac:dyDescent="0.35">
      <c r="A18027" s="3">
        <v>46252</v>
      </c>
      <c r="B18027" s="5" t="s">
        <v>364</v>
      </c>
      <c r="C18027" s="5" t="s">
        <v>66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258</v>
      </c>
      <c r="C18028" s="5" t="s">
        <v>18</v>
      </c>
      <c r="D18028" s="5">
        <v>1</v>
      </c>
      <c r="E18028" s="5">
        <v>127942</v>
      </c>
    </row>
    <row r="18029" spans="1:5" x14ac:dyDescent="0.35">
      <c r="A18029" s="3">
        <v>46252</v>
      </c>
      <c r="B18029" s="5" t="s">
        <v>364</v>
      </c>
      <c r="C18029" s="5" t="s">
        <v>65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364</v>
      </c>
      <c r="C18030" s="5" t="s">
        <v>66</v>
      </c>
      <c r="D18030" s="5">
        <v>1</v>
      </c>
      <c r="E18030" s="5">
        <v>116305</v>
      </c>
    </row>
    <row r="18031" spans="1:5" x14ac:dyDescent="0.35">
      <c r="A18031" s="3">
        <v>46252</v>
      </c>
      <c r="B18031" s="5" t="s">
        <v>364</v>
      </c>
      <c r="C18031" s="5" t="s">
        <v>66</v>
      </c>
      <c r="D18031" s="5">
        <v>1</v>
      </c>
      <c r="E18031" s="5">
        <v>116305</v>
      </c>
    </row>
    <row r="18032" spans="1:5" x14ac:dyDescent="0.35">
      <c r="A18032" s="3">
        <v>46252</v>
      </c>
      <c r="B18032" s="5" t="s">
        <v>364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364</v>
      </c>
      <c r="C18033" s="5" t="s">
        <v>66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373</v>
      </c>
      <c r="C18034" s="5" t="s">
        <v>27</v>
      </c>
      <c r="D18034" s="5">
        <v>1</v>
      </c>
      <c r="E18034" s="5">
        <v>177214</v>
      </c>
    </row>
    <row r="18035" spans="1:5" x14ac:dyDescent="0.35">
      <c r="A18035" s="3">
        <v>46252</v>
      </c>
      <c r="B18035" s="5" t="s">
        <v>315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315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315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315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315</v>
      </c>
      <c r="C18039" s="5" t="s">
        <v>65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315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355</v>
      </c>
      <c r="C18041" s="5" t="s">
        <v>20</v>
      </c>
      <c r="D18041" s="5">
        <v>1</v>
      </c>
      <c r="E18041" s="5">
        <v>127942</v>
      </c>
    </row>
    <row r="18042" spans="1:5" x14ac:dyDescent="0.35">
      <c r="A18042" s="3">
        <v>46252</v>
      </c>
      <c r="B18042" s="5" t="s">
        <v>355</v>
      </c>
      <c r="C18042" s="5" t="s">
        <v>19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315</v>
      </c>
      <c r="C18043" s="5" t="s">
        <v>67</v>
      </c>
      <c r="D18043" s="5">
        <v>1</v>
      </c>
      <c r="E18043" s="5">
        <v>116305</v>
      </c>
    </row>
    <row r="18044" spans="1:5" x14ac:dyDescent="0.35">
      <c r="A18044" s="3">
        <v>46252</v>
      </c>
      <c r="B18044" s="5" t="s">
        <v>258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315</v>
      </c>
      <c r="C18045" s="5" t="s">
        <v>67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355</v>
      </c>
      <c r="C18046" s="5" t="s">
        <v>20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258</v>
      </c>
      <c r="C18047" s="5" t="s">
        <v>20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258</v>
      </c>
      <c r="C18048" s="5" t="s">
        <v>18</v>
      </c>
      <c r="D18048" s="5">
        <v>1</v>
      </c>
      <c r="E18048" s="5">
        <v>127942</v>
      </c>
    </row>
    <row r="18049" spans="1:5" x14ac:dyDescent="0.35">
      <c r="A18049" s="3">
        <v>46252</v>
      </c>
      <c r="B18049" s="5" t="s">
        <v>354</v>
      </c>
      <c r="C18049" s="5" t="s">
        <v>18</v>
      </c>
      <c r="D18049" s="5">
        <v>1</v>
      </c>
      <c r="E18049" s="5">
        <v>127942</v>
      </c>
    </row>
    <row r="18050" spans="1:5" x14ac:dyDescent="0.35">
      <c r="A18050" s="3">
        <v>46252</v>
      </c>
      <c r="B18050" s="5" t="s">
        <v>355</v>
      </c>
      <c r="C18050" s="5" t="s">
        <v>20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258</v>
      </c>
      <c r="C18051" s="5" t="s">
        <v>18</v>
      </c>
      <c r="D18051" s="5">
        <v>1</v>
      </c>
      <c r="E18051" s="5">
        <v>127942</v>
      </c>
    </row>
    <row r="18052" spans="1:5" x14ac:dyDescent="0.35">
      <c r="A18052" s="3">
        <v>46252</v>
      </c>
      <c r="B18052" s="5" t="s">
        <v>258</v>
      </c>
      <c r="C18052" s="5" t="s">
        <v>18</v>
      </c>
      <c r="D18052" s="5">
        <v>1</v>
      </c>
      <c r="E18052" s="5">
        <v>127942</v>
      </c>
    </row>
    <row r="18053" spans="1:5" x14ac:dyDescent="0.35">
      <c r="A18053" s="3">
        <v>46252</v>
      </c>
      <c r="B18053" s="5" t="s">
        <v>364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364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364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373</v>
      </c>
      <c r="C18056" s="5" t="s">
        <v>18</v>
      </c>
      <c r="D18056" s="5">
        <v>1</v>
      </c>
      <c r="E18056" s="5">
        <v>129941</v>
      </c>
    </row>
    <row r="18057" spans="1:5" x14ac:dyDescent="0.35">
      <c r="A18057" s="3">
        <v>46252</v>
      </c>
      <c r="B18057" s="5" t="s">
        <v>376</v>
      </c>
      <c r="C18057" s="5" t="s">
        <v>17</v>
      </c>
      <c r="D18057" s="5">
        <v>1</v>
      </c>
      <c r="E18057" s="5">
        <v>236305</v>
      </c>
    </row>
    <row r="18058" spans="1:5" x14ac:dyDescent="0.35">
      <c r="A18058" s="3">
        <v>46252</v>
      </c>
      <c r="B18058" s="5" t="s">
        <v>315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315</v>
      </c>
      <c r="C18059" s="5" t="s">
        <v>66</v>
      </c>
      <c r="D18059" s="5">
        <v>1</v>
      </c>
      <c r="E18059" s="5">
        <v>116305</v>
      </c>
    </row>
    <row r="18060" spans="1:5" x14ac:dyDescent="0.35">
      <c r="A18060" s="3">
        <v>46252</v>
      </c>
      <c r="B18060" s="5" t="s">
        <v>315</v>
      </c>
      <c r="C18060" s="5" t="s">
        <v>66</v>
      </c>
      <c r="D18060" s="5">
        <v>1</v>
      </c>
      <c r="E18060" s="5">
        <v>116305</v>
      </c>
    </row>
    <row r="18061" spans="1:5" x14ac:dyDescent="0.35">
      <c r="A18061" s="3">
        <v>46252</v>
      </c>
      <c r="B18061" s="5" t="s">
        <v>315</v>
      </c>
      <c r="C18061" s="5" t="s">
        <v>66</v>
      </c>
      <c r="D18061" s="5">
        <v>1</v>
      </c>
      <c r="E18061" s="5">
        <v>116305</v>
      </c>
    </row>
    <row r="18062" spans="1:5" x14ac:dyDescent="0.35">
      <c r="A18062" s="3">
        <v>46252</v>
      </c>
      <c r="B18062" s="5" t="s">
        <v>315</v>
      </c>
      <c r="C18062" s="5" t="s">
        <v>66</v>
      </c>
      <c r="D18062" s="5">
        <v>1</v>
      </c>
      <c r="E18062" s="5">
        <v>116305</v>
      </c>
    </row>
    <row r="18063" spans="1:5" x14ac:dyDescent="0.35">
      <c r="A18063" s="3">
        <v>46252</v>
      </c>
      <c r="B18063" s="5" t="s">
        <v>315</v>
      </c>
      <c r="C18063" s="5" t="s">
        <v>66</v>
      </c>
      <c r="D18063" s="5">
        <v>1</v>
      </c>
      <c r="E18063" s="5">
        <v>116305</v>
      </c>
    </row>
    <row r="18064" spans="1:5" x14ac:dyDescent="0.35">
      <c r="A18064" s="3">
        <v>46252</v>
      </c>
      <c r="B18064" s="5" t="s">
        <v>315</v>
      </c>
      <c r="C18064" s="5" t="s">
        <v>65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355</v>
      </c>
      <c r="C18065" s="5" t="s">
        <v>19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315</v>
      </c>
      <c r="C18066" s="5" t="s">
        <v>66</v>
      </c>
      <c r="D18066" s="5">
        <v>1</v>
      </c>
      <c r="E18066" s="5">
        <v>116305</v>
      </c>
    </row>
    <row r="18067" spans="1:5" x14ac:dyDescent="0.35">
      <c r="A18067" s="3">
        <v>46252</v>
      </c>
      <c r="B18067" s="5" t="s">
        <v>315</v>
      </c>
      <c r="C18067" s="5" t="s">
        <v>66</v>
      </c>
      <c r="D18067" s="5">
        <v>1</v>
      </c>
      <c r="E18067" s="5">
        <v>116305</v>
      </c>
    </row>
    <row r="18068" spans="1:5" x14ac:dyDescent="0.35">
      <c r="A18068" s="3">
        <v>46252</v>
      </c>
      <c r="B18068" s="5" t="s">
        <v>354</v>
      </c>
      <c r="C18068" s="5" t="s">
        <v>18</v>
      </c>
      <c r="D18068" s="5">
        <v>1</v>
      </c>
      <c r="E18068" s="5">
        <v>127942</v>
      </c>
    </row>
    <row r="18069" spans="1:5" x14ac:dyDescent="0.35">
      <c r="A18069" s="3">
        <v>46252</v>
      </c>
      <c r="B18069" s="5" t="s">
        <v>355</v>
      </c>
      <c r="C18069" s="5" t="s">
        <v>20</v>
      </c>
      <c r="D18069" s="5">
        <v>1</v>
      </c>
      <c r="E18069" s="5">
        <v>127942</v>
      </c>
    </row>
    <row r="18070" spans="1:5" x14ac:dyDescent="0.35">
      <c r="A18070" s="3">
        <v>46252</v>
      </c>
      <c r="B18070" s="5" t="s">
        <v>354</v>
      </c>
      <c r="C18070" s="5" t="s">
        <v>18</v>
      </c>
      <c r="D18070" s="5">
        <v>1</v>
      </c>
      <c r="E18070" s="5">
        <v>127942</v>
      </c>
    </row>
    <row r="18071" spans="1:5" x14ac:dyDescent="0.35">
      <c r="A18071" s="3">
        <v>46252</v>
      </c>
      <c r="B18071" s="5" t="s">
        <v>364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258</v>
      </c>
      <c r="C18072" s="5" t="s">
        <v>18</v>
      </c>
      <c r="D18072" s="5">
        <v>1</v>
      </c>
      <c r="E18072" s="5">
        <v>127942</v>
      </c>
    </row>
    <row r="18073" spans="1:5" x14ac:dyDescent="0.35">
      <c r="A18073" s="3">
        <v>46252</v>
      </c>
      <c r="B18073" s="5" t="s">
        <v>258</v>
      </c>
      <c r="C18073" s="5" t="s">
        <v>18</v>
      </c>
      <c r="D18073" s="5">
        <v>1</v>
      </c>
      <c r="E18073" s="5">
        <v>127942</v>
      </c>
    </row>
    <row r="18074" spans="1:5" x14ac:dyDescent="0.35">
      <c r="A18074" s="3">
        <v>46252</v>
      </c>
      <c r="B18074" s="5" t="s">
        <v>258</v>
      </c>
      <c r="C18074" s="5" t="s">
        <v>20</v>
      </c>
      <c r="D18074" s="5">
        <v>1</v>
      </c>
      <c r="E18074" s="5">
        <v>127942</v>
      </c>
    </row>
    <row r="18075" spans="1:5" x14ac:dyDescent="0.35">
      <c r="A18075" s="3">
        <v>46252</v>
      </c>
      <c r="B18075" s="5" t="s">
        <v>364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364</v>
      </c>
      <c r="C18076" s="5" t="s">
        <v>67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362</v>
      </c>
      <c r="C18077" s="5" t="s">
        <v>66</v>
      </c>
      <c r="D18077" s="5">
        <v>1</v>
      </c>
      <c r="E18077" s="5">
        <v>116305</v>
      </c>
    </row>
    <row r="18078" spans="1:5" x14ac:dyDescent="0.35">
      <c r="A18078" s="3">
        <v>46252</v>
      </c>
      <c r="B18078" s="5" t="s">
        <v>362</v>
      </c>
      <c r="C18078" s="5" t="s">
        <v>66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315</v>
      </c>
      <c r="C18079" s="5" t="s">
        <v>66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315</v>
      </c>
      <c r="C18080" s="5" t="s">
        <v>66</v>
      </c>
      <c r="D18080" s="5">
        <v>1</v>
      </c>
      <c r="E18080" s="5">
        <v>116305</v>
      </c>
    </row>
    <row r="18081" spans="1:5" x14ac:dyDescent="0.35">
      <c r="A18081" s="3">
        <v>46252</v>
      </c>
      <c r="B18081" s="5" t="s">
        <v>355</v>
      </c>
      <c r="C18081" s="5" t="s">
        <v>20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355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354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355</v>
      </c>
      <c r="C18084" s="5" t="s">
        <v>20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258</v>
      </c>
      <c r="C18085" s="5" t="s">
        <v>18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364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364</v>
      </c>
      <c r="C18087" s="5" t="s">
        <v>67</v>
      </c>
      <c r="D18087" s="5">
        <v>1</v>
      </c>
      <c r="E18087" s="5">
        <v>116305</v>
      </c>
    </row>
    <row r="18088" spans="1:5" x14ac:dyDescent="0.35">
      <c r="A18088" s="3">
        <v>46252</v>
      </c>
      <c r="B18088" s="5" t="s">
        <v>364</v>
      </c>
      <c r="C18088" s="5" t="s">
        <v>66</v>
      </c>
      <c r="D18088" s="5">
        <v>1</v>
      </c>
      <c r="E18088" s="5">
        <v>116305</v>
      </c>
    </row>
    <row r="18089" spans="1:5" x14ac:dyDescent="0.35">
      <c r="A18089" s="3">
        <v>46252</v>
      </c>
      <c r="B18089" s="5" t="s">
        <v>364</v>
      </c>
      <c r="C18089" s="5" t="s">
        <v>67</v>
      </c>
      <c r="D18089" s="5">
        <v>1</v>
      </c>
      <c r="E18089" s="5">
        <v>116305</v>
      </c>
    </row>
    <row r="18090" spans="1:5" x14ac:dyDescent="0.35">
      <c r="A18090" s="3">
        <v>46252</v>
      </c>
      <c r="B18090" s="5" t="s">
        <v>362</v>
      </c>
      <c r="C18090" s="5" t="s">
        <v>65</v>
      </c>
      <c r="D18090" s="5">
        <v>1</v>
      </c>
      <c r="E18090" s="5">
        <v>116305</v>
      </c>
    </row>
    <row r="18091" spans="1:5" x14ac:dyDescent="0.35">
      <c r="A18091" s="3">
        <v>46252</v>
      </c>
      <c r="B18091" s="5" t="s">
        <v>244</v>
      </c>
      <c r="C18091" s="5" t="s">
        <v>46</v>
      </c>
      <c r="D18091" s="5">
        <v>1</v>
      </c>
      <c r="E18091" s="5">
        <v>294864</v>
      </c>
    </row>
    <row r="18092" spans="1:5" x14ac:dyDescent="0.35">
      <c r="A18092" s="3">
        <v>46252</v>
      </c>
      <c r="B18092" s="5" t="s">
        <v>315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315</v>
      </c>
      <c r="C18093" s="5" t="s">
        <v>65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315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355</v>
      </c>
      <c r="C18095" s="5" t="s">
        <v>20</v>
      </c>
      <c r="D18095" s="5">
        <v>1</v>
      </c>
      <c r="E18095" s="5">
        <v>127942</v>
      </c>
    </row>
    <row r="18096" spans="1:5" x14ac:dyDescent="0.35">
      <c r="A18096" s="3">
        <v>46252</v>
      </c>
      <c r="B18096" s="5" t="s">
        <v>315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315</v>
      </c>
      <c r="C18097" s="5" t="s">
        <v>65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315</v>
      </c>
      <c r="C18098" s="5" t="s">
        <v>65</v>
      </c>
      <c r="D18098" s="5">
        <v>1</v>
      </c>
      <c r="E18098" s="5">
        <v>116305</v>
      </c>
    </row>
    <row r="18099" spans="1:5" x14ac:dyDescent="0.35">
      <c r="A18099" s="3">
        <v>46252</v>
      </c>
      <c r="B18099" s="5" t="s">
        <v>315</v>
      </c>
      <c r="C18099" s="5" t="s">
        <v>65</v>
      </c>
      <c r="D18099" s="5">
        <v>1</v>
      </c>
      <c r="E18099" s="5">
        <v>116305</v>
      </c>
    </row>
    <row r="18100" spans="1:5" x14ac:dyDescent="0.35">
      <c r="A18100" s="3">
        <v>46252</v>
      </c>
      <c r="B18100" s="5" t="s">
        <v>355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258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258</v>
      </c>
      <c r="C18102" s="5" t="s">
        <v>19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258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364</v>
      </c>
      <c r="C18104" s="5" t="s">
        <v>66</v>
      </c>
      <c r="D18104" s="5">
        <v>1</v>
      </c>
      <c r="E18104" s="5">
        <v>116305</v>
      </c>
    </row>
    <row r="18105" spans="1:5" x14ac:dyDescent="0.35">
      <c r="A18105" s="3">
        <v>46252</v>
      </c>
      <c r="B18105" s="5" t="s">
        <v>258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364</v>
      </c>
      <c r="C18106" s="5" t="s">
        <v>65</v>
      </c>
      <c r="D18106" s="5">
        <v>1</v>
      </c>
      <c r="E18106" s="5">
        <v>116305</v>
      </c>
    </row>
    <row r="18107" spans="1:5" x14ac:dyDescent="0.35">
      <c r="A18107" s="3">
        <v>46252</v>
      </c>
      <c r="B18107" s="5" t="s">
        <v>362</v>
      </c>
      <c r="C18107" s="5" t="s">
        <v>66</v>
      </c>
      <c r="D18107" s="5">
        <v>1</v>
      </c>
      <c r="E18107" s="5">
        <v>116305</v>
      </c>
    </row>
    <row r="18108" spans="1:5" x14ac:dyDescent="0.35">
      <c r="A18108" s="3">
        <v>46252</v>
      </c>
      <c r="B18108" s="5" t="s">
        <v>362</v>
      </c>
      <c r="C18108" s="5" t="s">
        <v>66</v>
      </c>
      <c r="D18108" s="5">
        <v>1</v>
      </c>
      <c r="E18108" s="5">
        <v>116305</v>
      </c>
    </row>
    <row r="18109" spans="1:5" x14ac:dyDescent="0.35">
      <c r="A18109" s="3">
        <v>46252</v>
      </c>
      <c r="B18109" s="5" t="s">
        <v>373</v>
      </c>
      <c r="C18109" s="5" t="s">
        <v>32</v>
      </c>
      <c r="D18109" s="5">
        <v>1</v>
      </c>
      <c r="E18109" s="5">
        <v>177214</v>
      </c>
    </row>
    <row r="18110" spans="1:5" x14ac:dyDescent="0.35">
      <c r="A18110" s="3">
        <v>46252</v>
      </c>
      <c r="B18110" s="5" t="s">
        <v>376</v>
      </c>
      <c r="C18110" s="5" t="s">
        <v>50</v>
      </c>
      <c r="D18110" s="5">
        <v>1</v>
      </c>
      <c r="E18110" s="5">
        <v>106305</v>
      </c>
    </row>
    <row r="18111" spans="1:5" x14ac:dyDescent="0.35">
      <c r="A18111" s="3">
        <v>46252</v>
      </c>
      <c r="B18111" s="5" t="s">
        <v>376</v>
      </c>
      <c r="C18111" s="5" t="s">
        <v>18</v>
      </c>
      <c r="D18111" s="5">
        <v>1</v>
      </c>
      <c r="E18111" s="5">
        <v>129941</v>
      </c>
    </row>
    <row r="18112" spans="1:5" x14ac:dyDescent="0.35">
      <c r="A18112" s="3">
        <v>46252</v>
      </c>
      <c r="B18112" s="5" t="s">
        <v>376</v>
      </c>
      <c r="C18112" s="5" t="s">
        <v>39</v>
      </c>
      <c r="D18112" s="5">
        <v>1</v>
      </c>
      <c r="E18112" s="5">
        <v>118123</v>
      </c>
    </row>
    <row r="18113" spans="1:5" x14ac:dyDescent="0.35">
      <c r="A18113" s="3">
        <v>46252</v>
      </c>
      <c r="B18113" s="5" t="s">
        <v>315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315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315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315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355</v>
      </c>
      <c r="C18117" s="5" t="s">
        <v>20</v>
      </c>
      <c r="D18117" s="5">
        <v>1</v>
      </c>
      <c r="E18117" s="5">
        <v>127942</v>
      </c>
    </row>
    <row r="18118" spans="1:5" x14ac:dyDescent="0.35">
      <c r="A18118" s="3">
        <v>46252</v>
      </c>
      <c r="B18118" s="5" t="s">
        <v>237</v>
      </c>
      <c r="C18118" s="5" t="s">
        <v>38</v>
      </c>
      <c r="D18118" s="5">
        <v>1</v>
      </c>
      <c r="E18118" s="5">
        <v>203578</v>
      </c>
    </row>
    <row r="18119" spans="1:5" x14ac:dyDescent="0.35">
      <c r="A18119" s="3">
        <v>46252</v>
      </c>
      <c r="B18119" s="5" t="s">
        <v>258</v>
      </c>
      <c r="C18119" s="5" t="s">
        <v>19</v>
      </c>
      <c r="D18119" s="5">
        <v>1</v>
      </c>
      <c r="E18119" s="5">
        <v>127942</v>
      </c>
    </row>
    <row r="18120" spans="1:5" x14ac:dyDescent="0.35">
      <c r="A18120" s="3">
        <v>46252</v>
      </c>
      <c r="B18120" s="5" t="s">
        <v>364</v>
      </c>
      <c r="C18120" s="5" t="s">
        <v>66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258</v>
      </c>
      <c r="C18121" s="5" t="s">
        <v>19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364</v>
      </c>
      <c r="C18122" s="5" t="s">
        <v>66</v>
      </c>
      <c r="D18122" s="5">
        <v>1</v>
      </c>
      <c r="E18122" s="5">
        <v>116305</v>
      </c>
    </row>
    <row r="18123" spans="1:5" x14ac:dyDescent="0.35">
      <c r="A18123" s="3">
        <v>46252</v>
      </c>
      <c r="B18123" s="5" t="s">
        <v>258</v>
      </c>
      <c r="C18123" s="5" t="s">
        <v>18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258</v>
      </c>
      <c r="C18124" s="5" t="s">
        <v>19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364</v>
      </c>
      <c r="C18125" s="5" t="s">
        <v>66</v>
      </c>
      <c r="D18125" s="5">
        <v>1</v>
      </c>
      <c r="E18125" s="5">
        <v>116305</v>
      </c>
    </row>
    <row r="18126" spans="1:5" x14ac:dyDescent="0.35">
      <c r="A18126" s="3">
        <v>46252</v>
      </c>
      <c r="B18126" s="5" t="s">
        <v>315</v>
      </c>
      <c r="C18126" s="5" t="s">
        <v>66</v>
      </c>
      <c r="D18126" s="5">
        <v>1</v>
      </c>
      <c r="E18126" s="5">
        <v>116305</v>
      </c>
    </row>
    <row r="18127" spans="1:5" x14ac:dyDescent="0.35">
      <c r="A18127" s="3">
        <v>46252</v>
      </c>
      <c r="B18127" s="5" t="s">
        <v>315</v>
      </c>
      <c r="C18127" s="5" t="s">
        <v>66</v>
      </c>
      <c r="D18127" s="5">
        <v>1</v>
      </c>
      <c r="E18127" s="5">
        <v>116305</v>
      </c>
    </row>
    <row r="18128" spans="1:5" x14ac:dyDescent="0.35">
      <c r="A18128" s="3">
        <v>46252</v>
      </c>
      <c r="B18128" s="5" t="s">
        <v>315</v>
      </c>
      <c r="C18128" s="5" t="s">
        <v>66</v>
      </c>
      <c r="D18128" s="5">
        <v>1</v>
      </c>
      <c r="E18128" s="5">
        <v>116305</v>
      </c>
    </row>
    <row r="18129" spans="1:5" x14ac:dyDescent="0.35">
      <c r="A18129" s="3">
        <v>46252</v>
      </c>
      <c r="B18129" s="5" t="s">
        <v>315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315</v>
      </c>
      <c r="C18130" s="5" t="s">
        <v>66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315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315</v>
      </c>
      <c r="C18132" s="5" t="s">
        <v>65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355</v>
      </c>
      <c r="C18133" s="5" t="s">
        <v>19</v>
      </c>
      <c r="D18133" s="5">
        <v>1</v>
      </c>
      <c r="E18133" s="5">
        <v>127942</v>
      </c>
    </row>
    <row r="18134" spans="1:5" x14ac:dyDescent="0.35">
      <c r="A18134" s="3">
        <v>46252</v>
      </c>
      <c r="B18134" s="5" t="s">
        <v>258</v>
      </c>
      <c r="C18134" s="5" t="s">
        <v>20</v>
      </c>
      <c r="D18134" s="5">
        <v>1</v>
      </c>
      <c r="E18134" s="5">
        <v>127942</v>
      </c>
    </row>
    <row r="18135" spans="1:5" x14ac:dyDescent="0.35">
      <c r="A18135" s="3">
        <v>46252</v>
      </c>
      <c r="B18135" s="5" t="s">
        <v>364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355</v>
      </c>
      <c r="C18136" s="5" t="s">
        <v>18</v>
      </c>
      <c r="D18136" s="5">
        <v>1</v>
      </c>
      <c r="E18136" s="5">
        <v>127942</v>
      </c>
    </row>
    <row r="18137" spans="1:5" x14ac:dyDescent="0.35">
      <c r="A18137" s="3">
        <v>46252</v>
      </c>
      <c r="B18137" s="5" t="s">
        <v>258</v>
      </c>
      <c r="C18137" s="5" t="s">
        <v>20</v>
      </c>
      <c r="D18137" s="5">
        <v>1</v>
      </c>
      <c r="E18137" s="5">
        <v>127942</v>
      </c>
    </row>
    <row r="18138" spans="1:5" x14ac:dyDescent="0.35">
      <c r="A18138" s="3">
        <v>46252</v>
      </c>
      <c r="B18138" s="5" t="s">
        <v>364</v>
      </c>
      <c r="C18138" s="5" t="s">
        <v>66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364</v>
      </c>
      <c r="C18139" s="5" t="s">
        <v>65</v>
      </c>
      <c r="D18139" s="5">
        <v>1</v>
      </c>
      <c r="E18139" s="5">
        <v>116305</v>
      </c>
    </row>
    <row r="18140" spans="1:5" x14ac:dyDescent="0.35">
      <c r="A18140" s="3">
        <v>46252</v>
      </c>
      <c r="B18140" s="5" t="s">
        <v>364</v>
      </c>
      <c r="C18140" s="5" t="s">
        <v>67</v>
      </c>
      <c r="D18140" s="5">
        <v>1</v>
      </c>
      <c r="E18140" s="5">
        <v>116305</v>
      </c>
    </row>
    <row r="18141" spans="1:5" x14ac:dyDescent="0.35">
      <c r="A18141" s="3">
        <v>46252</v>
      </c>
      <c r="B18141" s="5" t="s">
        <v>362</v>
      </c>
      <c r="C18141" s="5" t="s">
        <v>65</v>
      </c>
      <c r="D18141" s="5">
        <v>1</v>
      </c>
      <c r="E18141" s="5">
        <v>116305</v>
      </c>
    </row>
    <row r="18142" spans="1:5" x14ac:dyDescent="0.35">
      <c r="A18142" s="3">
        <v>46252</v>
      </c>
      <c r="B18142" s="5" t="s">
        <v>376</v>
      </c>
      <c r="C18142" s="5" t="s">
        <v>18</v>
      </c>
      <c r="D18142" s="5">
        <v>1</v>
      </c>
      <c r="E18142" s="5">
        <v>129941</v>
      </c>
    </row>
    <row r="18143" spans="1:5" x14ac:dyDescent="0.35">
      <c r="A18143" s="3">
        <v>46252</v>
      </c>
      <c r="B18143" s="5" t="s">
        <v>315</v>
      </c>
      <c r="C18143" s="5" t="s">
        <v>66</v>
      </c>
      <c r="D18143" s="5">
        <v>1</v>
      </c>
      <c r="E18143" s="5">
        <v>116305</v>
      </c>
    </row>
    <row r="18144" spans="1:5" x14ac:dyDescent="0.35">
      <c r="A18144" s="3">
        <v>46252</v>
      </c>
      <c r="B18144" s="5" t="s">
        <v>315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315</v>
      </c>
      <c r="C18145" s="5" t="s">
        <v>65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315</v>
      </c>
      <c r="C18146" s="5" t="s">
        <v>65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355</v>
      </c>
      <c r="C18147" s="5" t="s">
        <v>20</v>
      </c>
      <c r="D18147" s="5">
        <v>1</v>
      </c>
      <c r="E18147" s="5">
        <v>127942</v>
      </c>
    </row>
    <row r="18148" spans="1:5" x14ac:dyDescent="0.35">
      <c r="A18148" s="3">
        <v>46252</v>
      </c>
      <c r="B18148" s="5" t="s">
        <v>355</v>
      </c>
      <c r="C18148" s="5" t="s">
        <v>18</v>
      </c>
      <c r="D18148" s="5">
        <v>1</v>
      </c>
      <c r="E18148" s="5">
        <v>127942</v>
      </c>
    </row>
    <row r="18149" spans="1:5" x14ac:dyDescent="0.35">
      <c r="A18149" s="3">
        <v>46252</v>
      </c>
      <c r="B18149" s="5" t="s">
        <v>354</v>
      </c>
      <c r="C18149" s="5" t="s">
        <v>19</v>
      </c>
      <c r="D18149" s="5">
        <v>1</v>
      </c>
      <c r="E18149" s="5">
        <v>127942</v>
      </c>
    </row>
    <row r="18150" spans="1:5" x14ac:dyDescent="0.35">
      <c r="A18150" s="3">
        <v>46252</v>
      </c>
      <c r="B18150" s="5" t="s">
        <v>354</v>
      </c>
      <c r="C18150" s="5" t="s">
        <v>19</v>
      </c>
      <c r="D18150" s="5">
        <v>1</v>
      </c>
      <c r="E18150" s="5">
        <v>127942</v>
      </c>
    </row>
    <row r="18151" spans="1:5" x14ac:dyDescent="0.35">
      <c r="A18151" s="3">
        <v>46252</v>
      </c>
      <c r="B18151" s="5" t="s">
        <v>258</v>
      </c>
      <c r="C18151" s="5" t="s">
        <v>20</v>
      </c>
      <c r="D18151" s="5">
        <v>1</v>
      </c>
      <c r="E18151" s="5">
        <v>127942</v>
      </c>
    </row>
    <row r="18152" spans="1:5" x14ac:dyDescent="0.35">
      <c r="A18152" s="3">
        <v>46252</v>
      </c>
      <c r="B18152" s="5" t="s">
        <v>363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258</v>
      </c>
      <c r="C18153" s="5" t="s">
        <v>19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258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364</v>
      </c>
      <c r="C18155" s="5" t="s">
        <v>65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140</v>
      </c>
      <c r="C18156" s="5" t="s">
        <v>33</v>
      </c>
      <c r="D18156" s="5">
        <v>2</v>
      </c>
      <c r="E18156" s="5">
        <v>407156</v>
      </c>
    </row>
    <row r="18157" spans="1:5" x14ac:dyDescent="0.35">
      <c r="A18157" s="3">
        <v>46252</v>
      </c>
      <c r="B18157" s="5" t="s">
        <v>364</v>
      </c>
      <c r="C18157" s="5" t="s">
        <v>66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364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362</v>
      </c>
      <c r="C18159" s="5" t="s">
        <v>66</v>
      </c>
      <c r="D18159" s="5">
        <v>1</v>
      </c>
      <c r="E18159" s="5">
        <v>116305</v>
      </c>
    </row>
    <row r="18160" spans="1:5" x14ac:dyDescent="0.35">
      <c r="A18160" s="3">
        <v>46252</v>
      </c>
      <c r="B18160" s="5" t="s">
        <v>244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315</v>
      </c>
      <c r="C18161" s="5" t="s">
        <v>66</v>
      </c>
      <c r="D18161" s="5">
        <v>1</v>
      </c>
      <c r="E18161" s="5">
        <v>116305</v>
      </c>
    </row>
    <row r="18162" spans="1:5" x14ac:dyDescent="0.35">
      <c r="A18162" s="3">
        <v>46252</v>
      </c>
      <c r="B18162" s="5" t="s">
        <v>315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315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315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315</v>
      </c>
      <c r="C18165" s="5" t="s">
        <v>66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315</v>
      </c>
      <c r="C18166" s="5" t="s">
        <v>66</v>
      </c>
      <c r="D18166" s="5">
        <v>1</v>
      </c>
      <c r="E18166" s="5">
        <v>116305</v>
      </c>
    </row>
    <row r="18167" spans="1:5" x14ac:dyDescent="0.35">
      <c r="A18167" s="3">
        <v>46252</v>
      </c>
      <c r="B18167" s="5" t="s">
        <v>315</v>
      </c>
      <c r="C18167" s="5" t="s">
        <v>66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315</v>
      </c>
      <c r="C18168" s="5" t="s">
        <v>65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315</v>
      </c>
      <c r="C18169" s="5" t="s">
        <v>67</v>
      </c>
      <c r="D18169" s="5">
        <v>1</v>
      </c>
      <c r="E18169" s="5">
        <v>116305</v>
      </c>
    </row>
    <row r="18170" spans="1:5" x14ac:dyDescent="0.35">
      <c r="A18170" s="3">
        <v>46252</v>
      </c>
      <c r="B18170" s="5" t="s">
        <v>355</v>
      </c>
      <c r="C18170" s="5" t="s">
        <v>20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355</v>
      </c>
      <c r="C18171" s="5" t="s">
        <v>20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355</v>
      </c>
      <c r="C18172" s="5" t="s">
        <v>20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258</v>
      </c>
      <c r="C18173" s="5" t="s">
        <v>18</v>
      </c>
      <c r="D18173" s="5">
        <v>1</v>
      </c>
      <c r="E18173" s="5">
        <v>127942</v>
      </c>
    </row>
    <row r="18174" spans="1:5" x14ac:dyDescent="0.35">
      <c r="A18174" s="3">
        <v>46252</v>
      </c>
      <c r="B18174" s="5" t="s">
        <v>354</v>
      </c>
      <c r="C18174" s="5" t="s">
        <v>18</v>
      </c>
      <c r="D18174" s="5">
        <v>1</v>
      </c>
      <c r="E18174" s="5">
        <v>127942</v>
      </c>
    </row>
    <row r="18175" spans="1:5" x14ac:dyDescent="0.35">
      <c r="A18175" s="3">
        <v>46252</v>
      </c>
      <c r="B18175" s="5" t="s">
        <v>258</v>
      </c>
      <c r="C18175" s="5" t="s">
        <v>20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364</v>
      </c>
      <c r="C18176" s="5" t="s">
        <v>66</v>
      </c>
      <c r="D18176" s="5">
        <v>1</v>
      </c>
      <c r="E18176" s="5">
        <v>116305</v>
      </c>
    </row>
    <row r="18177" spans="1:5" x14ac:dyDescent="0.35">
      <c r="A18177" s="3">
        <v>46252</v>
      </c>
      <c r="B18177" s="5" t="s">
        <v>258</v>
      </c>
      <c r="C18177" s="5" t="s">
        <v>18</v>
      </c>
      <c r="D18177" s="5">
        <v>1</v>
      </c>
      <c r="E18177" s="5">
        <v>127942</v>
      </c>
    </row>
    <row r="18178" spans="1:5" x14ac:dyDescent="0.35">
      <c r="A18178" s="3">
        <v>46252</v>
      </c>
      <c r="B18178" s="5" t="s">
        <v>364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364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364</v>
      </c>
      <c r="C18180" s="5" t="s">
        <v>66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362</v>
      </c>
      <c r="C18181" s="5" t="s">
        <v>66</v>
      </c>
      <c r="D18181" s="5">
        <v>1</v>
      </c>
      <c r="E18181" s="5">
        <v>116305</v>
      </c>
    </row>
    <row r="18182" spans="1:5" x14ac:dyDescent="0.35">
      <c r="A18182" s="3">
        <v>46252</v>
      </c>
      <c r="B18182" s="5" t="s">
        <v>373</v>
      </c>
      <c r="C18182" s="5" t="s">
        <v>28</v>
      </c>
      <c r="D18182" s="5">
        <v>1</v>
      </c>
      <c r="E18182" s="5">
        <v>118123</v>
      </c>
    </row>
    <row r="18183" spans="1:5" x14ac:dyDescent="0.35">
      <c r="A18183" s="3">
        <v>46252</v>
      </c>
      <c r="B18183" s="5" t="s">
        <v>376</v>
      </c>
      <c r="C18183" s="5" t="s">
        <v>18</v>
      </c>
      <c r="D18183" s="5">
        <v>1</v>
      </c>
      <c r="E18183" s="5">
        <v>129941</v>
      </c>
    </row>
    <row r="18184" spans="1:5" x14ac:dyDescent="0.35">
      <c r="A18184" s="3">
        <v>46252</v>
      </c>
      <c r="B18184" s="5" t="s">
        <v>315</v>
      </c>
      <c r="C18184" s="5" t="s">
        <v>66</v>
      </c>
      <c r="D18184" s="5">
        <v>1</v>
      </c>
      <c r="E18184" s="5">
        <v>116305</v>
      </c>
    </row>
    <row r="18185" spans="1:5" x14ac:dyDescent="0.35">
      <c r="A18185" s="3">
        <v>46252</v>
      </c>
      <c r="B18185" s="5" t="s">
        <v>315</v>
      </c>
      <c r="C18185" s="5" t="s">
        <v>66</v>
      </c>
      <c r="D18185" s="5">
        <v>1</v>
      </c>
      <c r="E18185" s="5">
        <v>116305</v>
      </c>
    </row>
    <row r="18186" spans="1:5" x14ac:dyDescent="0.35">
      <c r="A18186" s="3">
        <v>46252</v>
      </c>
      <c r="B18186" s="5" t="s">
        <v>315</v>
      </c>
      <c r="C18186" s="5" t="s">
        <v>65</v>
      </c>
      <c r="D18186" s="5">
        <v>1</v>
      </c>
      <c r="E18186" s="5">
        <v>116305</v>
      </c>
    </row>
    <row r="18187" spans="1:5" x14ac:dyDescent="0.35">
      <c r="A18187" s="3">
        <v>46252</v>
      </c>
      <c r="B18187" s="5" t="s">
        <v>355</v>
      </c>
      <c r="C18187" s="5" t="s">
        <v>20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315</v>
      </c>
      <c r="C18188" s="5" t="s">
        <v>66</v>
      </c>
      <c r="D18188" s="5">
        <v>1</v>
      </c>
      <c r="E18188" s="5">
        <v>116305</v>
      </c>
    </row>
    <row r="18189" spans="1:5" x14ac:dyDescent="0.35">
      <c r="A18189" s="3">
        <v>46252</v>
      </c>
      <c r="B18189" s="5" t="s">
        <v>315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355</v>
      </c>
      <c r="C18190" s="5" t="s">
        <v>20</v>
      </c>
      <c r="D18190" s="5">
        <v>1</v>
      </c>
      <c r="E18190" s="5">
        <v>127942</v>
      </c>
    </row>
    <row r="18191" spans="1:5" x14ac:dyDescent="0.35">
      <c r="A18191" s="3">
        <v>46252</v>
      </c>
      <c r="B18191" s="5" t="s">
        <v>258</v>
      </c>
      <c r="C18191" s="5" t="s">
        <v>18</v>
      </c>
      <c r="D18191" s="5">
        <v>1</v>
      </c>
      <c r="E18191" s="5">
        <v>127942</v>
      </c>
    </row>
    <row r="18192" spans="1:5" x14ac:dyDescent="0.35">
      <c r="A18192" s="3">
        <v>46252</v>
      </c>
      <c r="B18192" s="5" t="s">
        <v>258</v>
      </c>
      <c r="C18192" s="5" t="s">
        <v>18</v>
      </c>
      <c r="D18192" s="5">
        <v>1</v>
      </c>
      <c r="E18192" s="5">
        <v>127942</v>
      </c>
    </row>
    <row r="18193" spans="1:5" x14ac:dyDescent="0.35">
      <c r="A18193" s="3">
        <v>46252</v>
      </c>
      <c r="B18193" s="5" t="s">
        <v>258</v>
      </c>
      <c r="C18193" s="5" t="s">
        <v>20</v>
      </c>
      <c r="D18193" s="5">
        <v>1</v>
      </c>
      <c r="E18193" s="5">
        <v>127942</v>
      </c>
    </row>
    <row r="18194" spans="1:5" x14ac:dyDescent="0.35">
      <c r="A18194" s="3">
        <v>46252</v>
      </c>
      <c r="B18194" s="5" t="s">
        <v>355</v>
      </c>
      <c r="C18194" s="5" t="s">
        <v>18</v>
      </c>
      <c r="D18194" s="5">
        <v>1</v>
      </c>
      <c r="E18194" s="5">
        <v>127942</v>
      </c>
    </row>
    <row r="18195" spans="1:5" x14ac:dyDescent="0.35">
      <c r="A18195" s="3">
        <v>46252</v>
      </c>
      <c r="B18195" s="5" t="s">
        <v>258</v>
      </c>
      <c r="C18195" s="5" t="s">
        <v>19</v>
      </c>
      <c r="D18195" s="5">
        <v>1</v>
      </c>
      <c r="E18195" s="5">
        <v>127942</v>
      </c>
    </row>
    <row r="18196" spans="1:5" x14ac:dyDescent="0.35">
      <c r="A18196" s="3">
        <v>46252</v>
      </c>
      <c r="B18196" s="5" t="s">
        <v>364</v>
      </c>
      <c r="C18196" s="5" t="s">
        <v>66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364</v>
      </c>
      <c r="C18197" s="5" t="s">
        <v>66</v>
      </c>
      <c r="D18197" s="5">
        <v>1</v>
      </c>
      <c r="E18197" s="5">
        <v>116305</v>
      </c>
    </row>
    <row r="18198" spans="1:5" x14ac:dyDescent="0.35">
      <c r="A18198" s="3">
        <v>46252</v>
      </c>
      <c r="B18198" s="5" t="s">
        <v>364</v>
      </c>
      <c r="C18198" s="5" t="s">
        <v>66</v>
      </c>
      <c r="D18198" s="5">
        <v>1</v>
      </c>
      <c r="E18198" s="5">
        <v>116305</v>
      </c>
    </row>
    <row r="18199" spans="1:5" x14ac:dyDescent="0.35">
      <c r="A18199" s="3">
        <v>46252</v>
      </c>
      <c r="B18199" s="5" t="s">
        <v>258</v>
      </c>
      <c r="C18199" s="5" t="s">
        <v>19</v>
      </c>
      <c r="D18199" s="5">
        <v>1</v>
      </c>
      <c r="E18199" s="5">
        <v>127942</v>
      </c>
    </row>
    <row r="18200" spans="1:5" x14ac:dyDescent="0.35">
      <c r="A18200" s="3">
        <v>46252</v>
      </c>
      <c r="B18200" s="5" t="s">
        <v>364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364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364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364</v>
      </c>
      <c r="C18203" s="5" t="s">
        <v>66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364</v>
      </c>
      <c r="C18204" s="5" t="s">
        <v>65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364</v>
      </c>
      <c r="C18205" s="5" t="s">
        <v>66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376</v>
      </c>
      <c r="C18206" s="5" t="s">
        <v>18</v>
      </c>
      <c r="D18206" s="5">
        <v>1</v>
      </c>
      <c r="E18206" s="5">
        <v>129941</v>
      </c>
    </row>
    <row r="18207" spans="1:5" x14ac:dyDescent="0.35">
      <c r="A18207" s="3">
        <v>46252</v>
      </c>
      <c r="B18207" s="5" t="s">
        <v>244</v>
      </c>
      <c r="C18207" s="5" t="s">
        <v>18</v>
      </c>
      <c r="D18207" s="5">
        <v>1</v>
      </c>
      <c r="E18207" s="5">
        <v>129941</v>
      </c>
    </row>
    <row r="18208" spans="1:5" x14ac:dyDescent="0.35">
      <c r="A18208" s="3">
        <v>46252</v>
      </c>
      <c r="B18208" s="5" t="s">
        <v>244</v>
      </c>
      <c r="C18208" s="5" t="s">
        <v>38</v>
      </c>
      <c r="D18208" s="5">
        <v>1</v>
      </c>
      <c r="E18208" s="5">
        <v>236305</v>
      </c>
    </row>
    <row r="18209" spans="1:5" x14ac:dyDescent="0.35">
      <c r="A18209" s="3">
        <v>46252</v>
      </c>
      <c r="B18209" s="5" t="s">
        <v>315</v>
      </c>
      <c r="C18209" s="5" t="s">
        <v>66</v>
      </c>
      <c r="D18209" s="5">
        <v>1</v>
      </c>
      <c r="E18209" s="5">
        <v>116305</v>
      </c>
    </row>
    <row r="18210" spans="1:5" x14ac:dyDescent="0.35">
      <c r="A18210" s="3">
        <v>46252</v>
      </c>
      <c r="B18210" s="5" t="s">
        <v>315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315</v>
      </c>
      <c r="C18211" s="5" t="s">
        <v>66</v>
      </c>
      <c r="D18211" s="5">
        <v>1</v>
      </c>
      <c r="E18211" s="5">
        <v>116305</v>
      </c>
    </row>
    <row r="18212" spans="1:5" x14ac:dyDescent="0.35">
      <c r="A18212" s="3">
        <v>46252</v>
      </c>
      <c r="B18212" s="5" t="s">
        <v>315</v>
      </c>
      <c r="C18212" s="5" t="s">
        <v>65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315</v>
      </c>
      <c r="C18213" s="5" t="s">
        <v>65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315</v>
      </c>
      <c r="C18214" s="5" t="s">
        <v>65</v>
      </c>
      <c r="D18214" s="5">
        <v>1</v>
      </c>
      <c r="E18214" s="5">
        <v>116305</v>
      </c>
    </row>
    <row r="18215" spans="1:5" x14ac:dyDescent="0.35">
      <c r="A18215" s="3">
        <v>46252</v>
      </c>
      <c r="B18215" s="5" t="s">
        <v>355</v>
      </c>
      <c r="C18215" s="5" t="s">
        <v>20</v>
      </c>
      <c r="D18215" s="5">
        <v>1</v>
      </c>
      <c r="E18215" s="5">
        <v>127942</v>
      </c>
    </row>
    <row r="18216" spans="1:5" x14ac:dyDescent="0.35">
      <c r="A18216" s="3">
        <v>46252</v>
      </c>
      <c r="B18216" s="5" t="s">
        <v>355</v>
      </c>
      <c r="C18216" s="5" t="s">
        <v>20</v>
      </c>
      <c r="D18216" s="5">
        <v>1</v>
      </c>
      <c r="E18216" s="5">
        <v>127942</v>
      </c>
    </row>
    <row r="18217" spans="1:5" x14ac:dyDescent="0.35">
      <c r="A18217" s="3">
        <v>46252</v>
      </c>
      <c r="B18217" s="5" t="s">
        <v>363</v>
      </c>
      <c r="C18217" s="5" t="s">
        <v>65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355</v>
      </c>
      <c r="C18218" s="5" t="s">
        <v>19</v>
      </c>
      <c r="D18218" s="5">
        <v>1</v>
      </c>
      <c r="E18218" s="5">
        <v>127942</v>
      </c>
    </row>
    <row r="18219" spans="1:5" x14ac:dyDescent="0.35">
      <c r="A18219" s="3">
        <v>46252</v>
      </c>
      <c r="B18219" s="5" t="s">
        <v>258</v>
      </c>
      <c r="C18219" s="5" t="s">
        <v>19</v>
      </c>
      <c r="D18219" s="5">
        <v>1</v>
      </c>
      <c r="E18219" s="5">
        <v>127942</v>
      </c>
    </row>
    <row r="18220" spans="1:5" x14ac:dyDescent="0.35">
      <c r="A18220" s="3">
        <v>46252</v>
      </c>
      <c r="B18220" s="5" t="s">
        <v>258</v>
      </c>
      <c r="C18220" s="5" t="s">
        <v>18</v>
      </c>
      <c r="D18220" s="5">
        <v>1</v>
      </c>
      <c r="E18220" s="5">
        <v>127942</v>
      </c>
    </row>
    <row r="18221" spans="1:5" x14ac:dyDescent="0.35">
      <c r="A18221" s="3">
        <v>46252</v>
      </c>
      <c r="B18221" s="5" t="s">
        <v>364</v>
      </c>
      <c r="C18221" s="5" t="s">
        <v>66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364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364</v>
      </c>
      <c r="C18223" s="5" t="s">
        <v>66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362</v>
      </c>
      <c r="C18224" s="5" t="s">
        <v>66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373</v>
      </c>
      <c r="C18225" s="5" t="s">
        <v>49</v>
      </c>
      <c r="D18225" s="5">
        <v>1</v>
      </c>
      <c r="E18225" s="5">
        <v>64941</v>
      </c>
    </row>
    <row r="18226" spans="1:5" x14ac:dyDescent="0.35">
      <c r="A18226" s="3">
        <v>46252</v>
      </c>
      <c r="B18226" s="5" t="s">
        <v>244</v>
      </c>
      <c r="C18226" s="5" t="s">
        <v>25</v>
      </c>
      <c r="D18226" s="5">
        <v>1</v>
      </c>
      <c r="E18226" s="5">
        <v>460318</v>
      </c>
    </row>
    <row r="18227" spans="1:5" x14ac:dyDescent="0.35">
      <c r="A18227" s="3">
        <v>46252</v>
      </c>
      <c r="B18227" s="5" t="s">
        <v>315</v>
      </c>
      <c r="C18227" s="5" t="s">
        <v>66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315</v>
      </c>
      <c r="C18228" s="5" t="s">
        <v>66</v>
      </c>
      <c r="D18228" s="5">
        <v>1</v>
      </c>
      <c r="E18228" s="5">
        <v>116305</v>
      </c>
    </row>
    <row r="18229" spans="1:5" x14ac:dyDescent="0.35">
      <c r="A18229" s="3">
        <v>46252</v>
      </c>
      <c r="B18229" s="5" t="s">
        <v>315</v>
      </c>
      <c r="C18229" s="5" t="s">
        <v>66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315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315</v>
      </c>
      <c r="C18231" s="5" t="s">
        <v>66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315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315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315</v>
      </c>
      <c r="C18234" s="5" t="s">
        <v>67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237</v>
      </c>
      <c r="C18235" s="5" t="s">
        <v>38</v>
      </c>
      <c r="D18235" s="5">
        <v>1</v>
      </c>
      <c r="E18235" s="5">
        <v>203578</v>
      </c>
    </row>
    <row r="18236" spans="1:5" x14ac:dyDescent="0.35">
      <c r="A18236" s="3">
        <v>46252</v>
      </c>
      <c r="B18236" s="5" t="s">
        <v>258</v>
      </c>
      <c r="C18236" s="5" t="s">
        <v>20</v>
      </c>
      <c r="D18236" s="5">
        <v>1</v>
      </c>
      <c r="E18236" s="5">
        <v>127942</v>
      </c>
    </row>
    <row r="18237" spans="1:5" x14ac:dyDescent="0.35">
      <c r="A18237" s="3">
        <v>46252</v>
      </c>
      <c r="B18237" s="5" t="s">
        <v>237</v>
      </c>
      <c r="C18237" s="5" t="s">
        <v>38</v>
      </c>
      <c r="D18237" s="5">
        <v>1</v>
      </c>
      <c r="E18237" s="5">
        <v>203578</v>
      </c>
    </row>
    <row r="18238" spans="1:5" x14ac:dyDescent="0.35">
      <c r="A18238" s="3">
        <v>46252</v>
      </c>
      <c r="B18238" s="5" t="s">
        <v>258</v>
      </c>
      <c r="C18238" s="5" t="s">
        <v>20</v>
      </c>
      <c r="D18238" s="5">
        <v>1</v>
      </c>
      <c r="E18238" s="5">
        <v>127942</v>
      </c>
    </row>
    <row r="18239" spans="1:5" x14ac:dyDescent="0.35">
      <c r="A18239" s="3">
        <v>46252</v>
      </c>
      <c r="B18239" s="5" t="s">
        <v>355</v>
      </c>
      <c r="C18239" s="5" t="s">
        <v>19</v>
      </c>
      <c r="D18239" s="5">
        <v>1</v>
      </c>
      <c r="E18239" s="5">
        <v>127942</v>
      </c>
    </row>
    <row r="18240" spans="1:5" x14ac:dyDescent="0.35">
      <c r="A18240" s="3">
        <v>46252</v>
      </c>
      <c r="B18240" s="5" t="s">
        <v>258</v>
      </c>
      <c r="C18240" s="5" t="s">
        <v>19</v>
      </c>
      <c r="D18240" s="5">
        <v>1</v>
      </c>
      <c r="E18240" s="5">
        <v>127942</v>
      </c>
    </row>
    <row r="18241" spans="1:5" x14ac:dyDescent="0.35">
      <c r="A18241" s="3">
        <v>46252</v>
      </c>
      <c r="B18241" s="5" t="s">
        <v>258</v>
      </c>
      <c r="C18241" s="5" t="s">
        <v>18</v>
      </c>
      <c r="D18241" s="5">
        <v>1</v>
      </c>
      <c r="E18241" s="5">
        <v>127942</v>
      </c>
    </row>
    <row r="18242" spans="1:5" x14ac:dyDescent="0.35">
      <c r="A18242" s="3">
        <v>46252</v>
      </c>
      <c r="B18242" s="5" t="s">
        <v>364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364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364</v>
      </c>
      <c r="C18244" s="5" t="s">
        <v>66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364</v>
      </c>
      <c r="C18245" s="5" t="s">
        <v>66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364</v>
      </c>
      <c r="C18246" s="5" t="s">
        <v>65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364</v>
      </c>
      <c r="C18247" s="5" t="s">
        <v>66</v>
      </c>
      <c r="D18247" s="5">
        <v>1</v>
      </c>
      <c r="E18247" s="5">
        <v>116305</v>
      </c>
    </row>
    <row r="18248" spans="1:5" x14ac:dyDescent="0.35">
      <c r="A18248" s="3">
        <v>46252</v>
      </c>
      <c r="B18248" s="5" t="s">
        <v>315</v>
      </c>
      <c r="C18248" s="5" t="s">
        <v>66</v>
      </c>
      <c r="D18248" s="5">
        <v>1</v>
      </c>
      <c r="E18248" s="5">
        <v>116305</v>
      </c>
    </row>
    <row r="18249" spans="1:5" x14ac:dyDescent="0.35">
      <c r="A18249" s="3">
        <v>46252</v>
      </c>
      <c r="B18249" s="5" t="s">
        <v>315</v>
      </c>
      <c r="C18249" s="5" t="s">
        <v>66</v>
      </c>
      <c r="D18249" s="5">
        <v>1</v>
      </c>
      <c r="E18249" s="5">
        <v>116305</v>
      </c>
    </row>
    <row r="18250" spans="1:5" x14ac:dyDescent="0.35">
      <c r="A18250" s="3">
        <v>46252</v>
      </c>
      <c r="B18250" s="5" t="s">
        <v>315</v>
      </c>
      <c r="C18250" s="5" t="s">
        <v>66</v>
      </c>
      <c r="D18250" s="5">
        <v>1</v>
      </c>
      <c r="E18250" s="5">
        <v>116305</v>
      </c>
    </row>
    <row r="18251" spans="1:5" x14ac:dyDescent="0.35">
      <c r="A18251" s="3">
        <v>46252</v>
      </c>
      <c r="B18251" s="5" t="s">
        <v>315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354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258</v>
      </c>
      <c r="C18253" s="5" t="s">
        <v>20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258</v>
      </c>
      <c r="C18254" s="5" t="s">
        <v>19</v>
      </c>
      <c r="D18254" s="5">
        <v>1</v>
      </c>
      <c r="E18254" s="5">
        <v>127942</v>
      </c>
    </row>
    <row r="18255" spans="1:5" x14ac:dyDescent="0.35">
      <c r="A18255" s="3">
        <v>46252</v>
      </c>
      <c r="B18255" s="5" t="s">
        <v>258</v>
      </c>
      <c r="C18255" s="5" t="s">
        <v>19</v>
      </c>
      <c r="D18255" s="5">
        <v>1</v>
      </c>
      <c r="E18255" s="5">
        <v>127942</v>
      </c>
    </row>
    <row r="18256" spans="1:5" x14ac:dyDescent="0.35">
      <c r="A18256" s="3">
        <v>46252</v>
      </c>
      <c r="B18256" s="5" t="s">
        <v>364</v>
      </c>
      <c r="C18256" s="5" t="s">
        <v>65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364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364</v>
      </c>
      <c r="C18258" s="5" t="s">
        <v>65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362</v>
      </c>
      <c r="C18259" s="5" t="s">
        <v>65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373</v>
      </c>
      <c r="C18260" s="5" t="s">
        <v>18</v>
      </c>
      <c r="D18260" s="5">
        <v>1</v>
      </c>
      <c r="E18260" s="5">
        <v>129941</v>
      </c>
    </row>
    <row r="18261" spans="1:5" x14ac:dyDescent="0.35">
      <c r="A18261" s="3">
        <v>46252</v>
      </c>
      <c r="B18261" s="5" t="s">
        <v>376</v>
      </c>
      <c r="C18261" s="5" t="s">
        <v>26</v>
      </c>
      <c r="D18261" s="5">
        <v>1</v>
      </c>
      <c r="E18261" s="5">
        <v>501682</v>
      </c>
    </row>
    <row r="18262" spans="1:5" x14ac:dyDescent="0.35">
      <c r="A18262" s="3">
        <v>46252</v>
      </c>
      <c r="B18262" s="5" t="s">
        <v>376</v>
      </c>
      <c r="C18262" s="5" t="s">
        <v>18</v>
      </c>
      <c r="D18262" s="5">
        <v>1</v>
      </c>
      <c r="E18262" s="5">
        <v>129941</v>
      </c>
    </row>
    <row r="18263" spans="1:5" x14ac:dyDescent="0.35">
      <c r="A18263" s="3">
        <v>46252</v>
      </c>
      <c r="B18263" s="5" t="s">
        <v>315</v>
      </c>
      <c r="C18263" s="5" t="s">
        <v>66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315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315</v>
      </c>
      <c r="C18265" s="5" t="s">
        <v>65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315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355</v>
      </c>
      <c r="C18267" s="5" t="s">
        <v>20</v>
      </c>
      <c r="D18267" s="5">
        <v>1</v>
      </c>
      <c r="E18267" s="5">
        <v>127942</v>
      </c>
    </row>
    <row r="18268" spans="1:5" x14ac:dyDescent="0.35">
      <c r="A18268" s="3">
        <v>46252</v>
      </c>
      <c r="B18268" s="5" t="s">
        <v>354</v>
      </c>
      <c r="C18268" s="5" t="s">
        <v>18</v>
      </c>
      <c r="D18268" s="5">
        <v>1</v>
      </c>
      <c r="E18268" s="5">
        <v>127942</v>
      </c>
    </row>
    <row r="18269" spans="1:5" x14ac:dyDescent="0.35">
      <c r="A18269" s="3">
        <v>46252</v>
      </c>
      <c r="B18269" s="5" t="s">
        <v>354</v>
      </c>
      <c r="C18269" s="5" t="s">
        <v>18</v>
      </c>
      <c r="D18269" s="5">
        <v>1</v>
      </c>
      <c r="E18269" s="5">
        <v>127942</v>
      </c>
    </row>
    <row r="18270" spans="1:5" x14ac:dyDescent="0.35">
      <c r="A18270" s="3">
        <v>46252</v>
      </c>
      <c r="B18270" s="5" t="s">
        <v>364</v>
      </c>
      <c r="C18270" s="5" t="s">
        <v>65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364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364</v>
      </c>
      <c r="C18272" s="5" t="s">
        <v>67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373</v>
      </c>
      <c r="C18273" s="5" t="s">
        <v>38</v>
      </c>
      <c r="D18273" s="5">
        <v>1</v>
      </c>
      <c r="E18273" s="5">
        <v>236305</v>
      </c>
    </row>
    <row r="18274" spans="1:5" x14ac:dyDescent="0.35">
      <c r="A18274" s="3">
        <v>46252</v>
      </c>
      <c r="B18274" s="5" t="s">
        <v>315</v>
      </c>
      <c r="C18274" s="5" t="s">
        <v>66</v>
      </c>
      <c r="D18274" s="5">
        <v>1</v>
      </c>
      <c r="E18274" s="5">
        <v>116305</v>
      </c>
    </row>
    <row r="18275" spans="1:5" x14ac:dyDescent="0.35">
      <c r="A18275" s="3">
        <v>46252</v>
      </c>
      <c r="B18275" s="5" t="s">
        <v>315</v>
      </c>
      <c r="C18275" s="5" t="s">
        <v>66</v>
      </c>
      <c r="D18275" s="5">
        <v>1</v>
      </c>
      <c r="E18275" s="5">
        <v>116305</v>
      </c>
    </row>
    <row r="18276" spans="1:5" x14ac:dyDescent="0.35">
      <c r="A18276" s="3">
        <v>46252</v>
      </c>
      <c r="B18276" s="5" t="s">
        <v>315</v>
      </c>
      <c r="C18276" s="5" t="s">
        <v>66</v>
      </c>
      <c r="D18276" s="5">
        <v>1</v>
      </c>
      <c r="E18276" s="5">
        <v>116305</v>
      </c>
    </row>
    <row r="18277" spans="1:5" x14ac:dyDescent="0.35">
      <c r="A18277" s="3">
        <v>46252</v>
      </c>
      <c r="B18277" s="5" t="s">
        <v>315</v>
      </c>
      <c r="C18277" s="5" t="s">
        <v>66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315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315</v>
      </c>
      <c r="C18279" s="5" t="s">
        <v>66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315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315</v>
      </c>
      <c r="C18281" s="5" t="s">
        <v>65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315</v>
      </c>
      <c r="C18282" s="5" t="s">
        <v>65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355</v>
      </c>
      <c r="C18283" s="5" t="s">
        <v>19</v>
      </c>
      <c r="D18283" s="5">
        <v>1</v>
      </c>
      <c r="E18283" s="5">
        <v>127942</v>
      </c>
    </row>
    <row r="18284" spans="1:5" x14ac:dyDescent="0.35">
      <c r="A18284" s="3">
        <v>46252</v>
      </c>
      <c r="B18284" s="5" t="s">
        <v>315</v>
      </c>
      <c r="C18284" s="5" t="s">
        <v>65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315</v>
      </c>
      <c r="C18285" s="5" t="s">
        <v>65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355</v>
      </c>
      <c r="C18286" s="5" t="s">
        <v>20</v>
      </c>
      <c r="D18286" s="5">
        <v>1</v>
      </c>
      <c r="E18286" s="5">
        <v>127942</v>
      </c>
    </row>
    <row r="18287" spans="1:5" x14ac:dyDescent="0.35">
      <c r="A18287" s="3">
        <v>46252</v>
      </c>
      <c r="B18287" s="5" t="s">
        <v>354</v>
      </c>
      <c r="C18287" s="5" t="s">
        <v>18</v>
      </c>
      <c r="D18287" s="5">
        <v>1</v>
      </c>
      <c r="E18287" s="5">
        <v>127942</v>
      </c>
    </row>
    <row r="18288" spans="1:5" x14ac:dyDescent="0.35">
      <c r="A18288" s="3">
        <v>46252</v>
      </c>
      <c r="B18288" s="5" t="s">
        <v>315</v>
      </c>
      <c r="C18288" s="5" t="s">
        <v>67</v>
      </c>
      <c r="D18288" s="5">
        <v>1</v>
      </c>
      <c r="E18288" s="5">
        <v>116305</v>
      </c>
    </row>
    <row r="18289" spans="1:5" x14ac:dyDescent="0.35">
      <c r="A18289" s="3">
        <v>46252</v>
      </c>
      <c r="B18289" s="5" t="s">
        <v>258</v>
      </c>
      <c r="C18289" s="5" t="s">
        <v>20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258</v>
      </c>
      <c r="C18290" s="5" t="s">
        <v>20</v>
      </c>
      <c r="D18290" s="5">
        <v>1</v>
      </c>
      <c r="E18290" s="5">
        <v>127942</v>
      </c>
    </row>
    <row r="18291" spans="1:5" x14ac:dyDescent="0.35">
      <c r="A18291" s="3">
        <v>46252</v>
      </c>
      <c r="B18291" s="5" t="s">
        <v>258</v>
      </c>
      <c r="C18291" s="5" t="s">
        <v>18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364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364</v>
      </c>
      <c r="C18293" s="5" t="s">
        <v>65</v>
      </c>
      <c r="D18293" s="5">
        <v>1</v>
      </c>
      <c r="E18293" s="5">
        <v>116305</v>
      </c>
    </row>
    <row r="18294" spans="1:5" x14ac:dyDescent="0.35">
      <c r="A18294" s="3">
        <v>46252</v>
      </c>
      <c r="B18294" s="5" t="s">
        <v>373</v>
      </c>
      <c r="C18294" s="5" t="s">
        <v>25</v>
      </c>
      <c r="D18294" s="5">
        <v>1</v>
      </c>
      <c r="E18294" s="5">
        <v>460318</v>
      </c>
    </row>
    <row r="18295" spans="1:5" x14ac:dyDescent="0.35">
      <c r="A18295" s="3">
        <v>46252</v>
      </c>
      <c r="B18295" s="5" t="s">
        <v>376</v>
      </c>
      <c r="C18295" s="5" t="s">
        <v>50</v>
      </c>
      <c r="D18295" s="5">
        <v>1</v>
      </c>
      <c r="E18295" s="5">
        <v>106305</v>
      </c>
    </row>
    <row r="18296" spans="1:5" x14ac:dyDescent="0.35">
      <c r="A18296" s="3">
        <v>46252</v>
      </c>
      <c r="B18296" s="5" t="s">
        <v>315</v>
      </c>
      <c r="C18296" s="5" t="s">
        <v>66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315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315</v>
      </c>
      <c r="C18298" s="5" t="s">
        <v>66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315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315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315</v>
      </c>
      <c r="C18301" s="5" t="s">
        <v>65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315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315</v>
      </c>
      <c r="C18303" s="5" t="s">
        <v>65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355</v>
      </c>
      <c r="C18304" s="5" t="s">
        <v>18</v>
      </c>
      <c r="D18304" s="5">
        <v>1</v>
      </c>
      <c r="E18304" s="5">
        <v>127942</v>
      </c>
    </row>
    <row r="18305" spans="1:5" x14ac:dyDescent="0.35">
      <c r="A18305" s="3">
        <v>46252</v>
      </c>
      <c r="B18305" s="5" t="s">
        <v>363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258</v>
      </c>
      <c r="C18306" s="5" t="s">
        <v>20</v>
      </c>
      <c r="D18306" s="5">
        <v>1</v>
      </c>
      <c r="E18306" s="5">
        <v>127942</v>
      </c>
    </row>
    <row r="18307" spans="1:5" x14ac:dyDescent="0.35">
      <c r="A18307" s="3">
        <v>46252</v>
      </c>
      <c r="B18307" s="5" t="s">
        <v>237</v>
      </c>
      <c r="C18307" s="5" t="s">
        <v>38</v>
      </c>
      <c r="D18307" s="5">
        <v>1</v>
      </c>
      <c r="E18307" s="5">
        <v>203578</v>
      </c>
    </row>
    <row r="18308" spans="1:5" x14ac:dyDescent="0.35">
      <c r="A18308" s="3">
        <v>46252</v>
      </c>
      <c r="B18308" s="5" t="s">
        <v>354</v>
      </c>
      <c r="C18308" s="5" t="s">
        <v>18</v>
      </c>
      <c r="D18308" s="5">
        <v>1</v>
      </c>
      <c r="E18308" s="5">
        <v>127942</v>
      </c>
    </row>
    <row r="18309" spans="1:5" x14ac:dyDescent="0.35">
      <c r="A18309" s="3">
        <v>46252</v>
      </c>
      <c r="B18309" s="5" t="s">
        <v>258</v>
      </c>
      <c r="C18309" s="5" t="s">
        <v>18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258</v>
      </c>
      <c r="C18310" s="5" t="s">
        <v>20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364</v>
      </c>
      <c r="C18311" s="5" t="s">
        <v>66</v>
      </c>
      <c r="D18311" s="5">
        <v>1</v>
      </c>
      <c r="E18311" s="5">
        <v>116305</v>
      </c>
    </row>
    <row r="18312" spans="1:5" x14ac:dyDescent="0.35">
      <c r="A18312" s="3">
        <v>46252</v>
      </c>
      <c r="B18312" s="5" t="s">
        <v>364</v>
      </c>
      <c r="C18312" s="5" t="s">
        <v>65</v>
      </c>
      <c r="D18312" s="5">
        <v>1</v>
      </c>
      <c r="E18312" s="5">
        <v>116305</v>
      </c>
    </row>
    <row r="18313" spans="1:5" x14ac:dyDescent="0.35">
      <c r="A18313" s="3">
        <v>46252</v>
      </c>
      <c r="B18313" s="5" t="s">
        <v>364</v>
      </c>
      <c r="C18313" s="5" t="s">
        <v>67</v>
      </c>
      <c r="D18313" s="5">
        <v>1</v>
      </c>
      <c r="E18313" s="5">
        <v>116305</v>
      </c>
    </row>
    <row r="18314" spans="1:5" x14ac:dyDescent="0.35">
      <c r="A18314" s="3">
        <v>46252</v>
      </c>
      <c r="B18314" s="5" t="s">
        <v>364</v>
      </c>
      <c r="C18314" s="5" t="s">
        <v>66</v>
      </c>
      <c r="D18314" s="5">
        <v>1</v>
      </c>
      <c r="E18314" s="5">
        <v>116305</v>
      </c>
    </row>
    <row r="18315" spans="1:5" x14ac:dyDescent="0.35">
      <c r="A18315" s="3">
        <v>46252</v>
      </c>
      <c r="B18315" s="5" t="s">
        <v>373</v>
      </c>
      <c r="C18315" s="5" t="s">
        <v>82</v>
      </c>
      <c r="D18315" s="5">
        <v>1</v>
      </c>
      <c r="E18315" s="5">
        <v>70850</v>
      </c>
    </row>
    <row r="18316" spans="1:5" x14ac:dyDescent="0.35">
      <c r="A18316" s="3">
        <v>46252</v>
      </c>
      <c r="B18316" s="5" t="s">
        <v>373</v>
      </c>
      <c r="C18316" s="5" t="s">
        <v>83</v>
      </c>
      <c r="D18316" s="5">
        <v>1</v>
      </c>
      <c r="E18316" s="5">
        <v>70850</v>
      </c>
    </row>
    <row r="18317" spans="1:5" x14ac:dyDescent="0.35">
      <c r="A18317" s="3">
        <v>46252</v>
      </c>
      <c r="B18317" s="5" t="s">
        <v>315</v>
      </c>
      <c r="C18317" s="5" t="s">
        <v>66</v>
      </c>
      <c r="D18317" s="5">
        <v>1</v>
      </c>
      <c r="E18317" s="5">
        <v>116305</v>
      </c>
    </row>
    <row r="18318" spans="1:5" x14ac:dyDescent="0.35">
      <c r="A18318" s="3">
        <v>46252</v>
      </c>
      <c r="B18318" s="5" t="s">
        <v>315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315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315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355</v>
      </c>
      <c r="C18321" s="5" t="s">
        <v>19</v>
      </c>
      <c r="D18321" s="5">
        <v>1</v>
      </c>
      <c r="E18321" s="5">
        <v>127942</v>
      </c>
    </row>
    <row r="18322" spans="1:5" x14ac:dyDescent="0.35">
      <c r="A18322" s="3">
        <v>46252</v>
      </c>
      <c r="B18322" s="5" t="s">
        <v>355</v>
      </c>
      <c r="C18322" s="5" t="s">
        <v>19</v>
      </c>
      <c r="D18322" s="5">
        <v>1</v>
      </c>
      <c r="E18322" s="5">
        <v>127942</v>
      </c>
    </row>
    <row r="18323" spans="1:5" x14ac:dyDescent="0.35">
      <c r="A18323" s="3">
        <v>46252</v>
      </c>
      <c r="B18323" s="5" t="s">
        <v>315</v>
      </c>
      <c r="C18323" s="5" t="s">
        <v>65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354</v>
      </c>
      <c r="C18324" s="5" t="s">
        <v>18</v>
      </c>
      <c r="D18324" s="5">
        <v>1</v>
      </c>
      <c r="E18324" s="5">
        <v>127942</v>
      </c>
    </row>
    <row r="18325" spans="1:5" x14ac:dyDescent="0.35">
      <c r="A18325" s="3">
        <v>46252</v>
      </c>
      <c r="B18325" s="5" t="s">
        <v>355</v>
      </c>
      <c r="C18325" s="5" t="s">
        <v>19</v>
      </c>
      <c r="D18325" s="5">
        <v>1</v>
      </c>
      <c r="E18325" s="5">
        <v>127942</v>
      </c>
    </row>
    <row r="18326" spans="1:5" x14ac:dyDescent="0.35">
      <c r="A18326" s="3">
        <v>46252</v>
      </c>
      <c r="B18326" s="5" t="s">
        <v>354</v>
      </c>
      <c r="C18326" s="5" t="s">
        <v>19</v>
      </c>
      <c r="D18326" s="5">
        <v>1</v>
      </c>
      <c r="E18326" s="5">
        <v>127942</v>
      </c>
    </row>
    <row r="18327" spans="1:5" x14ac:dyDescent="0.35">
      <c r="A18327" s="3">
        <v>46252</v>
      </c>
      <c r="B18327" s="5" t="s">
        <v>363</v>
      </c>
      <c r="C18327" s="5" t="s">
        <v>66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354</v>
      </c>
      <c r="C18328" s="5" t="s">
        <v>19</v>
      </c>
      <c r="D18328" s="5">
        <v>1</v>
      </c>
      <c r="E18328" s="5">
        <v>127942</v>
      </c>
    </row>
    <row r="18329" spans="1:5" x14ac:dyDescent="0.35">
      <c r="A18329" s="3">
        <v>46252</v>
      </c>
      <c r="B18329" s="5" t="s">
        <v>258</v>
      </c>
      <c r="C18329" s="5" t="s">
        <v>19</v>
      </c>
      <c r="D18329" s="5">
        <v>1</v>
      </c>
      <c r="E18329" s="5">
        <v>127942</v>
      </c>
    </row>
    <row r="18330" spans="1:5" x14ac:dyDescent="0.35">
      <c r="A18330" s="3">
        <v>46252</v>
      </c>
      <c r="B18330" s="5" t="s">
        <v>364</v>
      </c>
      <c r="C18330" s="5" t="s">
        <v>65</v>
      </c>
      <c r="D18330" s="5">
        <v>1</v>
      </c>
      <c r="E18330" s="5">
        <v>116305</v>
      </c>
    </row>
    <row r="18331" spans="1:5" x14ac:dyDescent="0.35">
      <c r="A18331" s="3">
        <v>46252</v>
      </c>
      <c r="B18331" s="5" t="s">
        <v>364</v>
      </c>
      <c r="C18331" s="5" t="s">
        <v>65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364</v>
      </c>
      <c r="C18332" s="5" t="s">
        <v>67</v>
      </c>
      <c r="D18332" s="5">
        <v>1</v>
      </c>
      <c r="E18332" s="5">
        <v>116305</v>
      </c>
    </row>
    <row r="18333" spans="1:5" x14ac:dyDescent="0.35">
      <c r="A18333" s="3">
        <v>46252</v>
      </c>
      <c r="B18333" s="5" t="s">
        <v>364</v>
      </c>
      <c r="C18333" s="5" t="s">
        <v>65</v>
      </c>
      <c r="D18333" s="5">
        <v>1</v>
      </c>
      <c r="E18333" s="5">
        <v>116305</v>
      </c>
    </row>
    <row r="18334" spans="1:5" x14ac:dyDescent="0.35">
      <c r="A18334" s="3">
        <v>46252</v>
      </c>
      <c r="B18334" s="5" t="s">
        <v>364</v>
      </c>
      <c r="C18334" s="5" t="s">
        <v>67</v>
      </c>
      <c r="D18334" s="5">
        <v>1</v>
      </c>
      <c r="E18334" s="5">
        <v>116305</v>
      </c>
    </row>
    <row r="18335" spans="1:5" x14ac:dyDescent="0.35">
      <c r="A18335" s="3">
        <v>46252</v>
      </c>
      <c r="B18335" s="5" t="s">
        <v>364</v>
      </c>
      <c r="C18335" s="5" t="s">
        <v>66</v>
      </c>
      <c r="D18335" s="5">
        <v>1</v>
      </c>
      <c r="E18335" s="5">
        <v>116305</v>
      </c>
    </row>
    <row r="18336" spans="1:5" x14ac:dyDescent="0.35">
      <c r="A18336" s="3">
        <v>46252</v>
      </c>
      <c r="B18336" s="5" t="s">
        <v>362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362</v>
      </c>
      <c r="C18337" s="5" t="s">
        <v>67</v>
      </c>
      <c r="D18337" s="5">
        <v>1</v>
      </c>
      <c r="E18337" s="5">
        <v>116305</v>
      </c>
    </row>
    <row r="18338" spans="1:5" x14ac:dyDescent="0.35">
      <c r="A18338" s="3">
        <v>46252</v>
      </c>
      <c r="B18338" s="5" t="s">
        <v>362</v>
      </c>
      <c r="C18338" s="5" t="s">
        <v>66</v>
      </c>
      <c r="D18338" s="5">
        <v>1</v>
      </c>
      <c r="E18338" s="5">
        <v>116305</v>
      </c>
    </row>
    <row r="18339" spans="1:5" x14ac:dyDescent="0.35">
      <c r="A18339" s="3">
        <v>46252</v>
      </c>
      <c r="B18339" s="5" t="s">
        <v>373</v>
      </c>
      <c r="C18339" s="5" t="s">
        <v>106</v>
      </c>
      <c r="D18339" s="5">
        <v>1</v>
      </c>
      <c r="E18339" s="5">
        <v>206759</v>
      </c>
    </row>
    <row r="18340" spans="1:5" x14ac:dyDescent="0.35">
      <c r="A18340" s="3">
        <v>46252</v>
      </c>
      <c r="B18340" s="5" t="s">
        <v>315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315</v>
      </c>
      <c r="C18341" s="5" t="s">
        <v>66</v>
      </c>
      <c r="D18341" s="5">
        <v>1</v>
      </c>
      <c r="E18341" s="5">
        <v>116305</v>
      </c>
    </row>
    <row r="18342" spans="1:5" x14ac:dyDescent="0.35">
      <c r="A18342" s="3">
        <v>46252</v>
      </c>
      <c r="B18342" s="5" t="s">
        <v>315</v>
      </c>
      <c r="C18342" s="5" t="s">
        <v>66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315</v>
      </c>
      <c r="C18343" s="5" t="s">
        <v>66</v>
      </c>
      <c r="D18343" s="5">
        <v>1</v>
      </c>
      <c r="E18343" s="5">
        <v>116305</v>
      </c>
    </row>
    <row r="18344" spans="1:5" x14ac:dyDescent="0.35">
      <c r="A18344" s="3">
        <v>46252</v>
      </c>
      <c r="B18344" s="5" t="s">
        <v>315</v>
      </c>
      <c r="C18344" s="5" t="s">
        <v>65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315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315</v>
      </c>
      <c r="C18346" s="5" t="s">
        <v>67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315</v>
      </c>
      <c r="C18347" s="5" t="s">
        <v>67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140</v>
      </c>
      <c r="C18348" s="5" t="s">
        <v>33</v>
      </c>
      <c r="D18348" s="5">
        <v>1</v>
      </c>
      <c r="E18348" s="5">
        <v>203578</v>
      </c>
    </row>
    <row r="18349" spans="1:5" x14ac:dyDescent="0.35">
      <c r="A18349" s="3">
        <v>46252</v>
      </c>
      <c r="B18349" s="5" t="s">
        <v>355</v>
      </c>
      <c r="C18349" s="5" t="s">
        <v>20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315</v>
      </c>
      <c r="C18350" s="5" t="s">
        <v>67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355</v>
      </c>
      <c r="C18351" s="5" t="s">
        <v>19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354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258</v>
      </c>
      <c r="C18353" s="5" t="s">
        <v>19</v>
      </c>
      <c r="D18353" s="5">
        <v>1</v>
      </c>
      <c r="E18353" s="5">
        <v>127942</v>
      </c>
    </row>
    <row r="18354" spans="1:5" x14ac:dyDescent="0.35">
      <c r="A18354" s="3">
        <v>46252</v>
      </c>
      <c r="B18354" s="5" t="s">
        <v>258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258</v>
      </c>
      <c r="C18355" s="5" t="s">
        <v>18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363</v>
      </c>
      <c r="C18356" s="5" t="s">
        <v>65</v>
      </c>
      <c r="D18356" s="5">
        <v>1</v>
      </c>
      <c r="E18356" s="5">
        <v>116305</v>
      </c>
    </row>
    <row r="18357" spans="1:5" x14ac:dyDescent="0.35">
      <c r="A18357" s="3">
        <v>46252</v>
      </c>
      <c r="B18357" s="5" t="s">
        <v>364</v>
      </c>
      <c r="C18357" s="5" t="s">
        <v>65</v>
      </c>
      <c r="D18357" s="5">
        <v>1</v>
      </c>
      <c r="E18357" s="5">
        <v>116305</v>
      </c>
    </row>
    <row r="18358" spans="1:5" x14ac:dyDescent="0.35">
      <c r="A18358" s="3">
        <v>46252</v>
      </c>
      <c r="B18358" s="5" t="s">
        <v>364</v>
      </c>
      <c r="C18358" s="5" t="s">
        <v>67</v>
      </c>
      <c r="D18358" s="5">
        <v>1</v>
      </c>
      <c r="E18358" s="5">
        <v>116305</v>
      </c>
    </row>
    <row r="18359" spans="1:5" x14ac:dyDescent="0.35">
      <c r="A18359" s="3">
        <v>46252</v>
      </c>
      <c r="B18359" s="5" t="s">
        <v>258</v>
      </c>
      <c r="C18359" s="5" t="s">
        <v>20</v>
      </c>
      <c r="D18359" s="5">
        <v>1</v>
      </c>
      <c r="E18359" s="5">
        <v>127942</v>
      </c>
    </row>
    <row r="18360" spans="1:5" x14ac:dyDescent="0.35">
      <c r="A18360" s="3">
        <v>46252</v>
      </c>
      <c r="B18360" s="5" t="s">
        <v>258</v>
      </c>
      <c r="C18360" s="5" t="s">
        <v>18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362</v>
      </c>
      <c r="C18361" s="5" t="s">
        <v>66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315</v>
      </c>
      <c r="C18362" s="5" t="s">
        <v>66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315</v>
      </c>
      <c r="C18363" s="5" t="s">
        <v>66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315</v>
      </c>
      <c r="C18364" s="5" t="s">
        <v>66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315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315</v>
      </c>
      <c r="C18366" s="5" t="s">
        <v>65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315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355</v>
      </c>
      <c r="C18368" s="5" t="s">
        <v>19</v>
      </c>
      <c r="D18368" s="5">
        <v>1</v>
      </c>
      <c r="E18368" s="5">
        <v>127942</v>
      </c>
    </row>
    <row r="18369" spans="1:5" x14ac:dyDescent="0.35">
      <c r="A18369" s="3">
        <v>46252</v>
      </c>
      <c r="B18369" s="5" t="s">
        <v>237</v>
      </c>
      <c r="C18369" s="5" t="s">
        <v>38</v>
      </c>
      <c r="D18369" s="5">
        <v>1</v>
      </c>
      <c r="E18369" s="5">
        <v>203578</v>
      </c>
    </row>
    <row r="18370" spans="1:5" x14ac:dyDescent="0.35">
      <c r="A18370" s="3">
        <v>46252</v>
      </c>
      <c r="B18370" s="5" t="s">
        <v>355</v>
      </c>
      <c r="C18370" s="5" t="s">
        <v>19</v>
      </c>
      <c r="D18370" s="5">
        <v>1</v>
      </c>
      <c r="E18370" s="5">
        <v>127942</v>
      </c>
    </row>
    <row r="18371" spans="1:5" x14ac:dyDescent="0.35">
      <c r="A18371" s="3">
        <v>46252</v>
      </c>
      <c r="B18371" s="5" t="s">
        <v>258</v>
      </c>
      <c r="C18371" s="5" t="s">
        <v>19</v>
      </c>
      <c r="D18371" s="5">
        <v>1</v>
      </c>
      <c r="E18371" s="5">
        <v>127942</v>
      </c>
    </row>
    <row r="18372" spans="1:5" x14ac:dyDescent="0.35">
      <c r="A18372" s="3">
        <v>46252</v>
      </c>
      <c r="B18372" s="5" t="s">
        <v>258</v>
      </c>
      <c r="C18372" s="5" t="s">
        <v>19</v>
      </c>
      <c r="D18372" s="5">
        <v>1</v>
      </c>
      <c r="E18372" s="5">
        <v>127942</v>
      </c>
    </row>
    <row r="18373" spans="1:5" x14ac:dyDescent="0.35">
      <c r="A18373" s="3">
        <v>46252</v>
      </c>
      <c r="B18373" s="5" t="s">
        <v>258</v>
      </c>
      <c r="C18373" s="5" t="s">
        <v>19</v>
      </c>
      <c r="D18373" s="5">
        <v>1</v>
      </c>
      <c r="E18373" s="5">
        <v>127942</v>
      </c>
    </row>
    <row r="18374" spans="1:5" x14ac:dyDescent="0.35">
      <c r="A18374" s="3">
        <v>46252</v>
      </c>
      <c r="B18374" s="5" t="s">
        <v>362</v>
      </c>
      <c r="C18374" s="5" t="s">
        <v>66</v>
      </c>
      <c r="D18374" s="5">
        <v>1</v>
      </c>
      <c r="E18374" s="5">
        <v>116305</v>
      </c>
    </row>
    <row r="18375" spans="1:5" x14ac:dyDescent="0.35">
      <c r="A18375" s="3">
        <v>46252</v>
      </c>
      <c r="B18375" s="5" t="s">
        <v>373</v>
      </c>
      <c r="C18375" s="5" t="s">
        <v>93</v>
      </c>
      <c r="D18375" s="5">
        <v>1</v>
      </c>
      <c r="E18375" s="5">
        <v>50168</v>
      </c>
    </row>
    <row r="18376" spans="1:5" x14ac:dyDescent="0.35">
      <c r="A18376" s="3">
        <v>46252</v>
      </c>
      <c r="B18376" s="5" t="s">
        <v>315</v>
      </c>
      <c r="C18376" s="5" t="s">
        <v>66</v>
      </c>
      <c r="D18376" s="5">
        <v>1</v>
      </c>
      <c r="E18376" s="5">
        <v>116305</v>
      </c>
    </row>
    <row r="18377" spans="1:5" x14ac:dyDescent="0.35">
      <c r="A18377" s="3">
        <v>46252</v>
      </c>
      <c r="B18377" s="5" t="s">
        <v>315</v>
      </c>
      <c r="C18377" s="5" t="s">
        <v>65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315</v>
      </c>
      <c r="C18378" s="5" t="s">
        <v>65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315</v>
      </c>
      <c r="C18379" s="5" t="s">
        <v>67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355</v>
      </c>
      <c r="C18380" s="5" t="s">
        <v>19</v>
      </c>
      <c r="D18380" s="5">
        <v>1</v>
      </c>
      <c r="E18380" s="5">
        <v>127942</v>
      </c>
    </row>
    <row r="18381" spans="1:5" x14ac:dyDescent="0.35">
      <c r="A18381" s="3">
        <v>46252</v>
      </c>
      <c r="B18381" s="5" t="s">
        <v>258</v>
      </c>
      <c r="C18381" s="5" t="s">
        <v>20</v>
      </c>
      <c r="D18381" s="5">
        <v>1</v>
      </c>
      <c r="E18381" s="5">
        <v>127942</v>
      </c>
    </row>
    <row r="18382" spans="1:5" x14ac:dyDescent="0.35">
      <c r="A18382" s="3">
        <v>46252</v>
      </c>
      <c r="B18382" s="5" t="s">
        <v>364</v>
      </c>
      <c r="C18382" s="5" t="s">
        <v>66</v>
      </c>
      <c r="D18382" s="5">
        <v>1</v>
      </c>
      <c r="E18382" s="5">
        <v>116305</v>
      </c>
    </row>
    <row r="18383" spans="1:5" x14ac:dyDescent="0.35">
      <c r="A18383" s="3">
        <v>46252</v>
      </c>
      <c r="B18383" s="5" t="s">
        <v>364</v>
      </c>
      <c r="C18383" s="5" t="s">
        <v>65</v>
      </c>
      <c r="D18383" s="5">
        <v>1</v>
      </c>
      <c r="E18383" s="5">
        <v>116305</v>
      </c>
    </row>
    <row r="18384" spans="1:5" x14ac:dyDescent="0.35">
      <c r="A18384" s="3">
        <v>46252</v>
      </c>
      <c r="B18384" s="5" t="s">
        <v>258</v>
      </c>
      <c r="C18384" s="5" t="s">
        <v>18</v>
      </c>
      <c r="D18384" s="5">
        <v>1</v>
      </c>
      <c r="E18384" s="5">
        <v>127942</v>
      </c>
    </row>
    <row r="18385" spans="1:5" x14ac:dyDescent="0.35">
      <c r="A18385" s="3">
        <v>46252</v>
      </c>
      <c r="B18385" s="5" t="s">
        <v>373</v>
      </c>
      <c r="C18385" s="5" t="s">
        <v>18</v>
      </c>
      <c r="D18385" s="5">
        <v>1</v>
      </c>
      <c r="E18385" s="5">
        <v>129941</v>
      </c>
    </row>
    <row r="18386" spans="1:5" x14ac:dyDescent="0.35">
      <c r="A18386" s="3">
        <v>46252</v>
      </c>
      <c r="B18386" s="5" t="s">
        <v>315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315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315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315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315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315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315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258</v>
      </c>
      <c r="C18393" s="5" t="s">
        <v>20</v>
      </c>
      <c r="D18393" s="5">
        <v>1</v>
      </c>
      <c r="E18393" s="5">
        <v>127942</v>
      </c>
    </row>
    <row r="18394" spans="1:5" x14ac:dyDescent="0.35">
      <c r="A18394" s="3">
        <v>46252</v>
      </c>
      <c r="B18394" s="5" t="s">
        <v>355</v>
      </c>
      <c r="C18394" s="5" t="s">
        <v>18</v>
      </c>
      <c r="D18394" s="5">
        <v>1</v>
      </c>
      <c r="E18394" s="5">
        <v>127942</v>
      </c>
    </row>
    <row r="18395" spans="1:5" x14ac:dyDescent="0.35">
      <c r="A18395" s="3">
        <v>46252</v>
      </c>
      <c r="B18395" s="5" t="s">
        <v>258</v>
      </c>
      <c r="C18395" s="5" t="s">
        <v>20</v>
      </c>
      <c r="D18395" s="5">
        <v>1</v>
      </c>
      <c r="E18395" s="5">
        <v>127942</v>
      </c>
    </row>
    <row r="18396" spans="1:5" x14ac:dyDescent="0.35">
      <c r="A18396" s="3">
        <v>46252</v>
      </c>
      <c r="B18396" s="5" t="s">
        <v>363</v>
      </c>
      <c r="C18396" s="5" t="s">
        <v>66</v>
      </c>
      <c r="D18396" s="5">
        <v>1</v>
      </c>
      <c r="E18396" s="5">
        <v>116305</v>
      </c>
    </row>
    <row r="18397" spans="1:5" x14ac:dyDescent="0.35">
      <c r="A18397" s="3">
        <v>46252</v>
      </c>
      <c r="B18397" s="5" t="s">
        <v>258</v>
      </c>
      <c r="C18397" s="5" t="s">
        <v>18</v>
      </c>
      <c r="D18397" s="5">
        <v>1</v>
      </c>
      <c r="E18397" s="5">
        <v>127942</v>
      </c>
    </row>
    <row r="18398" spans="1:5" x14ac:dyDescent="0.35">
      <c r="A18398" s="3">
        <v>46252</v>
      </c>
      <c r="B18398" s="5" t="s">
        <v>258</v>
      </c>
      <c r="C18398" s="5" t="s">
        <v>18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364</v>
      </c>
      <c r="C18399" s="5" t="s">
        <v>66</v>
      </c>
      <c r="D18399" s="5">
        <v>1</v>
      </c>
      <c r="E18399" s="5">
        <v>116305</v>
      </c>
    </row>
    <row r="18400" spans="1:5" x14ac:dyDescent="0.35">
      <c r="A18400" s="3">
        <v>46252</v>
      </c>
      <c r="B18400" s="5" t="s">
        <v>364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258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373</v>
      </c>
      <c r="C18402" s="5" t="s">
        <v>18</v>
      </c>
      <c r="D18402" s="5">
        <v>1</v>
      </c>
      <c r="E18402" s="5">
        <v>129941</v>
      </c>
    </row>
    <row r="18403" spans="1:5" x14ac:dyDescent="0.35">
      <c r="A18403" s="3">
        <v>46252</v>
      </c>
      <c r="B18403" s="5" t="s">
        <v>244</v>
      </c>
      <c r="C18403" s="5" t="s">
        <v>18</v>
      </c>
      <c r="D18403" s="5">
        <v>1</v>
      </c>
      <c r="E18403" s="5">
        <v>129941</v>
      </c>
    </row>
    <row r="18404" spans="1:5" x14ac:dyDescent="0.35">
      <c r="A18404" s="3">
        <v>46252</v>
      </c>
      <c r="B18404" s="5" t="s">
        <v>315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315</v>
      </c>
      <c r="C18405" s="5" t="s">
        <v>66</v>
      </c>
      <c r="D18405" s="5">
        <v>1</v>
      </c>
      <c r="E18405" s="5">
        <v>116305</v>
      </c>
    </row>
    <row r="18406" spans="1:5" x14ac:dyDescent="0.35">
      <c r="A18406" s="3">
        <v>46252</v>
      </c>
      <c r="B18406" s="5" t="s">
        <v>315</v>
      </c>
      <c r="C18406" s="5" t="s">
        <v>66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315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315</v>
      </c>
      <c r="C18408" s="5" t="s">
        <v>66</v>
      </c>
      <c r="D18408" s="5">
        <v>1</v>
      </c>
      <c r="E18408" s="5">
        <v>116305</v>
      </c>
    </row>
    <row r="18409" spans="1:5" x14ac:dyDescent="0.35">
      <c r="A18409" s="3">
        <v>46252</v>
      </c>
      <c r="B18409" s="5" t="s">
        <v>315</v>
      </c>
      <c r="C18409" s="5" t="s">
        <v>65</v>
      </c>
      <c r="D18409" s="5">
        <v>1</v>
      </c>
      <c r="E18409" s="5">
        <v>116305</v>
      </c>
    </row>
    <row r="18410" spans="1:5" x14ac:dyDescent="0.35">
      <c r="A18410" s="3">
        <v>46252</v>
      </c>
      <c r="B18410" s="5" t="s">
        <v>315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237</v>
      </c>
      <c r="C18411" s="5" t="s">
        <v>38</v>
      </c>
      <c r="D18411" s="5">
        <v>1</v>
      </c>
      <c r="E18411" s="5">
        <v>203578</v>
      </c>
    </row>
    <row r="18412" spans="1:5" x14ac:dyDescent="0.35">
      <c r="A18412" s="3">
        <v>46252</v>
      </c>
      <c r="B18412" s="5" t="s">
        <v>258</v>
      </c>
      <c r="C18412" s="5" t="s">
        <v>19</v>
      </c>
      <c r="D18412" s="5">
        <v>1</v>
      </c>
      <c r="E18412" s="5">
        <v>127942</v>
      </c>
    </row>
    <row r="18413" spans="1:5" x14ac:dyDescent="0.35">
      <c r="A18413" s="3">
        <v>46252</v>
      </c>
      <c r="B18413" s="5" t="s">
        <v>258</v>
      </c>
      <c r="C18413" s="5" t="s">
        <v>20</v>
      </c>
      <c r="D18413" s="5">
        <v>1</v>
      </c>
      <c r="E18413" s="5">
        <v>127942</v>
      </c>
    </row>
    <row r="18414" spans="1:5" x14ac:dyDescent="0.35">
      <c r="A18414" s="3">
        <v>46252</v>
      </c>
      <c r="B18414" s="5" t="s">
        <v>355</v>
      </c>
      <c r="C18414" s="5" t="s">
        <v>19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355</v>
      </c>
      <c r="C18415" s="5" t="s">
        <v>18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364</v>
      </c>
      <c r="C18416" s="5" t="s">
        <v>66</v>
      </c>
      <c r="D18416" s="5">
        <v>1</v>
      </c>
      <c r="E18416" s="5">
        <v>116305</v>
      </c>
    </row>
    <row r="18417" spans="1:5" x14ac:dyDescent="0.35">
      <c r="A18417" s="3">
        <v>46252</v>
      </c>
      <c r="B18417" s="5" t="s">
        <v>258</v>
      </c>
      <c r="C18417" s="5" t="s">
        <v>18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258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258</v>
      </c>
      <c r="C18419" s="5" t="s">
        <v>18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364</v>
      </c>
      <c r="C18420" s="5" t="s">
        <v>66</v>
      </c>
      <c r="D18420" s="5">
        <v>1</v>
      </c>
      <c r="E18420" s="5">
        <v>116305</v>
      </c>
    </row>
    <row r="18421" spans="1:5" x14ac:dyDescent="0.35">
      <c r="A18421" s="3">
        <v>46252</v>
      </c>
      <c r="B18421" s="5" t="s">
        <v>364</v>
      </c>
      <c r="C18421" s="5" t="s">
        <v>65</v>
      </c>
      <c r="D18421" s="5">
        <v>1</v>
      </c>
      <c r="E18421" s="5">
        <v>116305</v>
      </c>
    </row>
    <row r="18422" spans="1:5" x14ac:dyDescent="0.35">
      <c r="A18422" s="3">
        <v>46252</v>
      </c>
      <c r="B18422" s="5" t="s">
        <v>364</v>
      </c>
      <c r="C18422" s="5" t="s">
        <v>66</v>
      </c>
      <c r="D18422" s="5">
        <v>1</v>
      </c>
      <c r="E18422" s="5">
        <v>116305</v>
      </c>
    </row>
    <row r="18423" spans="1:5" x14ac:dyDescent="0.35">
      <c r="A18423" s="3">
        <v>46252</v>
      </c>
      <c r="B18423" s="5" t="s">
        <v>373</v>
      </c>
      <c r="C18423" s="5" t="s">
        <v>18</v>
      </c>
      <c r="D18423" s="5">
        <v>1</v>
      </c>
      <c r="E18423" s="5">
        <v>129941</v>
      </c>
    </row>
    <row r="18424" spans="1:5" x14ac:dyDescent="0.35">
      <c r="A18424" s="3">
        <v>46252</v>
      </c>
      <c r="B18424" s="5" t="s">
        <v>373</v>
      </c>
      <c r="C18424" s="5" t="s">
        <v>93</v>
      </c>
      <c r="D18424" s="5">
        <v>1</v>
      </c>
      <c r="E18424" s="5">
        <v>50168</v>
      </c>
    </row>
    <row r="18425" spans="1:5" x14ac:dyDescent="0.35">
      <c r="A18425" s="3">
        <v>46252</v>
      </c>
      <c r="B18425" s="5" t="s">
        <v>315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315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315</v>
      </c>
      <c r="C18427" s="5" t="s">
        <v>66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315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315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315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355</v>
      </c>
      <c r="C18431" s="5" t="s">
        <v>20</v>
      </c>
      <c r="D18431" s="5">
        <v>1</v>
      </c>
      <c r="E18431" s="5">
        <v>127942</v>
      </c>
    </row>
    <row r="18432" spans="1:5" x14ac:dyDescent="0.35">
      <c r="A18432" s="3">
        <v>46252</v>
      </c>
      <c r="B18432" s="5" t="s">
        <v>315</v>
      </c>
      <c r="C18432" s="5" t="s">
        <v>65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315</v>
      </c>
      <c r="C18433" s="5" t="s">
        <v>67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258</v>
      </c>
      <c r="C18434" s="5" t="s">
        <v>20</v>
      </c>
      <c r="D18434" s="5">
        <v>1</v>
      </c>
      <c r="E18434" s="5">
        <v>127942</v>
      </c>
    </row>
    <row r="18435" spans="1:5" x14ac:dyDescent="0.35">
      <c r="A18435" s="3">
        <v>46252</v>
      </c>
      <c r="B18435" s="5" t="s">
        <v>258</v>
      </c>
      <c r="C18435" s="5" t="s">
        <v>18</v>
      </c>
      <c r="D18435" s="5">
        <v>1</v>
      </c>
      <c r="E18435" s="5">
        <v>127942</v>
      </c>
    </row>
    <row r="18436" spans="1:5" x14ac:dyDescent="0.35">
      <c r="A18436" s="3">
        <v>46252</v>
      </c>
      <c r="B18436" s="5" t="s">
        <v>258</v>
      </c>
      <c r="C18436" s="5" t="s">
        <v>20</v>
      </c>
      <c r="D18436" s="5">
        <v>1</v>
      </c>
      <c r="E18436" s="5">
        <v>127942</v>
      </c>
    </row>
    <row r="18437" spans="1:5" x14ac:dyDescent="0.35">
      <c r="A18437" s="3">
        <v>46252</v>
      </c>
      <c r="B18437" s="5" t="s">
        <v>258</v>
      </c>
      <c r="C18437" s="5" t="s">
        <v>18</v>
      </c>
      <c r="D18437" s="5">
        <v>1</v>
      </c>
      <c r="E18437" s="5">
        <v>127942</v>
      </c>
    </row>
    <row r="18438" spans="1:5" x14ac:dyDescent="0.35">
      <c r="A18438" s="3">
        <v>46252</v>
      </c>
      <c r="B18438" s="5" t="s">
        <v>258</v>
      </c>
      <c r="C18438" s="5" t="s">
        <v>18</v>
      </c>
      <c r="D18438" s="5">
        <v>1</v>
      </c>
      <c r="E18438" s="5">
        <v>127942</v>
      </c>
    </row>
    <row r="18439" spans="1:5" x14ac:dyDescent="0.35">
      <c r="A18439" s="3">
        <v>46252</v>
      </c>
      <c r="B18439" s="5" t="s">
        <v>258</v>
      </c>
      <c r="C18439" s="5" t="s">
        <v>19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364</v>
      </c>
      <c r="C18440" s="5" t="s">
        <v>66</v>
      </c>
      <c r="D18440" s="5">
        <v>1</v>
      </c>
      <c r="E18440" s="5">
        <v>116305</v>
      </c>
    </row>
    <row r="18441" spans="1:5" x14ac:dyDescent="0.35">
      <c r="A18441" s="3">
        <v>46252</v>
      </c>
      <c r="B18441" s="5" t="s">
        <v>258</v>
      </c>
      <c r="C18441" s="5" t="s">
        <v>18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258</v>
      </c>
      <c r="C18442" s="5" t="s">
        <v>19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258</v>
      </c>
      <c r="C18443" s="5" t="s">
        <v>18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258</v>
      </c>
      <c r="C18444" s="5" t="s">
        <v>18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373</v>
      </c>
      <c r="C18445" s="5" t="s">
        <v>18</v>
      </c>
      <c r="D18445" s="5">
        <v>1</v>
      </c>
      <c r="E18445" s="5">
        <v>129941</v>
      </c>
    </row>
    <row r="18446" spans="1:5" x14ac:dyDescent="0.35">
      <c r="A18446" s="3">
        <v>46252</v>
      </c>
      <c r="B18446" s="5" t="s">
        <v>373</v>
      </c>
      <c r="C18446" s="5" t="s">
        <v>28</v>
      </c>
      <c r="D18446" s="5">
        <v>1</v>
      </c>
      <c r="E18446" s="5">
        <v>118123</v>
      </c>
    </row>
    <row r="18447" spans="1:5" x14ac:dyDescent="0.35">
      <c r="A18447" s="3">
        <v>46252</v>
      </c>
      <c r="B18447" s="5" t="s">
        <v>315</v>
      </c>
      <c r="C18447" s="5" t="s">
        <v>66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315</v>
      </c>
      <c r="C18448" s="5" t="s">
        <v>66</v>
      </c>
      <c r="D18448" s="5">
        <v>1</v>
      </c>
      <c r="E18448" s="5">
        <v>116305</v>
      </c>
    </row>
    <row r="18449" spans="1:5" x14ac:dyDescent="0.35">
      <c r="A18449" s="3">
        <v>46252</v>
      </c>
      <c r="B18449" s="5" t="s">
        <v>315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315</v>
      </c>
      <c r="C18450" s="5" t="s">
        <v>66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315</v>
      </c>
      <c r="C18451" s="5" t="s">
        <v>66</v>
      </c>
      <c r="D18451" s="5">
        <v>1</v>
      </c>
      <c r="E18451" s="5">
        <v>116305</v>
      </c>
    </row>
    <row r="18452" spans="1:5" x14ac:dyDescent="0.35">
      <c r="A18452" s="3">
        <v>46252</v>
      </c>
      <c r="B18452" s="5" t="s">
        <v>315</v>
      </c>
      <c r="C18452" s="5" t="s">
        <v>66</v>
      </c>
      <c r="D18452" s="5">
        <v>1</v>
      </c>
      <c r="E18452" s="5">
        <v>116305</v>
      </c>
    </row>
    <row r="18453" spans="1:5" x14ac:dyDescent="0.35">
      <c r="A18453" s="3">
        <v>46252</v>
      </c>
      <c r="B18453" s="5" t="s">
        <v>315</v>
      </c>
      <c r="C18453" s="5" t="s">
        <v>67</v>
      </c>
      <c r="D18453" s="5">
        <v>1</v>
      </c>
      <c r="E18453" s="5">
        <v>116305</v>
      </c>
    </row>
    <row r="18454" spans="1:5" x14ac:dyDescent="0.35">
      <c r="A18454" s="3">
        <v>46252</v>
      </c>
      <c r="B18454" s="5" t="s">
        <v>355</v>
      </c>
      <c r="C18454" s="5" t="s">
        <v>20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355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258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355</v>
      </c>
      <c r="C18457" s="5" t="s">
        <v>20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258</v>
      </c>
      <c r="C18458" s="5" t="s">
        <v>20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355</v>
      </c>
      <c r="C18459" s="5" t="s">
        <v>19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258</v>
      </c>
      <c r="C18460" s="5" t="s">
        <v>20</v>
      </c>
      <c r="D18460" s="5">
        <v>1</v>
      </c>
      <c r="E18460" s="5">
        <v>127942</v>
      </c>
    </row>
    <row r="18461" spans="1:5" x14ac:dyDescent="0.35">
      <c r="A18461" s="3">
        <v>46252</v>
      </c>
      <c r="B18461" s="5" t="s">
        <v>355</v>
      </c>
      <c r="C18461" s="5" t="s">
        <v>19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258</v>
      </c>
      <c r="C18462" s="5" t="s">
        <v>18</v>
      </c>
      <c r="D18462" s="5">
        <v>1</v>
      </c>
      <c r="E18462" s="5">
        <v>127942</v>
      </c>
    </row>
    <row r="18463" spans="1:5" x14ac:dyDescent="0.35">
      <c r="A18463" s="3">
        <v>46252</v>
      </c>
      <c r="B18463" s="5" t="s">
        <v>258</v>
      </c>
      <c r="C18463" s="5" t="s">
        <v>18</v>
      </c>
      <c r="D18463" s="5">
        <v>1</v>
      </c>
      <c r="E18463" s="5">
        <v>127942</v>
      </c>
    </row>
    <row r="18464" spans="1:5" x14ac:dyDescent="0.35">
      <c r="A18464" s="3">
        <v>46252</v>
      </c>
      <c r="B18464" s="5" t="s">
        <v>258</v>
      </c>
      <c r="C18464" s="5" t="s">
        <v>20</v>
      </c>
      <c r="D18464" s="5">
        <v>1</v>
      </c>
      <c r="E18464" s="5">
        <v>127942</v>
      </c>
    </row>
    <row r="18465" spans="1:5" x14ac:dyDescent="0.35">
      <c r="A18465" s="3">
        <v>46252</v>
      </c>
      <c r="B18465" s="5" t="s">
        <v>364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258</v>
      </c>
      <c r="C18466" s="5" t="s">
        <v>20</v>
      </c>
      <c r="D18466" s="5">
        <v>1</v>
      </c>
      <c r="E18466" s="5">
        <v>127942</v>
      </c>
    </row>
    <row r="18467" spans="1:5" x14ac:dyDescent="0.35">
      <c r="A18467" s="3">
        <v>46252</v>
      </c>
      <c r="B18467" s="5" t="s">
        <v>258</v>
      </c>
      <c r="C18467" s="5" t="s">
        <v>18</v>
      </c>
      <c r="D18467" s="5">
        <v>1</v>
      </c>
      <c r="E18467" s="5">
        <v>127942</v>
      </c>
    </row>
    <row r="18468" spans="1:5" x14ac:dyDescent="0.35">
      <c r="A18468" s="3">
        <v>46252</v>
      </c>
      <c r="B18468" s="5" t="s">
        <v>364</v>
      </c>
      <c r="C18468" s="5" t="s">
        <v>66</v>
      </c>
      <c r="D18468" s="5">
        <v>1</v>
      </c>
      <c r="E18468" s="5">
        <v>116305</v>
      </c>
    </row>
    <row r="18469" spans="1:5" x14ac:dyDescent="0.35">
      <c r="A18469" s="3">
        <v>46252</v>
      </c>
      <c r="B18469" s="5" t="s">
        <v>315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315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315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315</v>
      </c>
      <c r="C18472" s="5" t="s">
        <v>65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315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315</v>
      </c>
      <c r="C18474" s="5" t="s">
        <v>67</v>
      </c>
      <c r="D18474" s="5">
        <v>1</v>
      </c>
      <c r="E18474" s="5">
        <v>116305</v>
      </c>
    </row>
    <row r="18475" spans="1:5" x14ac:dyDescent="0.35">
      <c r="A18475" s="3">
        <v>46252</v>
      </c>
      <c r="B18475" s="5" t="s">
        <v>315</v>
      </c>
      <c r="C18475" s="5" t="s">
        <v>67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315</v>
      </c>
      <c r="C18476" s="5" t="s">
        <v>67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355</v>
      </c>
      <c r="C18477" s="5" t="s">
        <v>18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258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355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258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258</v>
      </c>
      <c r="C18481" s="5" t="s">
        <v>20</v>
      </c>
      <c r="D18481" s="5">
        <v>1</v>
      </c>
      <c r="E18481" s="5">
        <v>127942</v>
      </c>
    </row>
    <row r="18482" spans="1:5" x14ac:dyDescent="0.35">
      <c r="A18482" s="3">
        <v>46252</v>
      </c>
      <c r="B18482" s="5" t="s">
        <v>258</v>
      </c>
      <c r="C18482" s="5" t="s">
        <v>18</v>
      </c>
      <c r="D18482" s="5">
        <v>1</v>
      </c>
      <c r="E18482" s="5">
        <v>127942</v>
      </c>
    </row>
    <row r="18483" spans="1:5" x14ac:dyDescent="0.35">
      <c r="A18483" s="3">
        <v>46252</v>
      </c>
      <c r="B18483" s="5" t="s">
        <v>258</v>
      </c>
      <c r="C18483" s="5" t="s">
        <v>18</v>
      </c>
      <c r="D18483" s="5">
        <v>1</v>
      </c>
      <c r="E18483" s="5">
        <v>127942</v>
      </c>
    </row>
    <row r="18484" spans="1:5" x14ac:dyDescent="0.35">
      <c r="A18484" s="3">
        <v>46252</v>
      </c>
      <c r="B18484" s="5" t="s">
        <v>258</v>
      </c>
      <c r="C18484" s="5" t="s">
        <v>18</v>
      </c>
      <c r="D18484" s="5">
        <v>1</v>
      </c>
      <c r="E18484" s="5">
        <v>127942</v>
      </c>
    </row>
    <row r="18485" spans="1:5" x14ac:dyDescent="0.35">
      <c r="A18485" s="3">
        <v>46252</v>
      </c>
      <c r="B18485" s="5" t="s">
        <v>364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364</v>
      </c>
      <c r="C18486" s="5" t="s">
        <v>65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364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364</v>
      </c>
      <c r="C18488" s="5" t="s">
        <v>67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364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373</v>
      </c>
      <c r="C18490" s="5" t="s">
        <v>18</v>
      </c>
      <c r="D18490" s="5">
        <v>1</v>
      </c>
      <c r="E18490" s="5">
        <v>129941</v>
      </c>
    </row>
    <row r="18491" spans="1:5" x14ac:dyDescent="0.35">
      <c r="A18491" s="3">
        <v>46252</v>
      </c>
      <c r="B18491" s="5" t="s">
        <v>373</v>
      </c>
      <c r="C18491" s="5" t="s">
        <v>18</v>
      </c>
      <c r="D18491" s="5">
        <v>1</v>
      </c>
      <c r="E18491" s="5">
        <v>129941</v>
      </c>
    </row>
    <row r="18492" spans="1:5" x14ac:dyDescent="0.35">
      <c r="A18492" s="3">
        <v>46252</v>
      </c>
      <c r="B18492" s="5" t="s">
        <v>315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315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315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315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315</v>
      </c>
      <c r="C18496" s="5" t="s">
        <v>65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355</v>
      </c>
      <c r="C18497" s="5" t="s">
        <v>20</v>
      </c>
      <c r="D18497" s="5">
        <v>1</v>
      </c>
      <c r="E18497" s="5">
        <v>127942</v>
      </c>
    </row>
    <row r="18498" spans="1:5" x14ac:dyDescent="0.35">
      <c r="A18498" s="3">
        <v>46252</v>
      </c>
      <c r="B18498" s="5" t="s">
        <v>258</v>
      </c>
      <c r="C18498" s="5" t="s">
        <v>19</v>
      </c>
      <c r="D18498" s="5">
        <v>1</v>
      </c>
      <c r="E18498" s="5">
        <v>127942</v>
      </c>
    </row>
    <row r="18499" spans="1:5" x14ac:dyDescent="0.35">
      <c r="A18499" s="3">
        <v>46252</v>
      </c>
      <c r="B18499" s="5" t="s">
        <v>258</v>
      </c>
      <c r="C18499" s="5" t="s">
        <v>19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258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258</v>
      </c>
      <c r="C18501" s="5" t="s">
        <v>19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364</v>
      </c>
      <c r="C18502" s="5" t="s">
        <v>66</v>
      </c>
      <c r="D18502" s="5">
        <v>1</v>
      </c>
      <c r="E18502" s="5">
        <v>116305</v>
      </c>
    </row>
    <row r="18503" spans="1:5" x14ac:dyDescent="0.35">
      <c r="A18503" s="3">
        <v>46252</v>
      </c>
      <c r="B18503" s="5" t="s">
        <v>364</v>
      </c>
      <c r="C18503" s="5" t="s">
        <v>66</v>
      </c>
      <c r="D18503" s="5">
        <v>1</v>
      </c>
      <c r="E18503" s="5">
        <v>116305</v>
      </c>
    </row>
    <row r="18504" spans="1:5" x14ac:dyDescent="0.35">
      <c r="A18504" s="3">
        <v>46252</v>
      </c>
      <c r="B18504" s="5" t="s">
        <v>315</v>
      </c>
      <c r="C18504" s="5" t="s">
        <v>66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315</v>
      </c>
      <c r="C18505" s="5" t="s">
        <v>66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315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315</v>
      </c>
      <c r="C18507" s="5" t="s">
        <v>65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315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315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363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355</v>
      </c>
      <c r="C18511" s="5" t="s">
        <v>18</v>
      </c>
      <c r="D18511" s="5">
        <v>1</v>
      </c>
      <c r="E18511" s="5">
        <v>127942</v>
      </c>
    </row>
    <row r="18512" spans="1:5" x14ac:dyDescent="0.35">
      <c r="A18512" s="3">
        <v>46252</v>
      </c>
      <c r="B18512" s="5" t="s">
        <v>258</v>
      </c>
      <c r="C18512" s="5" t="s">
        <v>18</v>
      </c>
      <c r="D18512" s="5">
        <v>1</v>
      </c>
      <c r="E18512" s="5">
        <v>127942</v>
      </c>
    </row>
    <row r="18513" spans="1:5" x14ac:dyDescent="0.35">
      <c r="A18513" s="3">
        <v>46252</v>
      </c>
      <c r="B18513" s="5" t="s">
        <v>364</v>
      </c>
      <c r="C18513" s="5" t="s">
        <v>66</v>
      </c>
      <c r="D18513" s="5">
        <v>1</v>
      </c>
      <c r="E18513" s="5">
        <v>116305</v>
      </c>
    </row>
    <row r="18514" spans="1:5" x14ac:dyDescent="0.35">
      <c r="A18514" s="3">
        <v>46252</v>
      </c>
      <c r="B18514" s="5" t="s">
        <v>362</v>
      </c>
      <c r="C18514" s="5" t="s">
        <v>65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362</v>
      </c>
      <c r="C18515" s="5" t="s">
        <v>65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362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373</v>
      </c>
      <c r="C18517" s="5" t="s">
        <v>18</v>
      </c>
      <c r="D18517" s="5">
        <v>1</v>
      </c>
      <c r="E18517" s="5">
        <v>129941</v>
      </c>
    </row>
    <row r="18518" spans="1:5" x14ac:dyDescent="0.35">
      <c r="A18518" s="3">
        <v>46252</v>
      </c>
      <c r="B18518" s="5" t="s">
        <v>244</v>
      </c>
      <c r="C18518" s="5" t="s">
        <v>18</v>
      </c>
      <c r="D18518" s="5">
        <v>1</v>
      </c>
      <c r="E18518" s="5">
        <v>129941</v>
      </c>
    </row>
    <row r="18519" spans="1:5" x14ac:dyDescent="0.35">
      <c r="A18519" s="3">
        <v>46252</v>
      </c>
      <c r="B18519" s="5" t="s">
        <v>244</v>
      </c>
      <c r="C18519" s="5" t="s">
        <v>18</v>
      </c>
      <c r="D18519" s="5">
        <v>1</v>
      </c>
      <c r="E18519" s="5">
        <v>129941</v>
      </c>
    </row>
    <row r="18520" spans="1:5" x14ac:dyDescent="0.35">
      <c r="A18520" s="3">
        <v>46252</v>
      </c>
      <c r="B18520" s="5" t="s">
        <v>244</v>
      </c>
      <c r="C18520" s="5" t="s">
        <v>17</v>
      </c>
      <c r="D18520" s="5">
        <v>1</v>
      </c>
      <c r="E18520" s="5">
        <v>236305</v>
      </c>
    </row>
    <row r="18521" spans="1:5" x14ac:dyDescent="0.35">
      <c r="A18521" s="3">
        <v>46252</v>
      </c>
      <c r="B18521" s="5" t="s">
        <v>376</v>
      </c>
      <c r="C18521" s="5" t="s">
        <v>50</v>
      </c>
      <c r="D18521" s="5">
        <v>1</v>
      </c>
      <c r="E18521" s="5">
        <v>106305</v>
      </c>
    </row>
    <row r="18522" spans="1:5" x14ac:dyDescent="0.35">
      <c r="A18522" s="3">
        <v>46252</v>
      </c>
      <c r="B18522" s="5" t="s">
        <v>315</v>
      </c>
      <c r="C18522" s="5" t="s">
        <v>66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315</v>
      </c>
      <c r="C18523" s="5" t="s">
        <v>66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315</v>
      </c>
      <c r="C18524" s="5" t="s">
        <v>66</v>
      </c>
      <c r="D18524" s="5">
        <v>1</v>
      </c>
      <c r="E18524" s="5">
        <v>116305</v>
      </c>
    </row>
    <row r="18525" spans="1:5" x14ac:dyDescent="0.35">
      <c r="A18525" s="3">
        <v>46252</v>
      </c>
      <c r="B18525" s="5" t="s">
        <v>315</v>
      </c>
      <c r="C18525" s="5" t="s">
        <v>67</v>
      </c>
      <c r="D18525" s="5">
        <v>1</v>
      </c>
      <c r="E18525" s="5">
        <v>116305</v>
      </c>
    </row>
    <row r="18526" spans="1:5" x14ac:dyDescent="0.35">
      <c r="A18526" s="3">
        <v>46252</v>
      </c>
      <c r="B18526" s="5" t="s">
        <v>140</v>
      </c>
      <c r="C18526" s="5" t="s">
        <v>42</v>
      </c>
      <c r="D18526" s="5">
        <v>1</v>
      </c>
      <c r="E18526" s="5">
        <v>203578</v>
      </c>
    </row>
    <row r="18527" spans="1:5" x14ac:dyDescent="0.35">
      <c r="A18527" s="3">
        <v>46252</v>
      </c>
      <c r="B18527" s="5" t="s">
        <v>315</v>
      </c>
      <c r="C18527" s="5" t="s">
        <v>65</v>
      </c>
      <c r="D18527" s="5">
        <v>1</v>
      </c>
      <c r="E18527" s="5">
        <v>116305</v>
      </c>
    </row>
    <row r="18528" spans="1:5" x14ac:dyDescent="0.35">
      <c r="A18528" s="3">
        <v>46252</v>
      </c>
      <c r="B18528" s="5" t="s">
        <v>315</v>
      </c>
      <c r="C18528" s="5" t="s">
        <v>67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355</v>
      </c>
      <c r="C18529" s="5" t="s">
        <v>20</v>
      </c>
      <c r="D18529" s="5">
        <v>1</v>
      </c>
      <c r="E18529" s="5">
        <v>127942</v>
      </c>
    </row>
    <row r="18530" spans="1:5" x14ac:dyDescent="0.35">
      <c r="A18530" s="3">
        <v>46252</v>
      </c>
      <c r="B18530" s="5" t="s">
        <v>355</v>
      </c>
      <c r="C18530" s="5" t="s">
        <v>18</v>
      </c>
      <c r="D18530" s="5">
        <v>1</v>
      </c>
      <c r="E18530" s="5">
        <v>127942</v>
      </c>
    </row>
    <row r="18531" spans="1:5" x14ac:dyDescent="0.35">
      <c r="A18531" s="3">
        <v>46252</v>
      </c>
      <c r="B18531" s="5" t="s">
        <v>258</v>
      </c>
      <c r="C18531" s="5" t="s">
        <v>19</v>
      </c>
      <c r="D18531" s="5">
        <v>1</v>
      </c>
      <c r="E18531" s="5">
        <v>127942</v>
      </c>
    </row>
    <row r="18532" spans="1:5" x14ac:dyDescent="0.35">
      <c r="A18532" s="3">
        <v>46252</v>
      </c>
      <c r="B18532" s="5" t="s">
        <v>354</v>
      </c>
      <c r="C18532" s="5" t="s">
        <v>18</v>
      </c>
      <c r="D18532" s="5">
        <v>1</v>
      </c>
      <c r="E18532" s="5">
        <v>127942</v>
      </c>
    </row>
    <row r="18533" spans="1:5" x14ac:dyDescent="0.35">
      <c r="A18533" s="3">
        <v>46252</v>
      </c>
      <c r="B18533" s="5" t="s">
        <v>364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364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258</v>
      </c>
      <c r="C18535" s="5" t="s">
        <v>19</v>
      </c>
      <c r="D18535" s="5">
        <v>1</v>
      </c>
      <c r="E18535" s="5">
        <v>127942</v>
      </c>
    </row>
    <row r="18536" spans="1:5" x14ac:dyDescent="0.35">
      <c r="A18536" s="3">
        <v>46252</v>
      </c>
      <c r="B18536" s="5" t="s">
        <v>258</v>
      </c>
      <c r="C18536" s="5" t="s">
        <v>19</v>
      </c>
      <c r="D18536" s="5">
        <v>1</v>
      </c>
      <c r="E18536" s="5">
        <v>127942</v>
      </c>
    </row>
    <row r="18537" spans="1:5" x14ac:dyDescent="0.35">
      <c r="A18537" s="3">
        <v>46252</v>
      </c>
      <c r="B18537" s="5" t="s">
        <v>376</v>
      </c>
      <c r="C18537" s="5" t="s">
        <v>18</v>
      </c>
      <c r="D18537" s="5">
        <v>1</v>
      </c>
      <c r="E18537" s="5">
        <v>129941</v>
      </c>
    </row>
    <row r="18538" spans="1:5" x14ac:dyDescent="0.35">
      <c r="A18538" s="3">
        <v>46252</v>
      </c>
      <c r="B18538" s="5" t="s">
        <v>376</v>
      </c>
      <c r="C18538" s="5" t="s">
        <v>49</v>
      </c>
      <c r="D18538" s="5">
        <v>1</v>
      </c>
      <c r="E18538" s="5">
        <v>64941</v>
      </c>
    </row>
    <row r="18539" spans="1:5" x14ac:dyDescent="0.35">
      <c r="A18539" s="3">
        <v>46252</v>
      </c>
      <c r="B18539" s="5" t="s">
        <v>315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315</v>
      </c>
      <c r="C18540" s="5" t="s">
        <v>66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315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315</v>
      </c>
      <c r="C18542" s="5" t="s">
        <v>67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355</v>
      </c>
      <c r="C18543" s="5" t="s">
        <v>19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355</v>
      </c>
      <c r="C18544" s="5" t="s">
        <v>19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258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258</v>
      </c>
      <c r="C18546" s="5" t="s">
        <v>19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354</v>
      </c>
      <c r="C18547" s="5" t="s">
        <v>18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354</v>
      </c>
      <c r="C18548" s="5" t="s">
        <v>18</v>
      </c>
      <c r="D18548" s="5">
        <v>1</v>
      </c>
      <c r="E18548" s="5">
        <v>127942</v>
      </c>
    </row>
    <row r="18549" spans="1:5" x14ac:dyDescent="0.35">
      <c r="A18549" s="3">
        <v>46252</v>
      </c>
      <c r="B18549" s="5" t="s">
        <v>354</v>
      </c>
      <c r="C18549" s="5" t="s">
        <v>18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258</v>
      </c>
      <c r="C18550" s="5" t="s">
        <v>20</v>
      </c>
      <c r="D18550" s="5">
        <v>1</v>
      </c>
      <c r="E18550" s="5">
        <v>127942</v>
      </c>
    </row>
    <row r="18551" spans="1:5" x14ac:dyDescent="0.35">
      <c r="A18551" s="3">
        <v>46252</v>
      </c>
      <c r="B18551" s="5" t="s">
        <v>364</v>
      </c>
      <c r="C18551" s="5" t="s">
        <v>67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364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364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364</v>
      </c>
      <c r="C18554" s="5" t="s">
        <v>67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364</v>
      </c>
      <c r="C18555" s="5" t="s">
        <v>65</v>
      </c>
      <c r="D18555" s="5">
        <v>1</v>
      </c>
      <c r="E18555" s="5">
        <v>116305</v>
      </c>
    </row>
    <row r="18556" spans="1:5" x14ac:dyDescent="0.35">
      <c r="A18556" s="3">
        <v>46252</v>
      </c>
      <c r="B18556" s="5" t="s">
        <v>364</v>
      </c>
      <c r="C18556" s="5" t="s">
        <v>67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364</v>
      </c>
      <c r="C18557" s="5" t="s">
        <v>67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362</v>
      </c>
      <c r="C18558" s="5" t="s">
        <v>65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373</v>
      </c>
      <c r="C18559" s="5" t="s">
        <v>18</v>
      </c>
      <c r="D18559" s="5">
        <v>1</v>
      </c>
      <c r="E18559" s="5">
        <v>129941</v>
      </c>
    </row>
    <row r="18560" spans="1:5" x14ac:dyDescent="0.35">
      <c r="A18560" s="3">
        <v>46252</v>
      </c>
      <c r="B18560" s="5" t="s">
        <v>244</v>
      </c>
      <c r="C18560" s="5" t="s">
        <v>36</v>
      </c>
      <c r="D18560" s="5">
        <v>1</v>
      </c>
      <c r="E18560" s="5">
        <v>236305</v>
      </c>
    </row>
    <row r="18561" spans="1:5" x14ac:dyDescent="0.35">
      <c r="A18561" s="3">
        <v>46252</v>
      </c>
      <c r="B18561" s="5" t="s">
        <v>244</v>
      </c>
      <c r="C18561" s="5" t="s">
        <v>39</v>
      </c>
      <c r="D18561" s="5">
        <v>1</v>
      </c>
      <c r="E18561" s="5">
        <v>118123</v>
      </c>
    </row>
    <row r="18562" spans="1:5" x14ac:dyDescent="0.35">
      <c r="A18562" s="3">
        <v>46252</v>
      </c>
      <c r="B18562" s="5" t="s">
        <v>315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315</v>
      </c>
      <c r="C18563" s="5" t="s">
        <v>66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315</v>
      </c>
      <c r="C18564" s="5" t="s">
        <v>66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315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315</v>
      </c>
      <c r="C18566" s="5" t="s">
        <v>65</v>
      </c>
      <c r="D18566" s="5">
        <v>1</v>
      </c>
      <c r="E18566" s="5">
        <v>116305</v>
      </c>
    </row>
    <row r="18567" spans="1:5" x14ac:dyDescent="0.35">
      <c r="A18567" s="3">
        <v>46252</v>
      </c>
      <c r="B18567" s="5" t="s">
        <v>315</v>
      </c>
      <c r="C18567" s="5" t="s">
        <v>66</v>
      </c>
      <c r="D18567" s="5">
        <v>1</v>
      </c>
      <c r="E18567" s="5">
        <v>116305</v>
      </c>
    </row>
    <row r="18568" spans="1:5" x14ac:dyDescent="0.35">
      <c r="A18568" s="3">
        <v>46252</v>
      </c>
      <c r="B18568" s="5" t="s">
        <v>315</v>
      </c>
      <c r="C18568" s="5" t="s">
        <v>65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315</v>
      </c>
      <c r="C18569" s="5" t="s">
        <v>65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315</v>
      </c>
      <c r="C18570" s="5" t="s">
        <v>67</v>
      </c>
      <c r="D18570" s="5">
        <v>1</v>
      </c>
      <c r="E18570" s="5">
        <v>116305</v>
      </c>
    </row>
    <row r="18571" spans="1:5" x14ac:dyDescent="0.35">
      <c r="A18571" s="3">
        <v>46252</v>
      </c>
      <c r="B18571" s="5" t="s">
        <v>355</v>
      </c>
      <c r="C18571" s="5" t="s">
        <v>20</v>
      </c>
      <c r="D18571" s="5">
        <v>1</v>
      </c>
      <c r="E18571" s="5">
        <v>127942</v>
      </c>
    </row>
    <row r="18572" spans="1:5" x14ac:dyDescent="0.35">
      <c r="A18572" s="3">
        <v>46252</v>
      </c>
      <c r="B18572" s="5" t="s">
        <v>237</v>
      </c>
      <c r="C18572" s="5" t="s">
        <v>38</v>
      </c>
      <c r="D18572" s="5">
        <v>1</v>
      </c>
      <c r="E18572" s="5">
        <v>203578</v>
      </c>
    </row>
    <row r="18573" spans="1:5" x14ac:dyDescent="0.35">
      <c r="A18573" s="3">
        <v>46252</v>
      </c>
      <c r="B18573" s="5" t="s">
        <v>363</v>
      </c>
      <c r="C18573" s="5" t="s">
        <v>66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355</v>
      </c>
      <c r="C18574" s="5" t="s">
        <v>18</v>
      </c>
      <c r="D18574" s="5">
        <v>1</v>
      </c>
      <c r="E18574" s="5">
        <v>127942</v>
      </c>
    </row>
    <row r="18575" spans="1:5" x14ac:dyDescent="0.35">
      <c r="A18575" s="3">
        <v>46252</v>
      </c>
      <c r="B18575" s="5" t="s">
        <v>364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364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258</v>
      </c>
      <c r="C18577" s="5" t="s">
        <v>18</v>
      </c>
      <c r="D18577" s="5">
        <v>1</v>
      </c>
      <c r="E18577" s="5">
        <v>127942</v>
      </c>
    </row>
    <row r="18578" spans="1:5" x14ac:dyDescent="0.35">
      <c r="A18578" s="3">
        <v>46252</v>
      </c>
      <c r="B18578" s="5" t="s">
        <v>364</v>
      </c>
      <c r="C18578" s="5" t="s">
        <v>65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315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315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315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315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315</v>
      </c>
      <c r="C18583" s="5" t="s">
        <v>65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315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315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315</v>
      </c>
      <c r="C18586" s="5" t="s">
        <v>65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315</v>
      </c>
      <c r="C18587" s="5" t="s">
        <v>67</v>
      </c>
      <c r="D18587" s="5">
        <v>1</v>
      </c>
      <c r="E18587" s="5">
        <v>116305</v>
      </c>
    </row>
    <row r="18588" spans="1:5" x14ac:dyDescent="0.35">
      <c r="A18588" s="3">
        <v>46252</v>
      </c>
      <c r="B18588" s="5" t="s">
        <v>237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140</v>
      </c>
      <c r="C18589" s="5" t="s">
        <v>42</v>
      </c>
      <c r="D18589" s="5">
        <v>1</v>
      </c>
      <c r="E18589" s="5">
        <v>203578</v>
      </c>
    </row>
    <row r="18590" spans="1:5" x14ac:dyDescent="0.35">
      <c r="A18590" s="3">
        <v>46252</v>
      </c>
      <c r="B18590" s="5" t="s">
        <v>315</v>
      </c>
      <c r="C18590" s="5" t="s">
        <v>67</v>
      </c>
      <c r="D18590" s="5">
        <v>1</v>
      </c>
      <c r="E18590" s="5">
        <v>116305</v>
      </c>
    </row>
    <row r="18591" spans="1:5" x14ac:dyDescent="0.35">
      <c r="A18591" s="3">
        <v>46252</v>
      </c>
      <c r="B18591" s="5" t="s">
        <v>355</v>
      </c>
      <c r="C18591" s="5" t="s">
        <v>18</v>
      </c>
      <c r="D18591" s="5">
        <v>1</v>
      </c>
      <c r="E18591" s="5">
        <v>127942</v>
      </c>
    </row>
    <row r="18592" spans="1:5" x14ac:dyDescent="0.35">
      <c r="A18592" s="3">
        <v>46252</v>
      </c>
      <c r="B18592" s="5" t="s">
        <v>363</v>
      </c>
      <c r="C18592" s="5" t="s">
        <v>65</v>
      </c>
      <c r="D18592" s="5">
        <v>1</v>
      </c>
      <c r="E18592" s="5">
        <v>116305</v>
      </c>
    </row>
    <row r="18593" spans="1:5" x14ac:dyDescent="0.35">
      <c r="A18593" s="3">
        <v>46252</v>
      </c>
      <c r="B18593" s="5" t="s">
        <v>363</v>
      </c>
      <c r="C18593" s="5" t="s">
        <v>66</v>
      </c>
      <c r="D18593" s="5">
        <v>1</v>
      </c>
      <c r="E18593" s="5">
        <v>116305</v>
      </c>
    </row>
    <row r="18594" spans="1:5" x14ac:dyDescent="0.35">
      <c r="A18594" s="3">
        <v>46252</v>
      </c>
      <c r="B18594" s="5" t="s">
        <v>364</v>
      </c>
      <c r="C18594" s="5" t="s">
        <v>67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364</v>
      </c>
      <c r="C18595" s="5" t="s">
        <v>65</v>
      </c>
      <c r="D18595" s="5">
        <v>1</v>
      </c>
      <c r="E18595" s="5">
        <v>116305</v>
      </c>
    </row>
    <row r="18596" spans="1:5" x14ac:dyDescent="0.35">
      <c r="A18596" s="3">
        <v>46252</v>
      </c>
      <c r="B18596" s="5" t="s">
        <v>364</v>
      </c>
      <c r="C18596" s="5" t="s">
        <v>65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364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364</v>
      </c>
      <c r="C18598" s="5" t="s">
        <v>65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364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364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315</v>
      </c>
      <c r="C18601" s="5" t="s">
        <v>66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315</v>
      </c>
      <c r="C18602" s="5" t="s">
        <v>66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315</v>
      </c>
      <c r="C18603" s="5" t="s">
        <v>66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315</v>
      </c>
      <c r="C18604" s="5" t="s">
        <v>65</v>
      </c>
      <c r="D18604" s="5">
        <v>1</v>
      </c>
      <c r="E18604" s="5">
        <v>116305</v>
      </c>
    </row>
    <row r="18605" spans="1:5" x14ac:dyDescent="0.35">
      <c r="A18605" s="3">
        <v>46252</v>
      </c>
      <c r="B18605" s="5" t="s">
        <v>315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315</v>
      </c>
      <c r="C18606" s="5" t="s">
        <v>66</v>
      </c>
      <c r="D18606" s="5">
        <v>1</v>
      </c>
      <c r="E18606" s="5">
        <v>116305</v>
      </c>
    </row>
    <row r="18607" spans="1:5" x14ac:dyDescent="0.35">
      <c r="A18607" s="3">
        <v>46252</v>
      </c>
      <c r="B18607" s="5" t="s">
        <v>315</v>
      </c>
      <c r="C18607" s="5" t="s">
        <v>65</v>
      </c>
      <c r="D18607" s="5">
        <v>1</v>
      </c>
      <c r="E18607" s="5">
        <v>116305</v>
      </c>
    </row>
    <row r="18608" spans="1:5" x14ac:dyDescent="0.35">
      <c r="A18608" s="3">
        <v>46252</v>
      </c>
      <c r="B18608" s="5" t="s">
        <v>315</v>
      </c>
      <c r="C18608" s="5" t="s">
        <v>67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315</v>
      </c>
      <c r="C18609" s="5" t="s">
        <v>67</v>
      </c>
      <c r="D18609" s="5">
        <v>1</v>
      </c>
      <c r="E18609" s="5">
        <v>116305</v>
      </c>
    </row>
    <row r="18610" spans="1:5" x14ac:dyDescent="0.35">
      <c r="A18610" s="3">
        <v>46252</v>
      </c>
      <c r="B18610" s="5" t="s">
        <v>355</v>
      </c>
      <c r="C18610" s="5" t="s">
        <v>20</v>
      </c>
      <c r="D18610" s="5">
        <v>1</v>
      </c>
      <c r="E18610" s="5">
        <v>127942</v>
      </c>
    </row>
    <row r="18611" spans="1:5" x14ac:dyDescent="0.35">
      <c r="A18611" s="3">
        <v>46252</v>
      </c>
      <c r="B18611" s="5" t="s">
        <v>355</v>
      </c>
      <c r="C18611" s="5" t="s">
        <v>19</v>
      </c>
      <c r="D18611" s="5">
        <v>1</v>
      </c>
      <c r="E18611" s="5">
        <v>127942</v>
      </c>
    </row>
    <row r="18612" spans="1:5" x14ac:dyDescent="0.35">
      <c r="A18612" s="3">
        <v>46252</v>
      </c>
      <c r="B18612" s="5" t="s">
        <v>355</v>
      </c>
      <c r="C18612" s="5" t="s">
        <v>18</v>
      </c>
      <c r="D18612" s="5">
        <v>1</v>
      </c>
      <c r="E18612" s="5">
        <v>127942</v>
      </c>
    </row>
    <row r="18613" spans="1:5" x14ac:dyDescent="0.35">
      <c r="A18613" s="3">
        <v>46252</v>
      </c>
      <c r="B18613" s="5" t="s">
        <v>237</v>
      </c>
      <c r="C18613" s="5" t="s">
        <v>38</v>
      </c>
      <c r="D18613" s="5">
        <v>1</v>
      </c>
      <c r="E18613" s="5">
        <v>203578</v>
      </c>
    </row>
    <row r="18614" spans="1:5" x14ac:dyDescent="0.35">
      <c r="A18614" s="3">
        <v>46252</v>
      </c>
      <c r="B18614" s="5" t="s">
        <v>363</v>
      </c>
      <c r="C18614" s="5" t="s">
        <v>67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258</v>
      </c>
      <c r="C18615" s="5" t="s">
        <v>19</v>
      </c>
      <c r="D18615" s="5">
        <v>1</v>
      </c>
      <c r="E18615" s="5">
        <v>127942</v>
      </c>
    </row>
    <row r="18616" spans="1:5" x14ac:dyDescent="0.35">
      <c r="A18616" s="3">
        <v>46252</v>
      </c>
      <c r="B18616" s="5" t="s">
        <v>258</v>
      </c>
      <c r="C18616" s="5" t="s">
        <v>18</v>
      </c>
      <c r="D18616" s="5">
        <v>1</v>
      </c>
      <c r="E18616" s="5">
        <v>127942</v>
      </c>
    </row>
    <row r="18617" spans="1:5" x14ac:dyDescent="0.35">
      <c r="A18617" s="3">
        <v>46252</v>
      </c>
      <c r="B18617" s="5" t="s">
        <v>364</v>
      </c>
      <c r="C18617" s="5" t="s">
        <v>65</v>
      </c>
      <c r="D18617" s="5">
        <v>1</v>
      </c>
      <c r="E18617" s="5">
        <v>116305</v>
      </c>
    </row>
    <row r="18618" spans="1:5" x14ac:dyDescent="0.35">
      <c r="A18618" s="3">
        <v>46252</v>
      </c>
      <c r="B18618" s="5" t="s">
        <v>364</v>
      </c>
      <c r="C18618" s="5" t="s">
        <v>65</v>
      </c>
      <c r="D18618" s="5">
        <v>1</v>
      </c>
      <c r="E18618" s="5">
        <v>116305</v>
      </c>
    </row>
    <row r="18619" spans="1:5" x14ac:dyDescent="0.35">
      <c r="A18619" s="3">
        <v>46252</v>
      </c>
      <c r="B18619" s="5" t="s">
        <v>364</v>
      </c>
      <c r="C18619" s="5" t="s">
        <v>67</v>
      </c>
      <c r="D18619" s="5">
        <v>1</v>
      </c>
      <c r="E18619" s="5">
        <v>116305</v>
      </c>
    </row>
    <row r="18620" spans="1:5" x14ac:dyDescent="0.35">
      <c r="A18620" s="3">
        <v>46252</v>
      </c>
      <c r="B18620" s="5" t="s">
        <v>364</v>
      </c>
      <c r="C18620" s="5" t="s">
        <v>65</v>
      </c>
      <c r="D18620" s="5">
        <v>1</v>
      </c>
      <c r="E18620" s="5">
        <v>116305</v>
      </c>
    </row>
    <row r="18621" spans="1:5" x14ac:dyDescent="0.35">
      <c r="A18621" s="3">
        <v>46252</v>
      </c>
      <c r="B18621" s="5" t="s">
        <v>364</v>
      </c>
      <c r="C18621" s="5" t="s">
        <v>66</v>
      </c>
      <c r="D18621" s="5">
        <v>1</v>
      </c>
      <c r="E18621" s="5">
        <v>116305</v>
      </c>
    </row>
    <row r="18622" spans="1:5" x14ac:dyDescent="0.35">
      <c r="A18622" s="3">
        <v>46252</v>
      </c>
      <c r="B18622" s="5" t="s">
        <v>315</v>
      </c>
      <c r="C18622" s="5" t="s">
        <v>66</v>
      </c>
      <c r="D18622" s="5">
        <v>1</v>
      </c>
      <c r="E18622" s="5">
        <v>116305</v>
      </c>
    </row>
    <row r="18623" spans="1:5" x14ac:dyDescent="0.35">
      <c r="A18623" s="3">
        <v>46252</v>
      </c>
      <c r="B18623" s="5" t="s">
        <v>258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46252</v>
      </c>
      <c r="B18624" s="5" t="s">
        <v>258</v>
      </c>
      <c r="C18624" s="5" t="s">
        <v>18</v>
      </c>
      <c r="D18624" s="5">
        <v>1</v>
      </c>
      <c r="E18624" s="5">
        <v>127942</v>
      </c>
    </row>
    <row r="18625" spans="1:5" x14ac:dyDescent="0.35">
      <c r="A18625" s="3">
        <v>46252</v>
      </c>
      <c r="B18625" s="5" t="s">
        <v>364</v>
      </c>
      <c r="C18625" s="5" t="s">
        <v>65</v>
      </c>
      <c r="D18625" s="5">
        <v>1</v>
      </c>
      <c r="E18625" s="5">
        <v>116305</v>
      </c>
    </row>
    <row r="18626" spans="1:5" x14ac:dyDescent="0.35">
      <c r="A18626" s="3">
        <v>46252</v>
      </c>
      <c r="B18626" s="5" t="s">
        <v>364</v>
      </c>
      <c r="C18626" s="5" t="s">
        <v>65</v>
      </c>
      <c r="D18626" s="5">
        <v>1</v>
      </c>
      <c r="E18626" s="5">
        <v>116305</v>
      </c>
    </row>
    <row r="18627" spans="1:5" x14ac:dyDescent="0.35">
      <c r="A18627" s="3">
        <v>46252</v>
      </c>
      <c r="B18627" s="5" t="s">
        <v>364</v>
      </c>
      <c r="C18627" s="5" t="s">
        <v>66</v>
      </c>
      <c r="D18627" s="5">
        <v>1</v>
      </c>
      <c r="E18627" s="5">
        <v>116305</v>
      </c>
    </row>
    <row r="18628" spans="1:5" x14ac:dyDescent="0.35">
      <c r="A18628" s="3">
        <v>46252</v>
      </c>
      <c r="B18628" s="5" t="s">
        <v>362</v>
      </c>
      <c r="C18628" s="5" t="s">
        <v>67</v>
      </c>
      <c r="D18628" s="5">
        <v>1</v>
      </c>
      <c r="E18628" s="5">
        <v>116305</v>
      </c>
    </row>
    <row r="18629" spans="1:5" x14ac:dyDescent="0.35">
      <c r="A18629" s="3">
        <v>46252</v>
      </c>
      <c r="B18629" s="5" t="s">
        <v>362</v>
      </c>
      <c r="C18629" s="5" t="s">
        <v>66</v>
      </c>
      <c r="D18629" s="5">
        <v>1</v>
      </c>
      <c r="E18629" s="5">
        <v>116305</v>
      </c>
    </row>
    <row r="18630" spans="1:5" x14ac:dyDescent="0.35">
      <c r="A18630" s="3">
        <v>46252</v>
      </c>
      <c r="B18630" s="5" t="s">
        <v>373</v>
      </c>
      <c r="C18630" s="5" t="s">
        <v>83</v>
      </c>
      <c r="D18630" s="5">
        <v>1</v>
      </c>
      <c r="E18630" s="5">
        <v>70850</v>
      </c>
    </row>
    <row r="18631" spans="1:5" x14ac:dyDescent="0.35">
      <c r="A18631" s="3">
        <v>46252</v>
      </c>
      <c r="B18631" s="5" t="s">
        <v>376</v>
      </c>
      <c r="C18631" s="5" t="s">
        <v>18</v>
      </c>
      <c r="D18631" s="5">
        <v>1</v>
      </c>
      <c r="E18631" s="5">
        <v>129941</v>
      </c>
    </row>
    <row r="18632" spans="1:5" x14ac:dyDescent="0.35">
      <c r="A18632" s="3">
        <v>46252</v>
      </c>
      <c r="B18632" s="5" t="s">
        <v>376</v>
      </c>
      <c r="C18632" s="5" t="s">
        <v>106</v>
      </c>
      <c r="D18632" s="5">
        <v>1</v>
      </c>
      <c r="E18632" s="5">
        <v>206759</v>
      </c>
    </row>
    <row r="18633" spans="1:5" x14ac:dyDescent="0.35">
      <c r="A18633" s="3">
        <v>46252</v>
      </c>
      <c r="B18633" s="5" t="s">
        <v>244</v>
      </c>
      <c r="C18633" s="5" t="s">
        <v>18</v>
      </c>
      <c r="D18633" s="5">
        <v>1</v>
      </c>
      <c r="E18633" s="5">
        <v>129941</v>
      </c>
    </row>
    <row r="18634" spans="1:5" x14ac:dyDescent="0.35">
      <c r="A18634" s="3">
        <v>46252</v>
      </c>
      <c r="B18634" s="5" t="s">
        <v>376</v>
      </c>
      <c r="C18634" s="5" t="s">
        <v>50</v>
      </c>
      <c r="D18634" s="5">
        <v>1</v>
      </c>
      <c r="E18634" s="5">
        <v>106305</v>
      </c>
    </row>
    <row r="18635" spans="1:5" x14ac:dyDescent="0.35">
      <c r="A18635" s="3">
        <v>46252</v>
      </c>
      <c r="B18635" s="5" t="s">
        <v>376</v>
      </c>
      <c r="C18635" s="5" t="s">
        <v>18</v>
      </c>
      <c r="D18635" s="5">
        <v>1</v>
      </c>
      <c r="E18635" s="5">
        <v>129941</v>
      </c>
    </row>
    <row r="18636" spans="1:5" x14ac:dyDescent="0.35">
      <c r="A18636" s="3">
        <v>46252</v>
      </c>
      <c r="B18636" s="5" t="s">
        <v>315</v>
      </c>
      <c r="C18636" s="5" t="s">
        <v>66</v>
      </c>
      <c r="D18636" s="5">
        <v>1</v>
      </c>
      <c r="E18636" s="5">
        <v>116305</v>
      </c>
    </row>
    <row r="18637" spans="1:5" x14ac:dyDescent="0.35">
      <c r="A18637" s="3">
        <v>46252</v>
      </c>
      <c r="B18637" s="5" t="s">
        <v>315</v>
      </c>
      <c r="C18637" s="5" t="s">
        <v>66</v>
      </c>
      <c r="D18637" s="5">
        <v>1</v>
      </c>
      <c r="E18637" s="5">
        <v>116305</v>
      </c>
    </row>
    <row r="18638" spans="1:5" x14ac:dyDescent="0.35">
      <c r="A18638" s="3">
        <v>46252</v>
      </c>
      <c r="B18638" s="5" t="s">
        <v>315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46252</v>
      </c>
      <c r="B18639" s="5" t="s">
        <v>315</v>
      </c>
      <c r="C18639" s="5" t="s">
        <v>66</v>
      </c>
      <c r="D18639" s="5">
        <v>1</v>
      </c>
      <c r="E18639" s="5">
        <v>116305</v>
      </c>
    </row>
    <row r="18640" spans="1:5" x14ac:dyDescent="0.35">
      <c r="A18640" s="3">
        <v>46252</v>
      </c>
      <c r="B18640" s="5" t="s">
        <v>315</v>
      </c>
      <c r="C18640" s="5" t="s">
        <v>65</v>
      </c>
      <c r="D18640" s="5">
        <v>1</v>
      </c>
      <c r="E18640" s="5">
        <v>116305</v>
      </c>
    </row>
    <row r="18641" spans="1:5" x14ac:dyDescent="0.35">
      <c r="A18641" s="3">
        <v>46252</v>
      </c>
      <c r="B18641" s="5" t="s">
        <v>237</v>
      </c>
      <c r="C18641" s="5" t="s">
        <v>38</v>
      </c>
      <c r="D18641" s="5">
        <v>1</v>
      </c>
      <c r="E18641" s="5">
        <v>203578</v>
      </c>
    </row>
    <row r="18642" spans="1:5" x14ac:dyDescent="0.35">
      <c r="A18642" s="3">
        <v>46252</v>
      </c>
      <c r="B18642" s="5" t="s">
        <v>258</v>
      </c>
      <c r="C18642" s="5" t="s">
        <v>18</v>
      </c>
      <c r="D18642" s="5">
        <v>1</v>
      </c>
      <c r="E18642" s="5">
        <v>127942</v>
      </c>
    </row>
    <row r="18643" spans="1:5" x14ac:dyDescent="0.35">
      <c r="A18643" s="3">
        <v>46252</v>
      </c>
      <c r="B18643" s="5" t="s">
        <v>258</v>
      </c>
      <c r="C18643" s="5" t="s">
        <v>20</v>
      </c>
      <c r="D18643" s="5">
        <v>1</v>
      </c>
      <c r="E18643" s="5">
        <v>127942</v>
      </c>
    </row>
    <row r="18644" spans="1:5" x14ac:dyDescent="0.35">
      <c r="A18644" s="3">
        <v>46252</v>
      </c>
      <c r="B18644" s="5" t="s">
        <v>258</v>
      </c>
      <c r="C18644" s="5" t="s">
        <v>19</v>
      </c>
      <c r="D18644" s="5">
        <v>1</v>
      </c>
      <c r="E18644" s="5">
        <v>127942</v>
      </c>
    </row>
    <row r="18645" spans="1:5" x14ac:dyDescent="0.35">
      <c r="A18645" s="3">
        <v>46252</v>
      </c>
      <c r="B18645" s="5" t="s">
        <v>364</v>
      </c>
      <c r="C18645" s="5" t="s">
        <v>65</v>
      </c>
      <c r="D18645" s="5">
        <v>1</v>
      </c>
      <c r="E18645" s="5">
        <v>116305</v>
      </c>
    </row>
    <row r="18646" spans="1:5" x14ac:dyDescent="0.35">
      <c r="A18646" s="3">
        <v>46252</v>
      </c>
      <c r="B18646" s="5" t="s">
        <v>364</v>
      </c>
      <c r="C18646" s="5" t="s">
        <v>66</v>
      </c>
      <c r="D18646" s="5">
        <v>1</v>
      </c>
      <c r="E18646" s="5">
        <v>116305</v>
      </c>
    </row>
    <row r="18647" spans="1:5" x14ac:dyDescent="0.35">
      <c r="A18647" s="3">
        <v>46252</v>
      </c>
      <c r="B18647" s="5" t="s">
        <v>364</v>
      </c>
      <c r="C18647" s="5" t="s">
        <v>65</v>
      </c>
      <c r="D18647" s="5">
        <v>1</v>
      </c>
      <c r="E18647" s="5">
        <v>116305</v>
      </c>
    </row>
    <row r="18648" spans="1:5" x14ac:dyDescent="0.35">
      <c r="A18648" s="3">
        <v>46252</v>
      </c>
      <c r="B18648" s="5" t="s">
        <v>376</v>
      </c>
      <c r="C18648" s="5" t="s">
        <v>18</v>
      </c>
      <c r="D18648" s="5">
        <v>1</v>
      </c>
      <c r="E18648" s="5">
        <v>129941</v>
      </c>
    </row>
    <row r="18649" spans="1:5" x14ac:dyDescent="0.35">
      <c r="A18649" s="3">
        <v>46252</v>
      </c>
      <c r="B18649" s="5" t="s">
        <v>376</v>
      </c>
      <c r="C18649" s="5" t="s">
        <v>18</v>
      </c>
      <c r="D18649" s="5">
        <v>1</v>
      </c>
      <c r="E18649" s="5">
        <v>129941</v>
      </c>
    </row>
    <row r="18650" spans="1:5" x14ac:dyDescent="0.35">
      <c r="A18650" s="3">
        <v>46252</v>
      </c>
      <c r="B18650" s="5" t="s">
        <v>315</v>
      </c>
      <c r="C18650" s="5" t="s">
        <v>66</v>
      </c>
      <c r="D18650" s="5">
        <v>1</v>
      </c>
      <c r="E18650" s="5">
        <v>116305</v>
      </c>
    </row>
    <row r="18651" spans="1:5" x14ac:dyDescent="0.35">
      <c r="A18651" s="3">
        <v>46252</v>
      </c>
      <c r="B18651" s="5" t="s">
        <v>315</v>
      </c>
      <c r="C18651" s="5" t="s">
        <v>66</v>
      </c>
      <c r="D18651" s="5">
        <v>1</v>
      </c>
      <c r="E18651" s="5">
        <v>116305</v>
      </c>
    </row>
    <row r="18652" spans="1:5" x14ac:dyDescent="0.35">
      <c r="A18652" s="3">
        <v>46252</v>
      </c>
      <c r="B18652" s="5" t="s">
        <v>315</v>
      </c>
      <c r="C18652" s="5" t="s">
        <v>66</v>
      </c>
      <c r="D18652" s="5">
        <v>1</v>
      </c>
      <c r="E18652" s="5">
        <v>116305</v>
      </c>
    </row>
    <row r="18653" spans="1:5" x14ac:dyDescent="0.35">
      <c r="A18653" s="3">
        <v>46252</v>
      </c>
      <c r="B18653" s="5" t="s">
        <v>315</v>
      </c>
      <c r="C18653" s="5" t="s">
        <v>66</v>
      </c>
      <c r="D18653" s="5">
        <v>1</v>
      </c>
      <c r="E18653" s="5">
        <v>116305</v>
      </c>
    </row>
    <row r="18654" spans="1:5" x14ac:dyDescent="0.35">
      <c r="A18654" s="3">
        <v>46252</v>
      </c>
      <c r="B18654" s="5" t="s">
        <v>315</v>
      </c>
      <c r="C18654" s="5" t="s">
        <v>66</v>
      </c>
      <c r="D18654" s="5">
        <v>1</v>
      </c>
      <c r="E18654" s="5">
        <v>116305</v>
      </c>
    </row>
    <row r="18655" spans="1:5" x14ac:dyDescent="0.35">
      <c r="A18655" s="3">
        <v>46252</v>
      </c>
      <c r="B18655" s="5" t="s">
        <v>315</v>
      </c>
      <c r="C18655" s="5" t="s">
        <v>66</v>
      </c>
      <c r="D18655" s="5">
        <v>1</v>
      </c>
      <c r="E18655" s="5">
        <v>116305</v>
      </c>
    </row>
    <row r="18656" spans="1:5" x14ac:dyDescent="0.35">
      <c r="A18656" s="3">
        <v>46252</v>
      </c>
      <c r="B18656" s="5" t="s">
        <v>315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46252</v>
      </c>
      <c r="B18657" s="5" t="s">
        <v>315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46252</v>
      </c>
      <c r="B18658" s="5" t="s">
        <v>355</v>
      </c>
      <c r="C18658" s="5" t="s">
        <v>20</v>
      </c>
      <c r="D18658" s="5">
        <v>1</v>
      </c>
      <c r="E18658" s="5">
        <v>127942</v>
      </c>
    </row>
    <row r="18659" spans="1:5" x14ac:dyDescent="0.35">
      <c r="A18659" s="3">
        <v>46252</v>
      </c>
      <c r="B18659" s="5" t="s">
        <v>354</v>
      </c>
      <c r="C18659" s="5" t="s">
        <v>19</v>
      </c>
      <c r="D18659" s="5">
        <v>1</v>
      </c>
      <c r="E18659" s="5">
        <v>127942</v>
      </c>
    </row>
    <row r="18660" spans="1:5" x14ac:dyDescent="0.35">
      <c r="A18660" s="3">
        <v>46252</v>
      </c>
      <c r="B18660" s="5" t="s">
        <v>315</v>
      </c>
      <c r="C18660" s="5" t="s">
        <v>65</v>
      </c>
      <c r="D18660" s="5">
        <v>1</v>
      </c>
      <c r="E18660" s="5">
        <v>116305</v>
      </c>
    </row>
    <row r="18661" spans="1:5" x14ac:dyDescent="0.35">
      <c r="A18661" s="3">
        <v>46252</v>
      </c>
      <c r="B18661" s="5" t="s">
        <v>258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46252</v>
      </c>
      <c r="B18662" s="5" t="s">
        <v>315</v>
      </c>
      <c r="C18662" s="5" t="s">
        <v>65</v>
      </c>
      <c r="D18662" s="5">
        <v>1</v>
      </c>
      <c r="E18662" s="5">
        <v>116305</v>
      </c>
    </row>
    <row r="18663" spans="1:5" x14ac:dyDescent="0.35">
      <c r="A18663" s="3">
        <v>46252</v>
      </c>
      <c r="B18663" s="5" t="s">
        <v>258</v>
      </c>
      <c r="C18663" s="5" t="s">
        <v>19</v>
      </c>
      <c r="D18663" s="5">
        <v>1</v>
      </c>
      <c r="E18663" s="5">
        <v>127942</v>
      </c>
    </row>
    <row r="18664" spans="1:5" x14ac:dyDescent="0.35">
      <c r="A18664" s="3">
        <v>46252</v>
      </c>
      <c r="B18664" s="5" t="s">
        <v>258</v>
      </c>
      <c r="C18664" s="5" t="s">
        <v>18</v>
      </c>
      <c r="D18664" s="5">
        <v>1</v>
      </c>
      <c r="E18664" s="5">
        <v>127942</v>
      </c>
    </row>
    <row r="18665" spans="1:5" x14ac:dyDescent="0.35">
      <c r="A18665" s="3">
        <v>46252</v>
      </c>
      <c r="B18665" s="5" t="s">
        <v>364</v>
      </c>
      <c r="C18665" s="5" t="s">
        <v>67</v>
      </c>
      <c r="D18665" s="5">
        <v>1</v>
      </c>
      <c r="E18665" s="5">
        <v>116305</v>
      </c>
    </row>
    <row r="18666" spans="1:5" x14ac:dyDescent="0.35">
      <c r="A18666" s="3">
        <v>46252</v>
      </c>
      <c r="B18666" s="5" t="s">
        <v>364</v>
      </c>
      <c r="C18666" s="5" t="s">
        <v>65</v>
      </c>
      <c r="D18666" s="5">
        <v>1</v>
      </c>
      <c r="E18666" s="5">
        <v>116305</v>
      </c>
    </row>
    <row r="18667" spans="1:5" x14ac:dyDescent="0.35">
      <c r="A18667" s="3">
        <v>46252</v>
      </c>
      <c r="B18667" s="5" t="s">
        <v>364</v>
      </c>
      <c r="C18667" s="5" t="s">
        <v>66</v>
      </c>
      <c r="D18667" s="5">
        <v>1</v>
      </c>
      <c r="E18667" s="5">
        <v>116305</v>
      </c>
    </row>
    <row r="18668" spans="1:5" x14ac:dyDescent="0.35">
      <c r="A18668" s="3">
        <v>46252</v>
      </c>
      <c r="B18668" s="5" t="s">
        <v>364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46252</v>
      </c>
      <c r="B18669" s="5" t="s">
        <v>364</v>
      </c>
      <c r="C18669" s="5" t="s">
        <v>66</v>
      </c>
      <c r="D18669" s="5">
        <v>1</v>
      </c>
      <c r="E18669" s="5">
        <v>116305</v>
      </c>
    </row>
    <row r="18670" spans="1:5" x14ac:dyDescent="0.35">
      <c r="A18670" s="3">
        <v>46252</v>
      </c>
      <c r="B18670" s="5" t="s">
        <v>362</v>
      </c>
      <c r="C18670" s="5" t="s">
        <v>66</v>
      </c>
      <c r="D18670" s="5">
        <v>1</v>
      </c>
      <c r="E18670" s="5">
        <v>116305</v>
      </c>
    </row>
    <row r="18671" spans="1:5" x14ac:dyDescent="0.35">
      <c r="A18671" s="3">
        <v>46252</v>
      </c>
      <c r="B18671" s="5" t="s">
        <v>315</v>
      </c>
      <c r="C18671" s="5" t="s">
        <v>66</v>
      </c>
      <c r="D18671" s="5">
        <v>1</v>
      </c>
      <c r="E18671" s="5">
        <v>116305</v>
      </c>
    </row>
    <row r="18672" spans="1:5" x14ac:dyDescent="0.35">
      <c r="A18672" s="3">
        <v>46252</v>
      </c>
      <c r="B18672" s="5" t="s">
        <v>315</v>
      </c>
      <c r="C18672" s="5" t="s">
        <v>66</v>
      </c>
      <c r="D18672" s="5">
        <v>1</v>
      </c>
      <c r="E18672" s="5">
        <v>116305</v>
      </c>
    </row>
    <row r="18673" spans="1:5" x14ac:dyDescent="0.35">
      <c r="A18673" s="3">
        <v>46252</v>
      </c>
      <c r="B18673" s="5" t="s">
        <v>315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46252</v>
      </c>
      <c r="B18674" s="5" t="s">
        <v>315</v>
      </c>
      <c r="C18674" s="5" t="s">
        <v>66</v>
      </c>
      <c r="D18674" s="5">
        <v>1</v>
      </c>
      <c r="E18674" s="5">
        <v>116305</v>
      </c>
    </row>
    <row r="18675" spans="1:5" x14ac:dyDescent="0.35">
      <c r="A18675" s="3">
        <v>46252</v>
      </c>
      <c r="B18675" s="5" t="s">
        <v>315</v>
      </c>
      <c r="C18675" s="5" t="s">
        <v>66</v>
      </c>
      <c r="D18675" s="5">
        <v>1</v>
      </c>
      <c r="E18675" s="5">
        <v>116305</v>
      </c>
    </row>
    <row r="18676" spans="1:5" x14ac:dyDescent="0.35">
      <c r="A18676" s="3">
        <v>46252</v>
      </c>
      <c r="B18676" s="5" t="s">
        <v>237</v>
      </c>
      <c r="C18676" s="5" t="s">
        <v>38</v>
      </c>
      <c r="D18676" s="5">
        <v>1</v>
      </c>
      <c r="E18676" s="5">
        <v>203578</v>
      </c>
    </row>
    <row r="18677" spans="1:5" x14ac:dyDescent="0.35">
      <c r="A18677" s="3">
        <v>46252</v>
      </c>
      <c r="B18677" s="5" t="s">
        <v>315</v>
      </c>
      <c r="C18677" s="5" t="s">
        <v>65</v>
      </c>
      <c r="D18677" s="5">
        <v>1</v>
      </c>
      <c r="E18677" s="5">
        <v>116305</v>
      </c>
    </row>
    <row r="18678" spans="1:5" x14ac:dyDescent="0.35">
      <c r="A18678" s="3">
        <v>46252</v>
      </c>
      <c r="B18678" s="5" t="s">
        <v>315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46252</v>
      </c>
      <c r="B18679" s="5" t="s">
        <v>354</v>
      </c>
      <c r="C18679" s="5" t="s">
        <v>19</v>
      </c>
      <c r="D18679" s="5">
        <v>1</v>
      </c>
      <c r="E18679" s="5">
        <v>127942</v>
      </c>
    </row>
    <row r="18680" spans="1:5" x14ac:dyDescent="0.35">
      <c r="A18680" s="3">
        <v>46252</v>
      </c>
      <c r="B18680" s="5" t="s">
        <v>355</v>
      </c>
      <c r="C18680" s="5" t="s">
        <v>19</v>
      </c>
      <c r="D18680" s="5">
        <v>1</v>
      </c>
      <c r="E18680" s="5">
        <v>127942</v>
      </c>
    </row>
    <row r="18681" spans="1:5" x14ac:dyDescent="0.35">
      <c r="A18681" s="3">
        <v>46252</v>
      </c>
      <c r="B18681" s="5" t="s">
        <v>355</v>
      </c>
      <c r="C18681" s="5" t="s">
        <v>18</v>
      </c>
      <c r="D18681" s="5">
        <v>1</v>
      </c>
      <c r="E18681" s="5">
        <v>127942</v>
      </c>
    </row>
    <row r="18682" spans="1:5" x14ac:dyDescent="0.35">
      <c r="A18682" s="3">
        <v>46252</v>
      </c>
      <c r="B18682" s="5" t="s">
        <v>258</v>
      </c>
      <c r="C18682" s="5" t="s">
        <v>20</v>
      </c>
      <c r="D18682" s="5">
        <v>1</v>
      </c>
      <c r="E18682" s="5">
        <v>127942</v>
      </c>
    </row>
    <row r="18683" spans="1:5" x14ac:dyDescent="0.35">
      <c r="A18683" s="3">
        <v>46252</v>
      </c>
      <c r="B18683" s="5" t="s">
        <v>258</v>
      </c>
      <c r="C18683" s="5" t="s">
        <v>19</v>
      </c>
      <c r="D18683" s="5">
        <v>1</v>
      </c>
      <c r="E18683" s="5">
        <v>127942</v>
      </c>
    </row>
    <row r="18684" spans="1:5" x14ac:dyDescent="0.35">
      <c r="A18684" s="3">
        <v>46252</v>
      </c>
      <c r="B18684" s="5" t="s">
        <v>258</v>
      </c>
      <c r="C18684" s="5" t="s">
        <v>19</v>
      </c>
      <c r="D18684" s="5">
        <v>1</v>
      </c>
      <c r="E18684" s="5">
        <v>127942</v>
      </c>
    </row>
    <row r="18685" spans="1:5" x14ac:dyDescent="0.35">
      <c r="A18685" s="3">
        <v>46252</v>
      </c>
      <c r="B18685" s="5" t="s">
        <v>237</v>
      </c>
      <c r="C18685" s="5" t="s">
        <v>38</v>
      </c>
      <c r="D18685" s="5">
        <v>1</v>
      </c>
      <c r="E18685" s="5">
        <v>203578</v>
      </c>
    </row>
    <row r="18686" spans="1:5" x14ac:dyDescent="0.35">
      <c r="A18686" s="3">
        <v>46252</v>
      </c>
      <c r="B18686" s="5" t="s">
        <v>258</v>
      </c>
      <c r="C18686" s="5" t="s">
        <v>18</v>
      </c>
      <c r="D18686" s="5">
        <v>1</v>
      </c>
      <c r="E18686" s="5">
        <v>127942</v>
      </c>
    </row>
    <row r="18687" spans="1:5" x14ac:dyDescent="0.35">
      <c r="A18687" s="3">
        <v>46252</v>
      </c>
      <c r="B18687" s="5" t="s">
        <v>258</v>
      </c>
      <c r="C18687" s="5" t="s">
        <v>18</v>
      </c>
      <c r="D18687" s="5">
        <v>1</v>
      </c>
      <c r="E18687" s="5">
        <v>127942</v>
      </c>
    </row>
    <row r="18688" spans="1:5" x14ac:dyDescent="0.35">
      <c r="A18688" s="3">
        <v>46252</v>
      </c>
      <c r="B18688" s="5" t="s">
        <v>364</v>
      </c>
      <c r="C18688" s="5" t="s">
        <v>66</v>
      </c>
      <c r="D18688" s="5">
        <v>1</v>
      </c>
      <c r="E18688" s="5">
        <v>116305</v>
      </c>
    </row>
    <row r="18689" spans="1:5" x14ac:dyDescent="0.35">
      <c r="A18689" s="3">
        <v>46252</v>
      </c>
      <c r="B18689" s="5" t="s">
        <v>364</v>
      </c>
      <c r="C18689" s="5" t="s">
        <v>66</v>
      </c>
      <c r="D18689" s="5">
        <v>1</v>
      </c>
      <c r="E18689" s="5">
        <v>116305</v>
      </c>
    </row>
    <row r="18690" spans="1:5" x14ac:dyDescent="0.35">
      <c r="A18690" s="3">
        <v>46252</v>
      </c>
      <c r="B18690" s="5" t="s">
        <v>364</v>
      </c>
      <c r="C18690" s="5" t="s">
        <v>65</v>
      </c>
      <c r="D18690" s="5">
        <v>1</v>
      </c>
      <c r="E18690" s="5">
        <v>116305</v>
      </c>
    </row>
    <row r="18691" spans="1:5" x14ac:dyDescent="0.35">
      <c r="A18691" s="3">
        <v>46252</v>
      </c>
      <c r="B18691" s="5" t="s">
        <v>364</v>
      </c>
      <c r="C18691" s="5" t="s">
        <v>66</v>
      </c>
      <c r="D18691" s="5">
        <v>1</v>
      </c>
      <c r="E18691" s="5">
        <v>116305</v>
      </c>
    </row>
    <row r="18692" spans="1:5" x14ac:dyDescent="0.35">
      <c r="A18692" s="3">
        <v>46252</v>
      </c>
      <c r="B18692" s="5" t="s">
        <v>364</v>
      </c>
      <c r="C18692" s="5" t="s">
        <v>66</v>
      </c>
      <c r="D18692" s="5">
        <v>1</v>
      </c>
      <c r="E18692" s="5">
        <v>116305</v>
      </c>
    </row>
    <row r="18693" spans="1:5" x14ac:dyDescent="0.35">
      <c r="A18693" s="3">
        <v>46252</v>
      </c>
      <c r="B18693" s="5" t="s">
        <v>364</v>
      </c>
      <c r="C18693" s="5" t="s">
        <v>66</v>
      </c>
      <c r="D18693" s="5">
        <v>1</v>
      </c>
      <c r="E18693" s="5">
        <v>116305</v>
      </c>
    </row>
    <row r="18694" spans="1:5" x14ac:dyDescent="0.35">
      <c r="A18694" s="3">
        <v>46252</v>
      </c>
      <c r="B18694" s="5" t="s">
        <v>362</v>
      </c>
      <c r="C18694" s="5" t="s">
        <v>66</v>
      </c>
      <c r="D18694" s="5">
        <v>1</v>
      </c>
      <c r="E18694" s="5">
        <v>116305</v>
      </c>
    </row>
    <row r="18695" spans="1:5" x14ac:dyDescent="0.35">
      <c r="A18695" s="3">
        <v>46252</v>
      </c>
      <c r="B18695" s="5" t="s">
        <v>373</v>
      </c>
      <c r="C18695" s="5" t="s">
        <v>26</v>
      </c>
      <c r="D18695" s="5">
        <v>1</v>
      </c>
      <c r="E18695" s="5">
        <v>501682</v>
      </c>
    </row>
    <row r="18696" spans="1:5" x14ac:dyDescent="0.35">
      <c r="A18696" s="3">
        <v>46252</v>
      </c>
      <c r="B18696" s="5" t="s">
        <v>376</v>
      </c>
      <c r="C18696" s="5" t="s">
        <v>17</v>
      </c>
      <c r="D18696" s="5">
        <v>1</v>
      </c>
      <c r="E18696" s="5">
        <v>236305</v>
      </c>
    </row>
    <row r="18697" spans="1:5" x14ac:dyDescent="0.35">
      <c r="A18697" s="3">
        <v>46252</v>
      </c>
      <c r="B18697" s="5" t="s">
        <v>315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46252</v>
      </c>
      <c r="B18698" s="5" t="s">
        <v>315</v>
      </c>
      <c r="C18698" s="5" t="s">
        <v>65</v>
      </c>
      <c r="D18698" s="5">
        <v>1</v>
      </c>
      <c r="E18698" s="5">
        <v>116305</v>
      </c>
    </row>
    <row r="18699" spans="1:5" x14ac:dyDescent="0.35">
      <c r="A18699" s="3">
        <v>46252</v>
      </c>
      <c r="B18699" s="5" t="s">
        <v>315</v>
      </c>
      <c r="C18699" s="5" t="s">
        <v>67</v>
      </c>
      <c r="D18699" s="5">
        <v>1</v>
      </c>
      <c r="E18699" s="5">
        <v>116305</v>
      </c>
    </row>
    <row r="18700" spans="1:5" x14ac:dyDescent="0.35">
      <c r="A18700" s="3">
        <v>46252</v>
      </c>
      <c r="B18700" s="5" t="s">
        <v>315</v>
      </c>
      <c r="C18700" s="5" t="s">
        <v>66</v>
      </c>
      <c r="D18700" s="5">
        <v>1</v>
      </c>
      <c r="E18700" s="5">
        <v>116305</v>
      </c>
    </row>
    <row r="18701" spans="1:5" x14ac:dyDescent="0.35">
      <c r="A18701" s="3">
        <v>46252</v>
      </c>
      <c r="B18701" s="5" t="s">
        <v>315</v>
      </c>
      <c r="C18701" s="5" t="s">
        <v>67</v>
      </c>
      <c r="D18701" s="5">
        <v>1</v>
      </c>
      <c r="E18701" s="5">
        <v>116305</v>
      </c>
    </row>
    <row r="18702" spans="1:5" x14ac:dyDescent="0.35">
      <c r="A18702" s="3">
        <v>46252</v>
      </c>
      <c r="B18702" s="5" t="s">
        <v>355</v>
      </c>
      <c r="C18702" s="5" t="s">
        <v>20</v>
      </c>
      <c r="D18702" s="5">
        <v>1</v>
      </c>
      <c r="E18702" s="5">
        <v>127942</v>
      </c>
    </row>
    <row r="18703" spans="1:5" x14ac:dyDescent="0.35">
      <c r="A18703" s="3">
        <v>46252</v>
      </c>
      <c r="B18703" s="5" t="s">
        <v>315</v>
      </c>
      <c r="C18703" s="5" t="s">
        <v>66</v>
      </c>
      <c r="D18703" s="5">
        <v>1</v>
      </c>
      <c r="E18703" s="5">
        <v>116305</v>
      </c>
    </row>
    <row r="18704" spans="1:5" x14ac:dyDescent="0.35">
      <c r="A18704" s="3">
        <v>46252</v>
      </c>
      <c r="B18704" s="5" t="s">
        <v>355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46252</v>
      </c>
      <c r="B18705" s="5" t="s">
        <v>354</v>
      </c>
      <c r="C18705" s="5" t="s">
        <v>18</v>
      </c>
      <c r="D18705" s="5">
        <v>1</v>
      </c>
      <c r="E18705" s="5">
        <v>127942</v>
      </c>
    </row>
    <row r="18706" spans="1:5" x14ac:dyDescent="0.35">
      <c r="A18706" s="3">
        <v>46252</v>
      </c>
      <c r="B18706" s="5" t="s">
        <v>354</v>
      </c>
      <c r="C18706" s="5" t="s">
        <v>18</v>
      </c>
      <c r="D18706" s="5">
        <v>1</v>
      </c>
      <c r="E18706" s="5">
        <v>127942</v>
      </c>
    </row>
    <row r="18707" spans="1:5" x14ac:dyDescent="0.35">
      <c r="A18707" s="3">
        <v>46252</v>
      </c>
      <c r="B18707" s="5" t="s">
        <v>355</v>
      </c>
      <c r="C18707" s="5" t="s">
        <v>19</v>
      </c>
      <c r="D18707" s="5">
        <v>1</v>
      </c>
      <c r="E18707" s="5">
        <v>127942</v>
      </c>
    </row>
    <row r="18708" spans="1:5" x14ac:dyDescent="0.35">
      <c r="A18708" s="3">
        <v>46252</v>
      </c>
      <c r="B18708" s="5" t="s">
        <v>363</v>
      </c>
      <c r="C18708" s="5" t="s">
        <v>66</v>
      </c>
      <c r="D18708" s="5">
        <v>1</v>
      </c>
      <c r="E18708" s="5">
        <v>116305</v>
      </c>
    </row>
    <row r="18709" spans="1:5" x14ac:dyDescent="0.35">
      <c r="A18709" s="3">
        <v>46252</v>
      </c>
      <c r="B18709" s="5" t="s">
        <v>258</v>
      </c>
      <c r="C18709" s="5" t="s">
        <v>20</v>
      </c>
      <c r="D18709" s="5">
        <v>1</v>
      </c>
      <c r="E18709" s="5">
        <v>127942</v>
      </c>
    </row>
    <row r="18710" spans="1:5" x14ac:dyDescent="0.35">
      <c r="A18710" s="3">
        <v>46252</v>
      </c>
      <c r="B18710" s="5" t="s">
        <v>354</v>
      </c>
      <c r="C18710" s="5" t="s">
        <v>18</v>
      </c>
      <c r="D18710" s="5">
        <v>1</v>
      </c>
      <c r="E18710" s="5">
        <v>127942</v>
      </c>
    </row>
    <row r="18711" spans="1:5" x14ac:dyDescent="0.35">
      <c r="A18711" s="3">
        <v>46252</v>
      </c>
      <c r="B18711" s="5" t="s">
        <v>258</v>
      </c>
      <c r="C18711" s="5" t="s">
        <v>20</v>
      </c>
      <c r="D18711" s="5">
        <v>1</v>
      </c>
      <c r="E18711" s="5">
        <v>127942</v>
      </c>
    </row>
    <row r="18712" spans="1:5" x14ac:dyDescent="0.35">
      <c r="A18712" s="3">
        <v>46252</v>
      </c>
      <c r="B18712" s="5" t="s">
        <v>364</v>
      </c>
      <c r="C18712" s="5" t="s">
        <v>66</v>
      </c>
      <c r="D18712" s="5">
        <v>1</v>
      </c>
      <c r="E18712" s="5">
        <v>116305</v>
      </c>
    </row>
    <row r="18713" spans="1:5" x14ac:dyDescent="0.35">
      <c r="A18713" s="3">
        <v>46252</v>
      </c>
      <c r="B18713" s="5" t="s">
        <v>258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46252</v>
      </c>
      <c r="B18714" s="5" t="s">
        <v>364</v>
      </c>
      <c r="C18714" s="5" t="s">
        <v>65</v>
      </c>
      <c r="D18714" s="5">
        <v>1</v>
      </c>
      <c r="E18714" s="5">
        <v>116305</v>
      </c>
    </row>
    <row r="18715" spans="1:5" x14ac:dyDescent="0.35">
      <c r="A18715" s="3">
        <v>46252</v>
      </c>
      <c r="B18715" s="5" t="s">
        <v>258</v>
      </c>
      <c r="C18715" s="5" t="s">
        <v>18</v>
      </c>
      <c r="D18715" s="5">
        <v>1</v>
      </c>
      <c r="E18715" s="5">
        <v>127942</v>
      </c>
    </row>
    <row r="18716" spans="1:5" x14ac:dyDescent="0.35">
      <c r="A18716" s="3">
        <v>46252</v>
      </c>
      <c r="B18716" s="5" t="s">
        <v>364</v>
      </c>
      <c r="C18716" s="5" t="s">
        <v>67</v>
      </c>
      <c r="D18716" s="5">
        <v>1</v>
      </c>
      <c r="E18716" s="5">
        <v>116305</v>
      </c>
    </row>
    <row r="18717" spans="1:5" x14ac:dyDescent="0.35">
      <c r="A18717" s="3">
        <v>46252</v>
      </c>
      <c r="B18717" s="5" t="s">
        <v>364</v>
      </c>
      <c r="C18717" s="5" t="s">
        <v>66</v>
      </c>
      <c r="D18717" s="5">
        <v>1</v>
      </c>
      <c r="E18717" s="5">
        <v>116305</v>
      </c>
    </row>
    <row r="18718" spans="1:5" x14ac:dyDescent="0.35">
      <c r="A18718" s="3">
        <v>46252</v>
      </c>
      <c r="B18718" s="5" t="s">
        <v>376</v>
      </c>
      <c r="C18718" s="5" t="s">
        <v>39</v>
      </c>
      <c r="D18718" s="5">
        <v>1</v>
      </c>
      <c r="E18718" s="5">
        <v>118123</v>
      </c>
    </row>
    <row r="18719" spans="1:5" x14ac:dyDescent="0.35">
      <c r="A18719" s="3">
        <v>46252</v>
      </c>
      <c r="B18719" s="5" t="s">
        <v>315</v>
      </c>
      <c r="C18719" s="5" t="s">
        <v>66</v>
      </c>
      <c r="D18719" s="5">
        <v>1</v>
      </c>
      <c r="E18719" s="5">
        <v>116305</v>
      </c>
    </row>
    <row r="18720" spans="1:5" x14ac:dyDescent="0.35">
      <c r="A18720" s="3">
        <v>46252</v>
      </c>
      <c r="B18720" s="5" t="s">
        <v>315</v>
      </c>
      <c r="C18720" s="5" t="s">
        <v>66</v>
      </c>
      <c r="D18720" s="5">
        <v>1</v>
      </c>
      <c r="E18720" s="5">
        <v>116305</v>
      </c>
    </row>
    <row r="18721" spans="1:5" x14ac:dyDescent="0.35">
      <c r="A18721" s="3">
        <v>46252</v>
      </c>
      <c r="B18721" s="5" t="s">
        <v>315</v>
      </c>
      <c r="C18721" s="5" t="s">
        <v>65</v>
      </c>
      <c r="D18721" s="5">
        <v>1</v>
      </c>
      <c r="E18721" s="5">
        <v>116305</v>
      </c>
    </row>
    <row r="18722" spans="1:5" x14ac:dyDescent="0.35">
      <c r="A18722" s="3">
        <v>46252</v>
      </c>
      <c r="B18722" s="5" t="s">
        <v>355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46252</v>
      </c>
      <c r="B18723" s="5" t="s">
        <v>315</v>
      </c>
      <c r="C18723" s="5" t="s">
        <v>65</v>
      </c>
      <c r="D18723" s="5">
        <v>1</v>
      </c>
      <c r="E18723" s="5">
        <v>116305</v>
      </c>
    </row>
    <row r="18724" spans="1:5" x14ac:dyDescent="0.35">
      <c r="A18724" s="3">
        <v>46252</v>
      </c>
      <c r="B18724" s="5" t="s">
        <v>258</v>
      </c>
      <c r="C18724" s="5" t="s">
        <v>20</v>
      </c>
      <c r="D18724" s="5">
        <v>1</v>
      </c>
      <c r="E18724" s="5">
        <v>127942</v>
      </c>
    </row>
    <row r="18725" spans="1:5" x14ac:dyDescent="0.35">
      <c r="A18725" s="3">
        <v>46252</v>
      </c>
      <c r="B18725" s="5" t="s">
        <v>258</v>
      </c>
      <c r="C18725" s="5" t="s">
        <v>19</v>
      </c>
      <c r="D18725" s="5">
        <v>1</v>
      </c>
      <c r="E18725" s="5">
        <v>127942</v>
      </c>
    </row>
    <row r="18726" spans="1:5" x14ac:dyDescent="0.35">
      <c r="A18726" s="3">
        <v>46252</v>
      </c>
      <c r="B18726" s="5" t="s">
        <v>364</v>
      </c>
      <c r="C18726" s="5" t="s">
        <v>66</v>
      </c>
      <c r="D18726" s="5">
        <v>1</v>
      </c>
      <c r="E18726" s="5">
        <v>116305</v>
      </c>
    </row>
    <row r="18727" spans="1:5" x14ac:dyDescent="0.35">
      <c r="A18727" s="3">
        <v>46252</v>
      </c>
      <c r="B18727" s="5" t="s">
        <v>258</v>
      </c>
      <c r="C18727" s="5" t="s">
        <v>18</v>
      </c>
      <c r="D18727" s="5">
        <v>1</v>
      </c>
      <c r="E18727" s="5">
        <v>127942</v>
      </c>
    </row>
    <row r="18728" spans="1:5" x14ac:dyDescent="0.35">
      <c r="A18728" s="3">
        <v>46252</v>
      </c>
      <c r="B18728" s="5" t="s">
        <v>258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46252</v>
      </c>
      <c r="B18729" s="5" t="s">
        <v>258</v>
      </c>
      <c r="C18729" s="5" t="s">
        <v>18</v>
      </c>
      <c r="D18729" s="5">
        <v>1</v>
      </c>
      <c r="E18729" s="5">
        <v>127942</v>
      </c>
    </row>
    <row r="18730" spans="1:5" x14ac:dyDescent="0.35">
      <c r="A18730" s="3">
        <v>46252</v>
      </c>
      <c r="B18730" s="5" t="s">
        <v>258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46252</v>
      </c>
      <c r="B18731" s="5" t="s">
        <v>258</v>
      </c>
      <c r="C18731" s="5" t="s">
        <v>18</v>
      </c>
      <c r="D18731" s="5">
        <v>1</v>
      </c>
      <c r="E18731" s="5">
        <v>127942</v>
      </c>
    </row>
    <row r="18732" spans="1:5" x14ac:dyDescent="0.35">
      <c r="A18732" s="3">
        <v>46252</v>
      </c>
      <c r="B18732" s="5" t="s">
        <v>364</v>
      </c>
      <c r="C18732" s="5" t="s">
        <v>67</v>
      </c>
      <c r="D18732" s="5">
        <v>1</v>
      </c>
      <c r="E18732" s="5">
        <v>116305</v>
      </c>
    </row>
    <row r="18733" spans="1:5" x14ac:dyDescent="0.35">
      <c r="A18733" s="3">
        <v>46252</v>
      </c>
      <c r="B18733" s="5" t="s">
        <v>258</v>
      </c>
      <c r="C18733" s="5" t="s">
        <v>20</v>
      </c>
      <c r="D18733" s="5">
        <v>1</v>
      </c>
      <c r="E18733" s="5">
        <v>127942</v>
      </c>
    </row>
    <row r="18734" spans="1:5" x14ac:dyDescent="0.35">
      <c r="A18734" s="3">
        <v>46252</v>
      </c>
      <c r="B18734" s="5" t="s">
        <v>364</v>
      </c>
      <c r="C18734" s="5" t="s">
        <v>67</v>
      </c>
      <c r="D18734" s="5">
        <v>1</v>
      </c>
      <c r="E18734" s="5">
        <v>116305</v>
      </c>
    </row>
    <row r="18735" spans="1:5" x14ac:dyDescent="0.35">
      <c r="A18735" s="3">
        <v>46252</v>
      </c>
      <c r="B18735" s="5" t="s">
        <v>364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46252</v>
      </c>
      <c r="B18736" s="5" t="s">
        <v>362</v>
      </c>
      <c r="C18736" s="5" t="s">
        <v>65</v>
      </c>
      <c r="D18736" s="5">
        <v>1</v>
      </c>
      <c r="E18736" s="5">
        <v>116305</v>
      </c>
    </row>
    <row r="18737" spans="1:5" x14ac:dyDescent="0.35">
      <c r="A18737" s="3">
        <v>46252</v>
      </c>
      <c r="B18737" s="5" t="s">
        <v>362</v>
      </c>
      <c r="C18737" s="5" t="s">
        <v>67</v>
      </c>
      <c r="D18737" s="5">
        <v>1</v>
      </c>
      <c r="E18737" s="5">
        <v>116305</v>
      </c>
    </row>
    <row r="18738" spans="1:5" x14ac:dyDescent="0.35">
      <c r="A18738" s="3">
        <v>46252</v>
      </c>
      <c r="B18738" s="5" t="s">
        <v>373</v>
      </c>
      <c r="C18738" s="5" t="s">
        <v>87</v>
      </c>
      <c r="D18738" s="5">
        <v>1</v>
      </c>
      <c r="E18738" s="5">
        <v>70850</v>
      </c>
    </row>
    <row r="18739" spans="1:5" x14ac:dyDescent="0.35">
      <c r="A18739" s="3">
        <v>46252</v>
      </c>
      <c r="B18739" s="5" t="s">
        <v>373</v>
      </c>
      <c r="C18739" s="5" t="s">
        <v>82</v>
      </c>
      <c r="D18739" s="5">
        <v>1</v>
      </c>
      <c r="E18739" s="5">
        <v>70850</v>
      </c>
    </row>
    <row r="18740" spans="1:5" x14ac:dyDescent="0.35">
      <c r="A18740" s="3">
        <v>46252</v>
      </c>
      <c r="B18740" s="5" t="s">
        <v>315</v>
      </c>
      <c r="C18740" s="5" t="s">
        <v>66</v>
      </c>
      <c r="D18740" s="5">
        <v>1</v>
      </c>
      <c r="E18740" s="5">
        <v>116305</v>
      </c>
    </row>
    <row r="18741" spans="1:5" x14ac:dyDescent="0.35">
      <c r="A18741" s="3">
        <v>46252</v>
      </c>
      <c r="B18741" s="5" t="s">
        <v>315</v>
      </c>
      <c r="C18741" s="5" t="s">
        <v>66</v>
      </c>
      <c r="D18741" s="5">
        <v>1</v>
      </c>
      <c r="E18741" s="5">
        <v>116305</v>
      </c>
    </row>
    <row r="18742" spans="1:5" x14ac:dyDescent="0.35">
      <c r="A18742" s="3">
        <v>46252</v>
      </c>
      <c r="B18742" s="5" t="s">
        <v>315</v>
      </c>
      <c r="C18742" s="5" t="s">
        <v>66</v>
      </c>
      <c r="D18742" s="5">
        <v>1</v>
      </c>
      <c r="E18742" s="5">
        <v>116305</v>
      </c>
    </row>
    <row r="18743" spans="1:5" x14ac:dyDescent="0.35">
      <c r="A18743" s="3">
        <v>46252</v>
      </c>
      <c r="B18743" s="5" t="s">
        <v>315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46252</v>
      </c>
      <c r="B18744" s="5" t="s">
        <v>315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46252</v>
      </c>
      <c r="B18745" s="5" t="s">
        <v>315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46252</v>
      </c>
      <c r="B18746" s="5" t="s">
        <v>315</v>
      </c>
      <c r="C18746" s="5" t="s">
        <v>66</v>
      </c>
      <c r="D18746" s="5">
        <v>1</v>
      </c>
      <c r="E18746" s="5">
        <v>116305</v>
      </c>
    </row>
    <row r="18747" spans="1:5" x14ac:dyDescent="0.35">
      <c r="A18747" s="3">
        <v>46252</v>
      </c>
      <c r="B18747" s="5" t="s">
        <v>315</v>
      </c>
      <c r="C18747" s="5" t="s">
        <v>66</v>
      </c>
      <c r="D18747" s="5">
        <v>1</v>
      </c>
      <c r="E18747" s="5">
        <v>116305</v>
      </c>
    </row>
    <row r="18748" spans="1:5" x14ac:dyDescent="0.35">
      <c r="A18748" s="3">
        <v>46252</v>
      </c>
      <c r="B18748" s="5" t="s">
        <v>315</v>
      </c>
      <c r="C18748" s="5" t="s">
        <v>65</v>
      </c>
      <c r="D18748" s="5">
        <v>1</v>
      </c>
      <c r="E18748" s="5">
        <v>116305</v>
      </c>
    </row>
    <row r="18749" spans="1:5" x14ac:dyDescent="0.35">
      <c r="A18749" s="3">
        <v>46252</v>
      </c>
      <c r="B18749" s="5" t="s">
        <v>354</v>
      </c>
      <c r="C18749" s="5" t="s">
        <v>19</v>
      </c>
      <c r="D18749" s="5">
        <v>1</v>
      </c>
      <c r="E18749" s="5">
        <v>127942</v>
      </c>
    </row>
    <row r="18750" spans="1:5" x14ac:dyDescent="0.35">
      <c r="A18750" s="3">
        <v>46252</v>
      </c>
      <c r="B18750" s="5" t="s">
        <v>258</v>
      </c>
      <c r="C18750" s="5" t="s">
        <v>19</v>
      </c>
      <c r="D18750" s="5">
        <v>1</v>
      </c>
      <c r="E18750" s="5">
        <v>127942</v>
      </c>
    </row>
    <row r="18751" spans="1:5" x14ac:dyDescent="0.35">
      <c r="A18751" s="3">
        <v>46252</v>
      </c>
      <c r="B18751" s="5" t="s">
        <v>244</v>
      </c>
      <c r="C18751" s="5" t="s">
        <v>18</v>
      </c>
      <c r="D18751" s="5">
        <v>1</v>
      </c>
      <c r="E18751" s="5">
        <v>129941</v>
      </c>
    </row>
    <row r="18752" spans="1:5" x14ac:dyDescent="0.35">
      <c r="A18752" s="3">
        <v>46252</v>
      </c>
      <c r="B18752" s="5" t="s">
        <v>315</v>
      </c>
      <c r="C18752" s="5" t="s">
        <v>66</v>
      </c>
      <c r="D18752" s="5">
        <v>1</v>
      </c>
      <c r="E18752" s="5">
        <v>116305</v>
      </c>
    </row>
    <row r="18753" spans="1:5" x14ac:dyDescent="0.35">
      <c r="A18753" s="3">
        <v>46252</v>
      </c>
      <c r="B18753" s="5" t="s">
        <v>315</v>
      </c>
      <c r="C18753" s="5" t="s">
        <v>66</v>
      </c>
      <c r="D18753" s="5">
        <v>1</v>
      </c>
      <c r="E18753" s="5">
        <v>116305</v>
      </c>
    </row>
    <row r="18754" spans="1:5" x14ac:dyDescent="0.35">
      <c r="A18754" s="3">
        <v>46252</v>
      </c>
      <c r="B18754" s="5" t="s">
        <v>315</v>
      </c>
      <c r="C18754" s="5" t="s">
        <v>66</v>
      </c>
      <c r="D18754" s="5">
        <v>1</v>
      </c>
      <c r="E18754" s="5">
        <v>116305</v>
      </c>
    </row>
    <row r="18755" spans="1:5" x14ac:dyDescent="0.35">
      <c r="A18755" s="3">
        <v>46252</v>
      </c>
      <c r="B18755" s="5" t="s">
        <v>315</v>
      </c>
      <c r="C18755" s="5" t="s">
        <v>66</v>
      </c>
      <c r="D18755" s="5">
        <v>1</v>
      </c>
      <c r="E18755" s="5">
        <v>116305</v>
      </c>
    </row>
    <row r="18756" spans="1:5" x14ac:dyDescent="0.35">
      <c r="A18756" s="3">
        <v>46252</v>
      </c>
      <c r="B18756" s="5" t="s">
        <v>315</v>
      </c>
      <c r="C18756" s="5" t="s">
        <v>65</v>
      </c>
      <c r="D18756" s="5">
        <v>1</v>
      </c>
      <c r="E18756" s="5">
        <v>116305</v>
      </c>
    </row>
    <row r="18757" spans="1:5" x14ac:dyDescent="0.35">
      <c r="A18757" s="3">
        <v>46252</v>
      </c>
      <c r="B18757" s="5" t="s">
        <v>258</v>
      </c>
      <c r="C18757" s="5" t="s">
        <v>20</v>
      </c>
      <c r="D18757" s="5">
        <v>1</v>
      </c>
      <c r="E18757" s="5">
        <v>127942</v>
      </c>
    </row>
    <row r="18758" spans="1:5" x14ac:dyDescent="0.35">
      <c r="A18758" s="3">
        <v>46252</v>
      </c>
      <c r="B18758" s="5" t="s">
        <v>258</v>
      </c>
      <c r="C18758" s="5" t="s">
        <v>19</v>
      </c>
      <c r="D18758" s="5">
        <v>1</v>
      </c>
      <c r="E18758" s="5">
        <v>127942</v>
      </c>
    </row>
    <row r="18759" spans="1:5" x14ac:dyDescent="0.35">
      <c r="A18759" s="3">
        <v>46252</v>
      </c>
      <c r="B18759" s="5" t="s">
        <v>363</v>
      </c>
      <c r="C18759" s="5" t="s">
        <v>65</v>
      </c>
      <c r="D18759" s="5">
        <v>1</v>
      </c>
      <c r="E18759" s="5">
        <v>116305</v>
      </c>
    </row>
    <row r="18760" spans="1:5" x14ac:dyDescent="0.35">
      <c r="A18760" s="3">
        <v>46252</v>
      </c>
      <c r="B18760" s="5" t="s">
        <v>258</v>
      </c>
      <c r="C18760" s="5" t="s">
        <v>19</v>
      </c>
      <c r="D18760" s="5">
        <v>1</v>
      </c>
      <c r="E18760" s="5">
        <v>127942</v>
      </c>
    </row>
    <row r="18761" spans="1:5" x14ac:dyDescent="0.35">
      <c r="A18761" s="3">
        <v>46252</v>
      </c>
      <c r="B18761" s="5" t="s">
        <v>364</v>
      </c>
      <c r="C18761" s="5" t="s">
        <v>66</v>
      </c>
      <c r="D18761" s="5">
        <v>1</v>
      </c>
      <c r="E18761" s="5">
        <v>116305</v>
      </c>
    </row>
    <row r="18762" spans="1:5" x14ac:dyDescent="0.35">
      <c r="A18762" s="3">
        <v>46252</v>
      </c>
      <c r="B18762" s="5" t="s">
        <v>362</v>
      </c>
      <c r="C18762" s="5" t="s">
        <v>66</v>
      </c>
      <c r="D18762" s="5">
        <v>1</v>
      </c>
      <c r="E18762" s="5">
        <v>116305</v>
      </c>
    </row>
    <row r="18763" spans="1:5" x14ac:dyDescent="0.35">
      <c r="A18763" s="3">
        <v>46252</v>
      </c>
      <c r="B18763" s="5" t="s">
        <v>373</v>
      </c>
      <c r="C18763" s="5" t="s">
        <v>18</v>
      </c>
      <c r="D18763" s="5">
        <v>1</v>
      </c>
      <c r="E18763" s="5">
        <v>129941</v>
      </c>
    </row>
    <row r="18764" spans="1:5" x14ac:dyDescent="0.35">
      <c r="A18764" s="3">
        <v>46252</v>
      </c>
      <c r="B18764" s="5" t="s">
        <v>373</v>
      </c>
      <c r="C18764" s="5" t="s">
        <v>26</v>
      </c>
      <c r="D18764" s="5">
        <v>1</v>
      </c>
      <c r="E18764" s="5">
        <v>501682</v>
      </c>
    </row>
    <row r="18765" spans="1:5" x14ac:dyDescent="0.35">
      <c r="A18765" s="3">
        <v>46252</v>
      </c>
      <c r="B18765" s="5" t="s">
        <v>315</v>
      </c>
      <c r="C18765" s="5" t="s">
        <v>66</v>
      </c>
      <c r="D18765" s="5">
        <v>1</v>
      </c>
      <c r="E18765" s="5">
        <v>116305</v>
      </c>
    </row>
    <row r="18766" spans="1:5" x14ac:dyDescent="0.35">
      <c r="A18766" s="3">
        <v>46252</v>
      </c>
      <c r="B18766" s="5" t="s">
        <v>315</v>
      </c>
      <c r="C18766" s="5" t="s">
        <v>66</v>
      </c>
      <c r="D18766" s="5">
        <v>1</v>
      </c>
      <c r="E18766" s="5">
        <v>116305</v>
      </c>
    </row>
    <row r="18767" spans="1:5" x14ac:dyDescent="0.35">
      <c r="A18767" s="3">
        <v>46252</v>
      </c>
      <c r="B18767" s="5" t="s">
        <v>315</v>
      </c>
      <c r="C18767" s="5" t="s">
        <v>66</v>
      </c>
      <c r="D18767" s="5">
        <v>1</v>
      </c>
      <c r="E18767" s="5">
        <v>116305</v>
      </c>
    </row>
    <row r="18768" spans="1:5" x14ac:dyDescent="0.35">
      <c r="A18768" s="3">
        <v>46252</v>
      </c>
      <c r="B18768" s="5" t="s">
        <v>315</v>
      </c>
      <c r="C18768" s="5" t="s">
        <v>66</v>
      </c>
      <c r="D18768" s="5">
        <v>1</v>
      </c>
      <c r="E18768" s="5">
        <v>116305</v>
      </c>
    </row>
    <row r="18769" spans="1:5" x14ac:dyDescent="0.35">
      <c r="A18769" s="3">
        <v>46252</v>
      </c>
      <c r="B18769" s="5" t="s">
        <v>315</v>
      </c>
      <c r="C18769" s="5" t="s">
        <v>65</v>
      </c>
      <c r="D18769" s="5">
        <v>1</v>
      </c>
      <c r="E18769" s="5">
        <v>116305</v>
      </c>
    </row>
    <row r="18770" spans="1:5" x14ac:dyDescent="0.35">
      <c r="A18770" s="3">
        <v>46252</v>
      </c>
      <c r="B18770" s="5" t="s">
        <v>315</v>
      </c>
      <c r="C18770" s="5" t="s">
        <v>65</v>
      </c>
      <c r="D18770" s="5">
        <v>1</v>
      </c>
      <c r="E18770" s="5">
        <v>116305</v>
      </c>
    </row>
    <row r="18771" spans="1:5" x14ac:dyDescent="0.35">
      <c r="A18771" s="3">
        <v>46252</v>
      </c>
      <c r="B18771" s="5" t="s">
        <v>237</v>
      </c>
      <c r="C18771" s="5" t="s">
        <v>38</v>
      </c>
      <c r="D18771" s="5">
        <v>1</v>
      </c>
      <c r="E18771" s="5">
        <v>203578</v>
      </c>
    </row>
    <row r="18772" spans="1:5" x14ac:dyDescent="0.35">
      <c r="A18772" s="3">
        <v>46252</v>
      </c>
      <c r="B18772" s="5" t="s">
        <v>237</v>
      </c>
      <c r="C18772" s="5" t="s">
        <v>38</v>
      </c>
      <c r="D18772" s="5">
        <v>1</v>
      </c>
      <c r="E18772" s="5">
        <v>203578</v>
      </c>
    </row>
    <row r="18773" spans="1:5" x14ac:dyDescent="0.35">
      <c r="A18773" s="3">
        <v>46252</v>
      </c>
      <c r="B18773" s="5" t="s">
        <v>237</v>
      </c>
      <c r="C18773" s="5" t="s">
        <v>38</v>
      </c>
      <c r="D18773" s="5">
        <v>1</v>
      </c>
      <c r="E18773" s="5">
        <v>203578</v>
      </c>
    </row>
    <row r="18774" spans="1:5" x14ac:dyDescent="0.35">
      <c r="A18774" s="3">
        <v>46252</v>
      </c>
      <c r="B18774" s="5" t="s">
        <v>237</v>
      </c>
      <c r="C18774" s="5" t="s">
        <v>38</v>
      </c>
      <c r="D18774" s="5">
        <v>1</v>
      </c>
      <c r="E18774" s="5">
        <v>203578</v>
      </c>
    </row>
    <row r="18775" spans="1:5" x14ac:dyDescent="0.35">
      <c r="A18775" s="3">
        <v>46252</v>
      </c>
      <c r="B18775" s="5" t="s">
        <v>355</v>
      </c>
      <c r="C18775" s="5" t="s">
        <v>20</v>
      </c>
      <c r="D18775" s="5">
        <v>1</v>
      </c>
      <c r="E18775" s="5">
        <v>127942</v>
      </c>
    </row>
    <row r="18776" spans="1:5" x14ac:dyDescent="0.35">
      <c r="A18776" s="3">
        <v>46252</v>
      </c>
      <c r="B18776" s="5" t="s">
        <v>258</v>
      </c>
      <c r="C18776" s="5" t="s">
        <v>19</v>
      </c>
      <c r="D18776" s="5">
        <v>1</v>
      </c>
      <c r="E18776" s="5">
        <v>127942</v>
      </c>
    </row>
    <row r="18777" spans="1:5" x14ac:dyDescent="0.35">
      <c r="A18777" s="3">
        <v>46252</v>
      </c>
      <c r="B18777" s="5" t="s">
        <v>364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46252</v>
      </c>
      <c r="B18778" s="5" t="s">
        <v>258</v>
      </c>
      <c r="C18778" s="5" t="s">
        <v>19</v>
      </c>
      <c r="D18778" s="5">
        <v>1</v>
      </c>
      <c r="E18778" s="5">
        <v>127942</v>
      </c>
    </row>
    <row r="18779" spans="1:5" x14ac:dyDescent="0.35">
      <c r="A18779" s="3">
        <v>46252</v>
      </c>
      <c r="B18779" s="5" t="s">
        <v>258</v>
      </c>
      <c r="C18779" s="5" t="s">
        <v>18</v>
      </c>
      <c r="D18779" s="5">
        <v>1</v>
      </c>
      <c r="E18779" s="5">
        <v>127942</v>
      </c>
    </row>
    <row r="18780" spans="1:5" x14ac:dyDescent="0.35">
      <c r="A18780" s="3">
        <v>46252</v>
      </c>
      <c r="B18780" s="5" t="s">
        <v>364</v>
      </c>
      <c r="C18780" s="5" t="s">
        <v>66</v>
      </c>
      <c r="D18780" s="5">
        <v>1</v>
      </c>
      <c r="E18780" s="5">
        <v>116305</v>
      </c>
    </row>
    <row r="18781" spans="1:5" x14ac:dyDescent="0.35">
      <c r="A18781" s="3">
        <v>46252</v>
      </c>
      <c r="B18781" s="5" t="s">
        <v>364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46252</v>
      </c>
      <c r="B18782" s="5" t="s">
        <v>258</v>
      </c>
      <c r="C18782" s="5" t="s">
        <v>18</v>
      </c>
      <c r="D18782" s="5">
        <v>1</v>
      </c>
      <c r="E18782" s="5">
        <v>127942</v>
      </c>
    </row>
    <row r="18783" spans="1:5" x14ac:dyDescent="0.35">
      <c r="A18783" s="3">
        <v>46252</v>
      </c>
      <c r="B18783" s="5" t="s">
        <v>364</v>
      </c>
      <c r="C18783" s="5" t="s">
        <v>65</v>
      </c>
      <c r="D18783" s="5">
        <v>1</v>
      </c>
      <c r="E18783" s="5">
        <v>116305</v>
      </c>
    </row>
    <row r="18784" spans="1:5" x14ac:dyDescent="0.35">
      <c r="A18784" s="3">
        <v>46252</v>
      </c>
      <c r="B18784" s="5" t="s">
        <v>364</v>
      </c>
      <c r="C18784" s="5" t="s">
        <v>66</v>
      </c>
      <c r="D18784" s="5">
        <v>1</v>
      </c>
      <c r="E18784" s="5">
        <v>116305</v>
      </c>
    </row>
    <row r="18785" spans="1:5" x14ac:dyDescent="0.35">
      <c r="A18785" s="3">
        <v>46252</v>
      </c>
      <c r="B18785" s="5" t="s">
        <v>373</v>
      </c>
      <c r="C18785" s="5" t="s">
        <v>82</v>
      </c>
      <c r="D18785" s="5">
        <v>1</v>
      </c>
      <c r="E18785" s="5">
        <v>70850</v>
      </c>
    </row>
    <row r="18786" spans="1:5" x14ac:dyDescent="0.35">
      <c r="A18786" s="3">
        <v>46252</v>
      </c>
      <c r="B18786" s="5" t="s">
        <v>373</v>
      </c>
      <c r="C18786" s="5" t="s">
        <v>28</v>
      </c>
      <c r="D18786" s="5">
        <v>1</v>
      </c>
      <c r="E18786" s="5">
        <v>118123</v>
      </c>
    </row>
    <row r="18787" spans="1:5" x14ac:dyDescent="0.35">
      <c r="A18787" s="3">
        <v>46252</v>
      </c>
      <c r="B18787" s="5" t="s">
        <v>244</v>
      </c>
      <c r="C18787" s="5" t="s">
        <v>18</v>
      </c>
      <c r="D18787" s="5">
        <v>1</v>
      </c>
      <c r="E18787" s="5">
        <v>129941</v>
      </c>
    </row>
    <row r="18788" spans="1:5" x14ac:dyDescent="0.35">
      <c r="A18788" s="3">
        <v>46252</v>
      </c>
      <c r="B18788" s="5" t="s">
        <v>244</v>
      </c>
      <c r="C18788" s="5" t="s">
        <v>85</v>
      </c>
      <c r="D18788" s="5">
        <v>1</v>
      </c>
      <c r="E18788" s="5">
        <v>189032</v>
      </c>
    </row>
    <row r="18789" spans="1:5" x14ac:dyDescent="0.35">
      <c r="A18789" s="3">
        <v>46252</v>
      </c>
      <c r="B18789" s="5" t="s">
        <v>315</v>
      </c>
      <c r="C18789" s="5" t="s">
        <v>66</v>
      </c>
      <c r="D18789" s="5">
        <v>1</v>
      </c>
      <c r="E18789" s="5">
        <v>116305</v>
      </c>
    </row>
    <row r="18790" spans="1:5" x14ac:dyDescent="0.35">
      <c r="A18790" s="3">
        <v>46252</v>
      </c>
      <c r="B18790" s="5" t="s">
        <v>315</v>
      </c>
      <c r="C18790" s="5" t="s">
        <v>66</v>
      </c>
      <c r="D18790" s="5">
        <v>1</v>
      </c>
      <c r="E18790" s="5">
        <v>116305</v>
      </c>
    </row>
    <row r="18791" spans="1:5" x14ac:dyDescent="0.35">
      <c r="A18791" s="3">
        <v>46252</v>
      </c>
      <c r="B18791" s="5" t="s">
        <v>315</v>
      </c>
      <c r="C18791" s="5" t="s">
        <v>67</v>
      </c>
      <c r="D18791" s="5">
        <v>1</v>
      </c>
      <c r="E18791" s="5">
        <v>116305</v>
      </c>
    </row>
    <row r="18792" spans="1:5" x14ac:dyDescent="0.35">
      <c r="A18792" s="3">
        <v>46252</v>
      </c>
      <c r="B18792" s="5" t="s">
        <v>315</v>
      </c>
      <c r="C18792" s="5" t="s">
        <v>65</v>
      </c>
      <c r="D18792" s="5">
        <v>1</v>
      </c>
      <c r="E18792" s="5">
        <v>116305</v>
      </c>
    </row>
    <row r="18793" spans="1:5" x14ac:dyDescent="0.35">
      <c r="A18793" s="3">
        <v>46252</v>
      </c>
      <c r="B18793" s="5" t="s">
        <v>355</v>
      </c>
      <c r="C18793" s="5" t="s">
        <v>20</v>
      </c>
      <c r="D18793" s="5">
        <v>1</v>
      </c>
      <c r="E18793" s="5">
        <v>127942</v>
      </c>
    </row>
    <row r="18794" spans="1:5" x14ac:dyDescent="0.35">
      <c r="A18794" s="3">
        <v>46252</v>
      </c>
      <c r="B18794" s="5" t="s">
        <v>355</v>
      </c>
      <c r="C18794" s="5" t="s">
        <v>19</v>
      </c>
      <c r="D18794" s="5">
        <v>1</v>
      </c>
      <c r="E18794" s="5">
        <v>127942</v>
      </c>
    </row>
    <row r="18795" spans="1:5" x14ac:dyDescent="0.35">
      <c r="A18795" s="3">
        <v>46252</v>
      </c>
      <c r="B18795" s="5" t="s">
        <v>355</v>
      </c>
      <c r="C18795" s="5" t="s">
        <v>18</v>
      </c>
      <c r="D18795" s="5">
        <v>1</v>
      </c>
      <c r="E18795" s="5">
        <v>127942</v>
      </c>
    </row>
    <row r="18796" spans="1:5" x14ac:dyDescent="0.35">
      <c r="A18796" s="3">
        <v>46252</v>
      </c>
      <c r="B18796" s="5" t="s">
        <v>354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46252</v>
      </c>
      <c r="B18797" s="5" t="s">
        <v>355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46252</v>
      </c>
      <c r="B18798" s="5" t="s">
        <v>258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46252</v>
      </c>
      <c r="B18799" s="5" t="s">
        <v>354</v>
      </c>
      <c r="C18799" s="5" t="s">
        <v>19</v>
      </c>
      <c r="D18799" s="5">
        <v>1</v>
      </c>
      <c r="E18799" s="5">
        <v>127942</v>
      </c>
    </row>
    <row r="18800" spans="1:5" x14ac:dyDescent="0.35">
      <c r="A18800" s="3">
        <v>46252</v>
      </c>
      <c r="B18800" s="5" t="s">
        <v>258</v>
      </c>
      <c r="C18800" s="5" t="s">
        <v>19</v>
      </c>
      <c r="D18800" s="5">
        <v>1</v>
      </c>
      <c r="E18800" s="5">
        <v>127942</v>
      </c>
    </row>
    <row r="18801" spans="1:5" x14ac:dyDescent="0.35">
      <c r="A18801" s="3">
        <v>46252</v>
      </c>
      <c r="B18801" s="5" t="s">
        <v>258</v>
      </c>
      <c r="C18801" s="5" t="s">
        <v>20</v>
      </c>
      <c r="D18801" s="5">
        <v>1</v>
      </c>
      <c r="E18801" s="5">
        <v>127942</v>
      </c>
    </row>
    <row r="18802" spans="1:5" x14ac:dyDescent="0.35">
      <c r="A18802" s="3">
        <v>46252</v>
      </c>
      <c r="B18802" s="5" t="s">
        <v>258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46252</v>
      </c>
      <c r="B18803" s="5" t="s">
        <v>258</v>
      </c>
      <c r="C18803" s="5" t="s">
        <v>18</v>
      </c>
      <c r="D18803" s="5">
        <v>1</v>
      </c>
      <c r="E18803" s="5">
        <v>127942</v>
      </c>
    </row>
    <row r="18804" spans="1:5" x14ac:dyDescent="0.35">
      <c r="A18804" s="3">
        <v>46252</v>
      </c>
      <c r="B18804" s="5" t="s">
        <v>364</v>
      </c>
      <c r="C18804" s="5" t="s">
        <v>66</v>
      </c>
      <c r="D18804" s="5">
        <v>1</v>
      </c>
      <c r="E18804" s="5">
        <v>116305</v>
      </c>
    </row>
    <row r="18805" spans="1:5" x14ac:dyDescent="0.35">
      <c r="A18805" s="3">
        <v>46252</v>
      </c>
      <c r="B18805" s="5" t="s">
        <v>364</v>
      </c>
      <c r="C18805" s="5" t="s">
        <v>66</v>
      </c>
      <c r="D18805" s="5">
        <v>1</v>
      </c>
      <c r="E18805" s="5">
        <v>116305</v>
      </c>
    </row>
    <row r="18806" spans="1:5" x14ac:dyDescent="0.35">
      <c r="A18806" s="3">
        <v>46252</v>
      </c>
      <c r="B18806" s="5" t="s">
        <v>364</v>
      </c>
      <c r="C18806" s="5" t="s">
        <v>65</v>
      </c>
      <c r="D18806" s="5">
        <v>1</v>
      </c>
      <c r="E18806" s="5">
        <v>116305</v>
      </c>
    </row>
    <row r="18807" spans="1:5" x14ac:dyDescent="0.35">
      <c r="A18807" s="3">
        <v>46252</v>
      </c>
      <c r="B18807" s="5" t="s">
        <v>362</v>
      </c>
      <c r="C18807" s="5" t="s">
        <v>66</v>
      </c>
      <c r="D18807" s="5">
        <v>1</v>
      </c>
      <c r="E18807" s="5">
        <v>116305</v>
      </c>
    </row>
    <row r="18808" spans="1:5" x14ac:dyDescent="0.35">
      <c r="A18808" s="3">
        <v>46252</v>
      </c>
      <c r="B18808" s="5" t="s">
        <v>373</v>
      </c>
      <c r="C18808" s="5" t="s">
        <v>18</v>
      </c>
      <c r="D18808" s="5">
        <v>1</v>
      </c>
      <c r="E18808" s="5">
        <v>129941</v>
      </c>
    </row>
    <row r="18809" spans="1:5" x14ac:dyDescent="0.35">
      <c r="A18809" s="3">
        <v>46252</v>
      </c>
      <c r="B18809" s="5" t="s">
        <v>373</v>
      </c>
      <c r="C18809" s="5" t="s">
        <v>93</v>
      </c>
      <c r="D18809" s="5">
        <v>1</v>
      </c>
      <c r="E18809" s="5">
        <v>50168</v>
      </c>
    </row>
    <row r="18810" spans="1:5" x14ac:dyDescent="0.35">
      <c r="A18810" s="3">
        <v>46252</v>
      </c>
      <c r="B18810" s="5" t="s">
        <v>376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46252</v>
      </c>
      <c r="B18811" s="5" t="s">
        <v>376</v>
      </c>
      <c r="C18811" s="5" t="s">
        <v>18</v>
      </c>
      <c r="D18811" s="5">
        <v>1</v>
      </c>
      <c r="E18811" s="5">
        <v>129941</v>
      </c>
    </row>
    <row r="18812" spans="1:5" x14ac:dyDescent="0.35">
      <c r="A18812" s="3">
        <v>46252</v>
      </c>
      <c r="B18812" s="5" t="s">
        <v>315</v>
      </c>
      <c r="C18812" s="5" t="s">
        <v>66</v>
      </c>
      <c r="D18812" s="5">
        <v>1</v>
      </c>
      <c r="E18812" s="5">
        <v>116305</v>
      </c>
    </row>
    <row r="18813" spans="1:5" x14ac:dyDescent="0.35">
      <c r="A18813" s="3">
        <v>46252</v>
      </c>
      <c r="B18813" s="5" t="s">
        <v>315</v>
      </c>
      <c r="C18813" s="5" t="s">
        <v>66</v>
      </c>
      <c r="D18813" s="5">
        <v>1</v>
      </c>
      <c r="E18813" s="5">
        <v>116305</v>
      </c>
    </row>
    <row r="18814" spans="1:5" x14ac:dyDescent="0.35">
      <c r="A18814" s="3">
        <v>46252</v>
      </c>
      <c r="B18814" s="5" t="s">
        <v>315</v>
      </c>
      <c r="C18814" s="5" t="s">
        <v>66</v>
      </c>
      <c r="D18814" s="5">
        <v>1</v>
      </c>
      <c r="E18814" s="5">
        <v>116305</v>
      </c>
    </row>
    <row r="18815" spans="1:5" x14ac:dyDescent="0.35">
      <c r="A18815" s="3">
        <v>46252</v>
      </c>
      <c r="B18815" s="5" t="s">
        <v>315</v>
      </c>
      <c r="C18815" s="5" t="s">
        <v>66</v>
      </c>
      <c r="D18815" s="5">
        <v>1</v>
      </c>
      <c r="E18815" s="5">
        <v>116305</v>
      </c>
    </row>
    <row r="18816" spans="1:5" x14ac:dyDescent="0.35">
      <c r="A18816" s="3">
        <v>46252</v>
      </c>
      <c r="B18816" s="5" t="s">
        <v>315</v>
      </c>
      <c r="C18816" s="5" t="s">
        <v>66</v>
      </c>
      <c r="D18816" s="5">
        <v>1</v>
      </c>
      <c r="E18816" s="5">
        <v>116305</v>
      </c>
    </row>
    <row r="18817" spans="1:5" x14ac:dyDescent="0.35">
      <c r="A18817" s="3">
        <v>46252</v>
      </c>
      <c r="B18817" s="5" t="s">
        <v>315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46252</v>
      </c>
      <c r="B18818" s="5" t="s">
        <v>315</v>
      </c>
      <c r="C18818" s="5" t="s">
        <v>65</v>
      </c>
      <c r="D18818" s="5">
        <v>1</v>
      </c>
      <c r="E18818" s="5">
        <v>116305</v>
      </c>
    </row>
    <row r="18819" spans="1:5" x14ac:dyDescent="0.35">
      <c r="A18819" s="3">
        <v>46252</v>
      </c>
      <c r="B18819" s="5" t="s">
        <v>315</v>
      </c>
      <c r="C18819" s="5" t="s">
        <v>66</v>
      </c>
      <c r="D18819" s="5">
        <v>1</v>
      </c>
      <c r="E18819" s="5">
        <v>116305</v>
      </c>
    </row>
    <row r="18820" spans="1:5" x14ac:dyDescent="0.35">
      <c r="A18820" s="3">
        <v>46252</v>
      </c>
      <c r="B18820" s="5" t="s">
        <v>315</v>
      </c>
      <c r="C18820" s="5" t="s">
        <v>65</v>
      </c>
      <c r="D18820" s="5">
        <v>1</v>
      </c>
      <c r="E18820" s="5">
        <v>116305</v>
      </c>
    </row>
    <row r="18821" spans="1:5" x14ac:dyDescent="0.35">
      <c r="A18821" s="3">
        <v>46252</v>
      </c>
      <c r="B18821" s="5" t="s">
        <v>315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46252</v>
      </c>
      <c r="B18822" s="5" t="s">
        <v>355</v>
      </c>
      <c r="C18822" s="5" t="s">
        <v>20</v>
      </c>
      <c r="D18822" s="5">
        <v>1</v>
      </c>
      <c r="E18822" s="5">
        <v>127942</v>
      </c>
    </row>
    <row r="18823" spans="1:5" x14ac:dyDescent="0.35">
      <c r="A18823" s="3">
        <v>46252</v>
      </c>
      <c r="B18823" s="5" t="s">
        <v>355</v>
      </c>
      <c r="C18823" s="5" t="s">
        <v>20</v>
      </c>
      <c r="D18823" s="5">
        <v>1</v>
      </c>
      <c r="E18823" s="5">
        <v>127942</v>
      </c>
    </row>
    <row r="18824" spans="1:5" x14ac:dyDescent="0.35">
      <c r="A18824" s="3">
        <v>46252</v>
      </c>
      <c r="B18824" s="5" t="s">
        <v>355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46252</v>
      </c>
      <c r="B18825" s="5" t="s">
        <v>354</v>
      </c>
      <c r="C18825" s="5" t="s">
        <v>18</v>
      </c>
      <c r="D18825" s="5">
        <v>1</v>
      </c>
      <c r="E18825" s="5">
        <v>127942</v>
      </c>
    </row>
    <row r="18826" spans="1:5" x14ac:dyDescent="0.35">
      <c r="A18826" s="3">
        <v>46252</v>
      </c>
      <c r="B18826" s="5" t="s">
        <v>258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46252</v>
      </c>
      <c r="B18827" s="5" t="s">
        <v>258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46252</v>
      </c>
      <c r="B18828" s="5" t="s">
        <v>258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46252</v>
      </c>
      <c r="B18829" s="5" t="s">
        <v>364</v>
      </c>
      <c r="C18829" s="5" t="s">
        <v>66</v>
      </c>
      <c r="D18829" s="5">
        <v>1</v>
      </c>
      <c r="E18829" s="5">
        <v>116305</v>
      </c>
    </row>
    <row r="18830" spans="1:5" x14ac:dyDescent="0.35">
      <c r="A18830" s="3">
        <v>46252</v>
      </c>
      <c r="B18830" s="5" t="s">
        <v>364</v>
      </c>
      <c r="C18830" s="5" t="s">
        <v>65</v>
      </c>
      <c r="D18830" s="5">
        <v>1</v>
      </c>
      <c r="E18830" s="5">
        <v>116305</v>
      </c>
    </row>
    <row r="18831" spans="1:5" x14ac:dyDescent="0.35">
      <c r="A18831" s="3">
        <v>46252</v>
      </c>
      <c r="B18831" s="5" t="s">
        <v>373</v>
      </c>
      <c r="C18831" s="5" t="s">
        <v>93</v>
      </c>
      <c r="D18831" s="5">
        <v>1</v>
      </c>
      <c r="E18831" s="5">
        <v>50168</v>
      </c>
    </row>
    <row r="18832" spans="1:5" x14ac:dyDescent="0.35">
      <c r="A18832" s="3">
        <v>46252</v>
      </c>
      <c r="B18832" s="5" t="s">
        <v>376</v>
      </c>
      <c r="C18832" s="5" t="s">
        <v>18</v>
      </c>
      <c r="D18832" s="5">
        <v>1</v>
      </c>
      <c r="E18832" s="5">
        <v>129941</v>
      </c>
    </row>
    <row r="18833" spans="1:5" x14ac:dyDescent="0.35">
      <c r="A18833" s="3">
        <v>46252</v>
      </c>
      <c r="B18833" s="5" t="s">
        <v>376</v>
      </c>
      <c r="C18833" s="5" t="s">
        <v>39</v>
      </c>
      <c r="D18833" s="5">
        <v>1</v>
      </c>
      <c r="E18833" s="5">
        <v>118123</v>
      </c>
    </row>
    <row r="18834" spans="1:5" x14ac:dyDescent="0.35">
      <c r="A18834" s="3">
        <v>46252</v>
      </c>
      <c r="B18834" s="5" t="s">
        <v>244</v>
      </c>
      <c r="C18834" s="5" t="s">
        <v>18</v>
      </c>
      <c r="D18834" s="5">
        <v>1</v>
      </c>
      <c r="E18834" s="5">
        <v>129941</v>
      </c>
    </row>
    <row r="18835" spans="1:5" x14ac:dyDescent="0.35">
      <c r="A18835" s="3">
        <v>46252</v>
      </c>
      <c r="B18835" s="5" t="s">
        <v>315</v>
      </c>
      <c r="C18835" s="5" t="s">
        <v>66</v>
      </c>
      <c r="D18835" s="5">
        <v>1</v>
      </c>
      <c r="E18835" s="5">
        <v>116305</v>
      </c>
    </row>
    <row r="18836" spans="1:5" x14ac:dyDescent="0.35">
      <c r="A18836" s="3">
        <v>46252</v>
      </c>
      <c r="B18836" s="5" t="s">
        <v>315</v>
      </c>
      <c r="C18836" s="5" t="s">
        <v>65</v>
      </c>
      <c r="D18836" s="5">
        <v>1</v>
      </c>
      <c r="E18836" s="5">
        <v>116305</v>
      </c>
    </row>
    <row r="18837" spans="1:5" x14ac:dyDescent="0.35">
      <c r="A18837" s="3">
        <v>46252</v>
      </c>
      <c r="B18837" s="5" t="s">
        <v>355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46252</v>
      </c>
      <c r="B18838" s="5" t="s">
        <v>355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46252</v>
      </c>
      <c r="B18839" s="5" t="s">
        <v>258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46252</v>
      </c>
      <c r="B18840" s="5" t="s">
        <v>354</v>
      </c>
      <c r="C18840" s="5" t="s">
        <v>19</v>
      </c>
      <c r="D18840" s="5">
        <v>1</v>
      </c>
      <c r="E18840" s="5">
        <v>127942</v>
      </c>
    </row>
    <row r="18841" spans="1:5" x14ac:dyDescent="0.35">
      <c r="A18841" s="3">
        <v>46252</v>
      </c>
      <c r="B18841" s="5" t="s">
        <v>354</v>
      </c>
      <c r="C18841" s="5" t="s">
        <v>19</v>
      </c>
      <c r="D18841" s="5">
        <v>1</v>
      </c>
      <c r="E18841" s="5">
        <v>127942</v>
      </c>
    </row>
    <row r="18842" spans="1:5" x14ac:dyDescent="0.35">
      <c r="A18842" s="3">
        <v>46252</v>
      </c>
      <c r="B18842" s="5" t="s">
        <v>258</v>
      </c>
      <c r="C18842" s="5" t="s">
        <v>20</v>
      </c>
      <c r="D18842" s="5">
        <v>1</v>
      </c>
      <c r="E18842" s="5">
        <v>127942</v>
      </c>
    </row>
    <row r="18843" spans="1:5" x14ac:dyDescent="0.35">
      <c r="A18843" s="3">
        <v>46252</v>
      </c>
      <c r="B18843" s="5" t="s">
        <v>258</v>
      </c>
      <c r="C18843" s="5" t="s">
        <v>19</v>
      </c>
      <c r="D18843" s="5">
        <v>1</v>
      </c>
      <c r="E18843" s="5">
        <v>127942</v>
      </c>
    </row>
    <row r="18844" spans="1:5" x14ac:dyDescent="0.35">
      <c r="A18844" s="3">
        <v>46252</v>
      </c>
      <c r="B18844" s="5" t="s">
        <v>258</v>
      </c>
      <c r="C18844" s="5" t="s">
        <v>19</v>
      </c>
      <c r="D18844" s="5">
        <v>1</v>
      </c>
      <c r="E18844" s="5">
        <v>127942</v>
      </c>
    </row>
    <row r="18845" spans="1:5" x14ac:dyDescent="0.35">
      <c r="A18845" s="3">
        <v>46252</v>
      </c>
      <c r="B18845" s="5" t="s">
        <v>258</v>
      </c>
      <c r="C18845" s="5" t="s">
        <v>20</v>
      </c>
      <c r="D18845" s="5">
        <v>1</v>
      </c>
      <c r="E18845" s="5">
        <v>127942</v>
      </c>
    </row>
    <row r="18846" spans="1:5" x14ac:dyDescent="0.35">
      <c r="A18846" s="3">
        <v>46252</v>
      </c>
      <c r="B18846" s="5" t="s">
        <v>364</v>
      </c>
      <c r="C18846" s="5" t="s">
        <v>65</v>
      </c>
      <c r="D18846" s="5">
        <v>1</v>
      </c>
      <c r="E18846" s="5">
        <v>116305</v>
      </c>
    </row>
    <row r="18847" spans="1:5" x14ac:dyDescent="0.35">
      <c r="A18847" s="3">
        <v>46252</v>
      </c>
      <c r="B18847" s="5" t="s">
        <v>258</v>
      </c>
      <c r="C18847" s="5" t="s">
        <v>18</v>
      </c>
      <c r="D18847" s="5">
        <v>1</v>
      </c>
      <c r="E18847" s="5">
        <v>127942</v>
      </c>
    </row>
    <row r="18848" spans="1:5" x14ac:dyDescent="0.35">
      <c r="A18848" s="3">
        <v>46252</v>
      </c>
      <c r="B18848" s="5" t="s">
        <v>364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46252</v>
      </c>
      <c r="B18849" s="5" t="s">
        <v>140</v>
      </c>
      <c r="C18849" s="5" t="s">
        <v>33</v>
      </c>
      <c r="D18849" s="5">
        <v>2</v>
      </c>
      <c r="E18849" s="5">
        <v>407156</v>
      </c>
    </row>
    <row r="18850" spans="1:5" x14ac:dyDescent="0.35">
      <c r="A18850" s="3">
        <v>46252</v>
      </c>
      <c r="B18850" s="5" t="s">
        <v>364</v>
      </c>
      <c r="C18850" s="5" t="s">
        <v>66</v>
      </c>
      <c r="D18850" s="5">
        <v>1</v>
      </c>
      <c r="E18850" s="5">
        <v>116305</v>
      </c>
    </row>
    <row r="18851" spans="1:5" x14ac:dyDescent="0.35">
      <c r="A18851" s="3">
        <v>46252</v>
      </c>
      <c r="B18851" s="5" t="s">
        <v>364</v>
      </c>
      <c r="C18851" s="5" t="s">
        <v>66</v>
      </c>
      <c r="D18851" s="5">
        <v>1</v>
      </c>
      <c r="E18851" s="5">
        <v>116305</v>
      </c>
    </row>
    <row r="18852" spans="1:5" x14ac:dyDescent="0.35">
      <c r="A18852" s="3">
        <v>46252</v>
      </c>
      <c r="B18852" s="5" t="s">
        <v>364</v>
      </c>
      <c r="C18852" s="5" t="s">
        <v>65</v>
      </c>
      <c r="D18852" s="5">
        <v>1</v>
      </c>
      <c r="E18852" s="5">
        <v>116305</v>
      </c>
    </row>
    <row r="18853" spans="1:5" x14ac:dyDescent="0.35">
      <c r="A18853" s="3">
        <v>46252</v>
      </c>
      <c r="B18853" s="5" t="s">
        <v>362</v>
      </c>
      <c r="C18853" s="5" t="s">
        <v>66</v>
      </c>
      <c r="D18853" s="5">
        <v>1</v>
      </c>
      <c r="E18853" s="5">
        <v>116305</v>
      </c>
    </row>
    <row r="18854" spans="1:5" x14ac:dyDescent="0.35">
      <c r="A18854" s="3">
        <v>46252</v>
      </c>
      <c r="B18854" s="5" t="s">
        <v>244</v>
      </c>
      <c r="C18854" s="5" t="s">
        <v>106</v>
      </c>
      <c r="D18854" s="5">
        <v>1</v>
      </c>
      <c r="E18854" s="5">
        <v>206759</v>
      </c>
    </row>
    <row r="18855" spans="1:5" x14ac:dyDescent="0.35">
      <c r="A18855" s="3">
        <v>46252</v>
      </c>
      <c r="B18855" s="5" t="s">
        <v>315</v>
      </c>
      <c r="C18855" s="5" t="s">
        <v>66</v>
      </c>
      <c r="D18855" s="5">
        <v>1</v>
      </c>
      <c r="E18855" s="5">
        <v>116305</v>
      </c>
    </row>
    <row r="18856" spans="1:5" x14ac:dyDescent="0.35">
      <c r="A18856" s="3">
        <v>46252</v>
      </c>
      <c r="B18856" s="5" t="s">
        <v>315</v>
      </c>
      <c r="C18856" s="5" t="s">
        <v>66</v>
      </c>
      <c r="D18856" s="5">
        <v>1</v>
      </c>
      <c r="E18856" s="5">
        <v>116305</v>
      </c>
    </row>
    <row r="18857" spans="1:5" x14ac:dyDescent="0.35">
      <c r="A18857" s="3">
        <v>46252</v>
      </c>
      <c r="B18857" s="5" t="s">
        <v>315</v>
      </c>
      <c r="C18857" s="5" t="s">
        <v>66</v>
      </c>
      <c r="D18857" s="5">
        <v>1</v>
      </c>
      <c r="E18857" s="5">
        <v>116305</v>
      </c>
    </row>
    <row r="18858" spans="1:5" x14ac:dyDescent="0.35">
      <c r="A18858" s="3">
        <v>46252</v>
      </c>
      <c r="B18858" s="5" t="s">
        <v>315</v>
      </c>
      <c r="C18858" s="5" t="s">
        <v>66</v>
      </c>
      <c r="D18858" s="5">
        <v>1</v>
      </c>
      <c r="E18858" s="5">
        <v>116305</v>
      </c>
    </row>
    <row r="18859" spans="1:5" x14ac:dyDescent="0.35">
      <c r="A18859" s="3">
        <v>46252</v>
      </c>
      <c r="B18859" s="5" t="s">
        <v>315</v>
      </c>
      <c r="C18859" s="5" t="s">
        <v>65</v>
      </c>
      <c r="D18859" s="5">
        <v>1</v>
      </c>
      <c r="E18859" s="5">
        <v>116305</v>
      </c>
    </row>
    <row r="18860" spans="1:5" x14ac:dyDescent="0.35">
      <c r="A18860" s="3">
        <v>46252</v>
      </c>
      <c r="B18860" s="5" t="s">
        <v>355</v>
      </c>
      <c r="C18860" s="5" t="s">
        <v>20</v>
      </c>
      <c r="D18860" s="5">
        <v>1</v>
      </c>
      <c r="E18860" s="5">
        <v>127942</v>
      </c>
    </row>
    <row r="18861" spans="1:5" x14ac:dyDescent="0.35">
      <c r="A18861" s="3">
        <v>46252</v>
      </c>
      <c r="B18861" s="5" t="s">
        <v>315</v>
      </c>
      <c r="C18861" s="5" t="s">
        <v>65</v>
      </c>
      <c r="D18861" s="5">
        <v>1</v>
      </c>
      <c r="E18861" s="5">
        <v>116305</v>
      </c>
    </row>
    <row r="18862" spans="1:5" x14ac:dyDescent="0.35">
      <c r="A18862" s="3">
        <v>46252</v>
      </c>
      <c r="B18862" s="5" t="s">
        <v>315</v>
      </c>
      <c r="C18862" s="5" t="s">
        <v>65</v>
      </c>
      <c r="D18862" s="5">
        <v>1</v>
      </c>
      <c r="E18862" s="5">
        <v>116305</v>
      </c>
    </row>
    <row r="18863" spans="1:5" x14ac:dyDescent="0.35">
      <c r="A18863" s="3">
        <v>46252</v>
      </c>
      <c r="B18863" s="5" t="s">
        <v>355</v>
      </c>
      <c r="C18863" s="5" t="s">
        <v>20</v>
      </c>
      <c r="D18863" s="5">
        <v>1</v>
      </c>
      <c r="E18863" s="5">
        <v>127942</v>
      </c>
    </row>
    <row r="18864" spans="1:5" x14ac:dyDescent="0.35">
      <c r="A18864" s="3">
        <v>46252</v>
      </c>
      <c r="B18864" s="5" t="s">
        <v>355</v>
      </c>
      <c r="C18864" s="5" t="s">
        <v>20</v>
      </c>
      <c r="D18864" s="5">
        <v>1</v>
      </c>
      <c r="E18864" s="5">
        <v>127942</v>
      </c>
    </row>
    <row r="18865" spans="1:5" x14ac:dyDescent="0.35">
      <c r="A18865" s="3">
        <v>46252</v>
      </c>
      <c r="B18865" s="5" t="s">
        <v>355</v>
      </c>
      <c r="C18865" s="5" t="s">
        <v>20</v>
      </c>
      <c r="D18865" s="5">
        <v>1</v>
      </c>
      <c r="E18865" s="5">
        <v>127942</v>
      </c>
    </row>
    <row r="18866" spans="1:5" x14ac:dyDescent="0.35">
      <c r="A18866" s="3">
        <v>46252</v>
      </c>
      <c r="B18866" s="5" t="s">
        <v>354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46252</v>
      </c>
      <c r="B18867" s="5" t="s">
        <v>364</v>
      </c>
      <c r="C18867" s="5" t="s">
        <v>66</v>
      </c>
      <c r="D18867" s="5">
        <v>1</v>
      </c>
      <c r="E18867" s="5">
        <v>116305</v>
      </c>
    </row>
    <row r="18868" spans="1:5" x14ac:dyDescent="0.35">
      <c r="A18868" s="3">
        <v>46252</v>
      </c>
      <c r="B18868" s="5" t="s">
        <v>364</v>
      </c>
      <c r="C18868" s="5" t="s">
        <v>66</v>
      </c>
      <c r="D18868" s="5">
        <v>1</v>
      </c>
      <c r="E18868" s="5">
        <v>116305</v>
      </c>
    </row>
    <row r="18869" spans="1:5" x14ac:dyDescent="0.35">
      <c r="A18869" s="3">
        <v>46252</v>
      </c>
      <c r="B18869" s="5" t="s">
        <v>364</v>
      </c>
      <c r="C18869" s="5" t="s">
        <v>66</v>
      </c>
      <c r="D18869" s="5">
        <v>1</v>
      </c>
      <c r="E18869" s="5">
        <v>116305</v>
      </c>
    </row>
    <row r="18870" spans="1:5" x14ac:dyDescent="0.35">
      <c r="A18870" s="3">
        <v>46252</v>
      </c>
      <c r="B18870" s="5" t="s">
        <v>364</v>
      </c>
      <c r="C18870" s="5" t="s">
        <v>66</v>
      </c>
      <c r="D18870" s="5">
        <v>1</v>
      </c>
      <c r="E18870" s="5">
        <v>116305</v>
      </c>
    </row>
    <row r="18871" spans="1:5" x14ac:dyDescent="0.35">
      <c r="A18871" s="3">
        <v>46252</v>
      </c>
      <c r="B18871" s="5" t="s">
        <v>364</v>
      </c>
      <c r="C18871" s="5" t="s">
        <v>66</v>
      </c>
      <c r="D18871" s="5">
        <v>1</v>
      </c>
      <c r="E18871" s="5">
        <v>116305</v>
      </c>
    </row>
    <row r="18872" spans="1:5" x14ac:dyDescent="0.35">
      <c r="A18872" s="3">
        <v>46252</v>
      </c>
      <c r="B18872" s="5" t="s">
        <v>364</v>
      </c>
      <c r="C18872" s="5" t="s">
        <v>66</v>
      </c>
      <c r="D18872" s="5">
        <v>1</v>
      </c>
      <c r="E18872" s="5">
        <v>116305</v>
      </c>
    </row>
    <row r="18873" spans="1:5" x14ac:dyDescent="0.35">
      <c r="A18873" s="3">
        <v>46252</v>
      </c>
      <c r="B18873" s="5" t="s">
        <v>364</v>
      </c>
      <c r="C18873" s="5" t="s">
        <v>66</v>
      </c>
      <c r="D18873" s="5">
        <v>1</v>
      </c>
      <c r="E18873" s="5">
        <v>116305</v>
      </c>
    </row>
    <row r="18874" spans="1:5" x14ac:dyDescent="0.35">
      <c r="A18874" s="3">
        <v>46252</v>
      </c>
      <c r="B18874" s="5" t="s">
        <v>364</v>
      </c>
      <c r="C18874" s="5" t="s">
        <v>66</v>
      </c>
      <c r="D18874" s="5">
        <v>1</v>
      </c>
      <c r="E18874" s="5">
        <v>116305</v>
      </c>
    </row>
    <row r="18875" spans="1:5" x14ac:dyDescent="0.35">
      <c r="A18875" s="3">
        <v>46252</v>
      </c>
      <c r="B18875" s="5" t="s">
        <v>315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46252</v>
      </c>
      <c r="B18876" s="5" t="s">
        <v>315</v>
      </c>
      <c r="C18876" s="5" t="s">
        <v>65</v>
      </c>
      <c r="D18876" s="5">
        <v>1</v>
      </c>
      <c r="E18876" s="5">
        <v>116305</v>
      </c>
    </row>
    <row r="18877" spans="1:5" x14ac:dyDescent="0.35">
      <c r="A18877" s="3">
        <v>46252</v>
      </c>
      <c r="B18877" s="5" t="s">
        <v>364</v>
      </c>
      <c r="C18877" s="5" t="s">
        <v>65</v>
      </c>
      <c r="D18877" s="5">
        <v>1</v>
      </c>
      <c r="E18877" s="5">
        <v>116305</v>
      </c>
    </row>
    <row r="18878" spans="1:5" x14ac:dyDescent="0.35">
      <c r="A18878" s="3">
        <v>46252</v>
      </c>
      <c r="B18878" s="5" t="s">
        <v>364</v>
      </c>
      <c r="C18878" s="5" t="s">
        <v>66</v>
      </c>
      <c r="D18878" s="5">
        <v>1</v>
      </c>
      <c r="E18878" s="5">
        <v>116305</v>
      </c>
    </row>
    <row r="18879" spans="1:5" x14ac:dyDescent="0.35">
      <c r="A18879" s="3">
        <v>46252</v>
      </c>
      <c r="B18879" s="5" t="s">
        <v>315</v>
      </c>
      <c r="C18879" s="5" t="s">
        <v>66</v>
      </c>
      <c r="D18879" s="5">
        <v>1</v>
      </c>
      <c r="E18879" s="5">
        <v>116305</v>
      </c>
    </row>
    <row r="18880" spans="1:5" x14ac:dyDescent="0.35">
      <c r="A18880" s="3">
        <v>46252</v>
      </c>
      <c r="B18880" s="5" t="s">
        <v>315</v>
      </c>
      <c r="C18880" s="5" t="s">
        <v>66</v>
      </c>
      <c r="D18880" s="5">
        <v>1</v>
      </c>
      <c r="E18880" s="5">
        <v>116305</v>
      </c>
    </row>
    <row r="18881" spans="1:5" x14ac:dyDescent="0.35">
      <c r="A18881" s="3">
        <v>46252</v>
      </c>
      <c r="B18881" s="5" t="s">
        <v>315</v>
      </c>
      <c r="C18881" s="5" t="s">
        <v>66</v>
      </c>
      <c r="D18881" s="5">
        <v>1</v>
      </c>
      <c r="E18881" s="5">
        <v>116305</v>
      </c>
    </row>
    <row r="18882" spans="1:5" x14ac:dyDescent="0.35">
      <c r="A18882" s="3">
        <v>46252</v>
      </c>
      <c r="B18882" s="5" t="s">
        <v>315</v>
      </c>
      <c r="C18882" s="5" t="s">
        <v>66</v>
      </c>
      <c r="D18882" s="5">
        <v>1</v>
      </c>
      <c r="E18882" s="5">
        <v>116305</v>
      </c>
    </row>
    <row r="18883" spans="1:5" x14ac:dyDescent="0.35">
      <c r="A18883" s="3">
        <v>46252</v>
      </c>
      <c r="B18883" s="5" t="s">
        <v>315</v>
      </c>
      <c r="C18883" s="5" t="s">
        <v>65</v>
      </c>
      <c r="D18883" s="5">
        <v>1</v>
      </c>
      <c r="E18883" s="5">
        <v>116305</v>
      </c>
    </row>
    <row r="18884" spans="1:5" x14ac:dyDescent="0.35">
      <c r="A18884" s="3">
        <v>46252</v>
      </c>
      <c r="B18884" s="5" t="s">
        <v>315</v>
      </c>
      <c r="C18884" s="5" t="s">
        <v>65</v>
      </c>
      <c r="D18884" s="5">
        <v>1</v>
      </c>
      <c r="E18884" s="5">
        <v>116305</v>
      </c>
    </row>
    <row r="18885" spans="1:5" x14ac:dyDescent="0.35">
      <c r="A18885" s="3">
        <v>46252</v>
      </c>
      <c r="B18885" s="5" t="s">
        <v>355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46252</v>
      </c>
      <c r="B18886" s="5" t="s">
        <v>355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46252</v>
      </c>
      <c r="B18887" s="5" t="s">
        <v>355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46252</v>
      </c>
      <c r="B18888" s="5" t="s">
        <v>258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46252</v>
      </c>
      <c r="B18889" s="5" t="s">
        <v>355</v>
      </c>
      <c r="C18889" s="5" t="s">
        <v>20</v>
      </c>
      <c r="D18889" s="5">
        <v>1</v>
      </c>
      <c r="E18889" s="5">
        <v>127942</v>
      </c>
    </row>
    <row r="18890" spans="1:5" x14ac:dyDescent="0.35">
      <c r="A18890" s="3">
        <v>46252</v>
      </c>
      <c r="B18890" s="5" t="s">
        <v>364</v>
      </c>
      <c r="C18890" s="5" t="s">
        <v>65</v>
      </c>
      <c r="D18890" s="5">
        <v>1</v>
      </c>
      <c r="E18890" s="5">
        <v>116305</v>
      </c>
    </row>
    <row r="18891" spans="1:5" x14ac:dyDescent="0.35">
      <c r="A18891" s="3">
        <v>46252</v>
      </c>
      <c r="B18891" s="5" t="s">
        <v>364</v>
      </c>
      <c r="C18891" s="5" t="s">
        <v>67</v>
      </c>
      <c r="D18891" s="5">
        <v>1</v>
      </c>
      <c r="E18891" s="5">
        <v>116305</v>
      </c>
    </row>
    <row r="18892" spans="1:5" x14ac:dyDescent="0.35">
      <c r="A18892" s="3">
        <v>46252</v>
      </c>
      <c r="B18892" s="5" t="s">
        <v>364</v>
      </c>
      <c r="C18892" s="5" t="s">
        <v>66</v>
      </c>
      <c r="D18892" s="5">
        <v>1</v>
      </c>
      <c r="E18892" s="5">
        <v>116305</v>
      </c>
    </row>
    <row r="18893" spans="1:5" x14ac:dyDescent="0.35">
      <c r="A18893" s="3">
        <v>46252</v>
      </c>
      <c r="B18893" s="5" t="s">
        <v>364</v>
      </c>
      <c r="C18893" s="5" t="s">
        <v>66</v>
      </c>
      <c r="D18893" s="5">
        <v>1</v>
      </c>
      <c r="E18893" s="5">
        <v>116305</v>
      </c>
    </row>
    <row r="18894" spans="1:5" x14ac:dyDescent="0.35">
      <c r="A18894" s="3">
        <v>46252</v>
      </c>
      <c r="B18894" s="5" t="s">
        <v>364</v>
      </c>
      <c r="C18894" s="5" t="s">
        <v>66</v>
      </c>
      <c r="D18894" s="5">
        <v>1</v>
      </c>
      <c r="E18894" s="5">
        <v>116305</v>
      </c>
    </row>
    <row r="18895" spans="1:5" x14ac:dyDescent="0.35">
      <c r="A18895" s="3">
        <v>46252</v>
      </c>
      <c r="B18895" s="5" t="s">
        <v>362</v>
      </c>
      <c r="C18895" s="5" t="s">
        <v>66</v>
      </c>
      <c r="D18895" s="5">
        <v>1</v>
      </c>
      <c r="E18895" s="5">
        <v>116305</v>
      </c>
    </row>
    <row r="18896" spans="1:5" x14ac:dyDescent="0.35">
      <c r="A18896" s="3">
        <v>46252</v>
      </c>
      <c r="B18896" s="5" t="s">
        <v>364</v>
      </c>
      <c r="C18896" s="5" t="s">
        <v>66</v>
      </c>
      <c r="D18896" s="5">
        <v>1</v>
      </c>
      <c r="E18896" s="5">
        <v>116305</v>
      </c>
    </row>
    <row r="18897" spans="1:5" x14ac:dyDescent="0.35">
      <c r="A18897" s="3">
        <v>46252</v>
      </c>
      <c r="B18897" s="5" t="s">
        <v>364</v>
      </c>
      <c r="C18897" s="5" t="s">
        <v>66</v>
      </c>
      <c r="D18897" s="5">
        <v>1</v>
      </c>
      <c r="E18897" s="5">
        <v>116305</v>
      </c>
    </row>
    <row r="18898" spans="1:5" x14ac:dyDescent="0.35">
      <c r="A18898" s="3">
        <v>46252</v>
      </c>
      <c r="B18898" s="5" t="s">
        <v>364</v>
      </c>
      <c r="C18898" s="5" t="s">
        <v>66</v>
      </c>
      <c r="D18898" s="5">
        <v>1</v>
      </c>
      <c r="E18898" s="5">
        <v>116305</v>
      </c>
    </row>
    <row r="18899" spans="1:5" x14ac:dyDescent="0.35">
      <c r="A18899" s="3">
        <v>46252</v>
      </c>
      <c r="B18899" s="5" t="s">
        <v>244</v>
      </c>
      <c r="C18899" s="5" t="s">
        <v>18</v>
      </c>
      <c r="D18899" s="5">
        <v>1</v>
      </c>
      <c r="E18899" s="5">
        <v>129941</v>
      </c>
    </row>
    <row r="18900" spans="1:5" x14ac:dyDescent="0.35">
      <c r="A18900" s="3">
        <v>46252</v>
      </c>
      <c r="B18900" s="5" t="s">
        <v>315</v>
      </c>
      <c r="C18900" s="5" t="s">
        <v>66</v>
      </c>
      <c r="D18900" s="5">
        <v>1</v>
      </c>
      <c r="E18900" s="5">
        <v>116305</v>
      </c>
    </row>
    <row r="18901" spans="1:5" x14ac:dyDescent="0.35">
      <c r="A18901" s="3">
        <v>46252</v>
      </c>
      <c r="B18901" s="5" t="s">
        <v>315</v>
      </c>
      <c r="C18901" s="5" t="s">
        <v>66</v>
      </c>
      <c r="D18901" s="5">
        <v>1</v>
      </c>
      <c r="E18901" s="5">
        <v>116305</v>
      </c>
    </row>
    <row r="18902" spans="1:5" x14ac:dyDescent="0.35">
      <c r="A18902" s="3">
        <v>46252</v>
      </c>
      <c r="B18902" s="5" t="s">
        <v>315</v>
      </c>
      <c r="C18902" s="5" t="s">
        <v>66</v>
      </c>
      <c r="D18902" s="5">
        <v>1</v>
      </c>
      <c r="E18902" s="5">
        <v>116305</v>
      </c>
    </row>
    <row r="18903" spans="1:5" x14ac:dyDescent="0.35">
      <c r="A18903" s="3">
        <v>46252</v>
      </c>
      <c r="B18903" s="5" t="s">
        <v>315</v>
      </c>
      <c r="C18903" s="5" t="s">
        <v>66</v>
      </c>
      <c r="D18903" s="5">
        <v>1</v>
      </c>
      <c r="E18903" s="5">
        <v>116305</v>
      </c>
    </row>
    <row r="18904" spans="1:5" x14ac:dyDescent="0.35">
      <c r="A18904" s="3">
        <v>46252</v>
      </c>
      <c r="B18904" s="5" t="s">
        <v>315</v>
      </c>
      <c r="C18904" s="5" t="s">
        <v>66</v>
      </c>
      <c r="D18904" s="5">
        <v>1</v>
      </c>
      <c r="E18904" s="5">
        <v>116305</v>
      </c>
    </row>
    <row r="18905" spans="1:5" x14ac:dyDescent="0.35">
      <c r="A18905" s="3">
        <v>46252</v>
      </c>
      <c r="B18905" s="5" t="s">
        <v>315</v>
      </c>
      <c r="C18905" s="5" t="s">
        <v>66</v>
      </c>
      <c r="D18905" s="5">
        <v>1</v>
      </c>
      <c r="E18905" s="5">
        <v>116305</v>
      </c>
    </row>
    <row r="18906" spans="1:5" x14ac:dyDescent="0.35">
      <c r="A18906" s="3">
        <v>46252</v>
      </c>
      <c r="B18906" s="5" t="s">
        <v>315</v>
      </c>
      <c r="C18906" s="5" t="s">
        <v>65</v>
      </c>
      <c r="D18906" s="5">
        <v>1</v>
      </c>
      <c r="E18906" s="5">
        <v>116305</v>
      </c>
    </row>
    <row r="18907" spans="1:5" x14ac:dyDescent="0.35">
      <c r="A18907" s="3">
        <v>46252</v>
      </c>
      <c r="B18907" s="5" t="s">
        <v>315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46252</v>
      </c>
      <c r="B18908" s="5" t="s">
        <v>315</v>
      </c>
      <c r="C18908" s="5" t="s">
        <v>67</v>
      </c>
      <c r="D18908" s="5">
        <v>1</v>
      </c>
      <c r="E18908" s="5">
        <v>116305</v>
      </c>
    </row>
    <row r="18909" spans="1:5" x14ac:dyDescent="0.35">
      <c r="A18909" s="3">
        <v>46252</v>
      </c>
      <c r="B18909" s="5" t="s">
        <v>315</v>
      </c>
      <c r="C18909" s="5" t="s">
        <v>67</v>
      </c>
      <c r="D18909" s="5">
        <v>1</v>
      </c>
      <c r="E18909" s="5">
        <v>116305</v>
      </c>
    </row>
    <row r="18910" spans="1:5" x14ac:dyDescent="0.35">
      <c r="A18910" s="3">
        <v>46252</v>
      </c>
      <c r="B18910" s="5" t="s">
        <v>355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46252</v>
      </c>
      <c r="B18911" s="5" t="s">
        <v>355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46252</v>
      </c>
      <c r="B18912" s="5" t="s">
        <v>258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46252</v>
      </c>
      <c r="B18913" s="5" t="s">
        <v>258</v>
      </c>
      <c r="C18913" s="5" t="s">
        <v>19</v>
      </c>
      <c r="D18913" s="5">
        <v>1</v>
      </c>
      <c r="E18913" s="5">
        <v>127942</v>
      </c>
    </row>
    <row r="18914" spans="1:5" x14ac:dyDescent="0.35">
      <c r="A18914" s="3">
        <v>46252</v>
      </c>
      <c r="B18914" s="5" t="s">
        <v>364</v>
      </c>
      <c r="C18914" s="5" t="s">
        <v>66</v>
      </c>
      <c r="D18914" s="5">
        <v>1</v>
      </c>
      <c r="E18914" s="5">
        <v>116305</v>
      </c>
    </row>
    <row r="18915" spans="1:5" x14ac:dyDescent="0.35">
      <c r="A18915" s="3">
        <v>46252</v>
      </c>
      <c r="B18915" s="5" t="s">
        <v>364</v>
      </c>
      <c r="C18915" s="5" t="s">
        <v>66</v>
      </c>
      <c r="D18915" s="5">
        <v>1</v>
      </c>
      <c r="E18915" s="5">
        <v>116305</v>
      </c>
    </row>
    <row r="18916" spans="1:5" x14ac:dyDescent="0.35">
      <c r="A18916" s="3">
        <v>46252</v>
      </c>
      <c r="B18916" s="5" t="s">
        <v>364</v>
      </c>
      <c r="C18916" s="5" t="s">
        <v>66</v>
      </c>
      <c r="D18916" s="5">
        <v>1</v>
      </c>
      <c r="E18916" s="5">
        <v>116305</v>
      </c>
    </row>
    <row r="18917" spans="1:5" x14ac:dyDescent="0.35">
      <c r="A18917" s="3">
        <v>46252</v>
      </c>
      <c r="B18917" s="5" t="s">
        <v>364</v>
      </c>
      <c r="C18917" s="5" t="s">
        <v>66</v>
      </c>
      <c r="D18917" s="5">
        <v>1</v>
      </c>
      <c r="E18917" s="5">
        <v>116305</v>
      </c>
    </row>
    <row r="18918" spans="1:5" x14ac:dyDescent="0.35">
      <c r="A18918" s="3">
        <v>46252</v>
      </c>
      <c r="B18918" s="5" t="s">
        <v>364</v>
      </c>
      <c r="C18918" s="5" t="s">
        <v>66</v>
      </c>
      <c r="D18918" s="5">
        <v>1</v>
      </c>
      <c r="E18918" s="5">
        <v>116305</v>
      </c>
    </row>
    <row r="18919" spans="1:5" x14ac:dyDescent="0.35">
      <c r="A18919" s="3">
        <v>46252</v>
      </c>
      <c r="B18919" s="5" t="s">
        <v>364</v>
      </c>
      <c r="C18919" s="5" t="s">
        <v>66</v>
      </c>
      <c r="D18919" s="5">
        <v>1</v>
      </c>
      <c r="E18919" s="5">
        <v>116305</v>
      </c>
    </row>
    <row r="18920" spans="1:5" x14ac:dyDescent="0.35">
      <c r="A18920" s="3">
        <v>46252</v>
      </c>
      <c r="B18920" s="5" t="s">
        <v>364</v>
      </c>
      <c r="C18920" s="5" t="s">
        <v>65</v>
      </c>
      <c r="D18920" s="5">
        <v>1</v>
      </c>
      <c r="E18920" s="5">
        <v>116305</v>
      </c>
    </row>
    <row r="18921" spans="1:5" x14ac:dyDescent="0.35">
      <c r="A18921" s="3">
        <v>46252</v>
      </c>
      <c r="B18921" s="5" t="s">
        <v>362</v>
      </c>
      <c r="C18921" s="5" t="s">
        <v>66</v>
      </c>
      <c r="D18921" s="5">
        <v>1</v>
      </c>
      <c r="E18921" s="5">
        <v>116305</v>
      </c>
    </row>
    <row r="18922" spans="1:5" x14ac:dyDescent="0.35">
      <c r="A18922" s="3">
        <v>46252</v>
      </c>
      <c r="B18922" s="5" t="s">
        <v>373</v>
      </c>
      <c r="C18922" s="5" t="s">
        <v>82</v>
      </c>
      <c r="D18922" s="5">
        <v>1</v>
      </c>
      <c r="E18922" s="5">
        <v>70850</v>
      </c>
    </row>
    <row r="18923" spans="1:5" x14ac:dyDescent="0.35">
      <c r="A18923" s="3">
        <v>46252</v>
      </c>
      <c r="B18923" s="5" t="s">
        <v>373</v>
      </c>
      <c r="C18923" s="5" t="s">
        <v>18</v>
      </c>
      <c r="D18923" s="5">
        <v>1</v>
      </c>
      <c r="E18923" s="5">
        <v>129941</v>
      </c>
    </row>
    <row r="18924" spans="1:5" x14ac:dyDescent="0.35">
      <c r="A18924" s="3">
        <v>46252</v>
      </c>
      <c r="B18924" s="5" t="s">
        <v>376</v>
      </c>
      <c r="C18924" s="5" t="s">
        <v>18</v>
      </c>
      <c r="D18924" s="5">
        <v>1</v>
      </c>
      <c r="E18924" s="5">
        <v>129941</v>
      </c>
    </row>
    <row r="18925" spans="1:5" x14ac:dyDescent="0.35">
      <c r="A18925" s="3">
        <v>46252</v>
      </c>
      <c r="B18925" s="5" t="s">
        <v>315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46252</v>
      </c>
      <c r="B18926" s="5" t="s">
        <v>315</v>
      </c>
      <c r="C18926" s="5" t="s">
        <v>66</v>
      </c>
      <c r="D18926" s="5">
        <v>1</v>
      </c>
      <c r="E18926" s="5">
        <v>116305</v>
      </c>
    </row>
    <row r="18927" spans="1:5" x14ac:dyDescent="0.35">
      <c r="A18927" s="3">
        <v>46252</v>
      </c>
      <c r="B18927" s="5" t="s">
        <v>315</v>
      </c>
      <c r="C18927" s="5" t="s">
        <v>66</v>
      </c>
      <c r="D18927" s="5">
        <v>1</v>
      </c>
      <c r="E18927" s="5">
        <v>116305</v>
      </c>
    </row>
    <row r="18928" spans="1:5" x14ac:dyDescent="0.35">
      <c r="A18928" s="3">
        <v>46252</v>
      </c>
      <c r="B18928" s="5" t="s">
        <v>315</v>
      </c>
      <c r="C18928" s="5" t="s">
        <v>66</v>
      </c>
      <c r="D18928" s="5">
        <v>1</v>
      </c>
      <c r="E18928" s="5">
        <v>116305</v>
      </c>
    </row>
    <row r="18929" spans="1:5" x14ac:dyDescent="0.35">
      <c r="A18929" s="3">
        <v>46252</v>
      </c>
      <c r="B18929" s="5" t="s">
        <v>315</v>
      </c>
      <c r="C18929" s="5" t="s">
        <v>65</v>
      </c>
      <c r="D18929" s="5">
        <v>1</v>
      </c>
      <c r="E18929" s="5">
        <v>116305</v>
      </c>
    </row>
    <row r="18930" spans="1:5" x14ac:dyDescent="0.35">
      <c r="A18930" s="3">
        <v>46252</v>
      </c>
      <c r="B18930" s="5" t="s">
        <v>315</v>
      </c>
      <c r="C18930" s="5" t="s">
        <v>65</v>
      </c>
      <c r="D18930" s="5">
        <v>1</v>
      </c>
      <c r="E18930" s="5">
        <v>116305</v>
      </c>
    </row>
    <row r="18931" spans="1:5" x14ac:dyDescent="0.35">
      <c r="A18931" s="3">
        <v>46252</v>
      </c>
      <c r="B18931" s="5" t="s">
        <v>315</v>
      </c>
      <c r="C18931" s="5" t="s">
        <v>65</v>
      </c>
      <c r="D18931" s="5">
        <v>1</v>
      </c>
      <c r="E18931" s="5">
        <v>116305</v>
      </c>
    </row>
    <row r="18932" spans="1:5" x14ac:dyDescent="0.35">
      <c r="A18932" s="3">
        <v>46252</v>
      </c>
      <c r="B18932" s="5" t="s">
        <v>355</v>
      </c>
      <c r="C18932" s="5" t="s">
        <v>20</v>
      </c>
      <c r="D18932" s="5">
        <v>1</v>
      </c>
      <c r="E18932" s="5">
        <v>127942</v>
      </c>
    </row>
    <row r="18933" spans="1:5" x14ac:dyDescent="0.35">
      <c r="A18933" s="3">
        <v>46252</v>
      </c>
      <c r="B18933" s="5" t="s">
        <v>355</v>
      </c>
      <c r="C18933" s="5" t="s">
        <v>20</v>
      </c>
      <c r="D18933" s="5">
        <v>1</v>
      </c>
      <c r="E18933" s="5">
        <v>127942</v>
      </c>
    </row>
    <row r="18934" spans="1:5" x14ac:dyDescent="0.35">
      <c r="A18934" s="3">
        <v>46252</v>
      </c>
      <c r="B18934" s="5" t="s">
        <v>355</v>
      </c>
      <c r="C18934" s="5" t="s">
        <v>20</v>
      </c>
      <c r="D18934" s="5">
        <v>1</v>
      </c>
      <c r="E18934" s="5">
        <v>127942</v>
      </c>
    </row>
    <row r="18935" spans="1:5" x14ac:dyDescent="0.35">
      <c r="A18935" s="3">
        <v>46252</v>
      </c>
      <c r="B18935" s="5" t="s">
        <v>258</v>
      </c>
      <c r="C18935" s="5" t="s">
        <v>20</v>
      </c>
      <c r="D18935" s="5">
        <v>1</v>
      </c>
      <c r="E18935" s="5">
        <v>127942</v>
      </c>
    </row>
    <row r="18936" spans="1:5" x14ac:dyDescent="0.35">
      <c r="A18936" s="3">
        <v>46252</v>
      </c>
      <c r="B18936" s="5" t="s">
        <v>258</v>
      </c>
      <c r="C18936" s="5" t="s">
        <v>20</v>
      </c>
      <c r="D18936" s="5">
        <v>1</v>
      </c>
      <c r="E18936" s="5">
        <v>127942</v>
      </c>
    </row>
    <row r="18937" spans="1:5" x14ac:dyDescent="0.35">
      <c r="A18937" s="3">
        <v>46252</v>
      </c>
      <c r="B18937" s="5" t="s">
        <v>364</v>
      </c>
      <c r="C18937" s="5" t="s">
        <v>66</v>
      </c>
      <c r="D18937" s="5">
        <v>1</v>
      </c>
      <c r="E18937" s="5">
        <v>116305</v>
      </c>
    </row>
    <row r="18938" spans="1:5" x14ac:dyDescent="0.35">
      <c r="A18938" s="3">
        <v>46252</v>
      </c>
      <c r="B18938" s="5" t="s">
        <v>258</v>
      </c>
      <c r="C18938" s="5" t="s">
        <v>20</v>
      </c>
      <c r="D18938" s="5">
        <v>1</v>
      </c>
      <c r="E18938" s="5">
        <v>127942</v>
      </c>
    </row>
    <row r="18939" spans="1:5" x14ac:dyDescent="0.35">
      <c r="A18939" s="3">
        <v>46252</v>
      </c>
      <c r="B18939" s="5" t="s">
        <v>364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46252</v>
      </c>
      <c r="B18940" s="5" t="s">
        <v>364</v>
      </c>
      <c r="C18940" s="5" t="s">
        <v>65</v>
      </c>
      <c r="D18940" s="5">
        <v>1</v>
      </c>
      <c r="E18940" s="5">
        <v>116305</v>
      </c>
    </row>
    <row r="18941" spans="1:5" x14ac:dyDescent="0.35">
      <c r="A18941" s="3">
        <v>46252</v>
      </c>
      <c r="B18941" s="5" t="s">
        <v>364</v>
      </c>
      <c r="C18941" s="5" t="s">
        <v>66</v>
      </c>
      <c r="D18941" s="5">
        <v>1</v>
      </c>
      <c r="E18941" s="5">
        <v>116305</v>
      </c>
    </row>
    <row r="18942" spans="1:5" x14ac:dyDescent="0.35">
      <c r="A18942" s="3">
        <v>46252</v>
      </c>
      <c r="B18942" s="5" t="s">
        <v>364</v>
      </c>
      <c r="C18942" s="5" t="s">
        <v>66</v>
      </c>
      <c r="D18942" s="5">
        <v>1</v>
      </c>
      <c r="E18942" s="5">
        <v>116305</v>
      </c>
    </row>
    <row r="18943" spans="1:5" x14ac:dyDescent="0.35">
      <c r="A18943" s="3">
        <v>46252</v>
      </c>
      <c r="B18943" s="5" t="s">
        <v>364</v>
      </c>
      <c r="C18943" s="5" t="s">
        <v>66</v>
      </c>
      <c r="D18943" s="5">
        <v>1</v>
      </c>
      <c r="E18943" s="5">
        <v>116305</v>
      </c>
    </row>
    <row r="18944" spans="1:5" x14ac:dyDescent="0.35">
      <c r="A18944" s="3">
        <v>46252</v>
      </c>
      <c r="B18944" s="5" t="s">
        <v>373</v>
      </c>
      <c r="C18944" s="5" t="s">
        <v>93</v>
      </c>
      <c r="D18944" s="5">
        <v>1</v>
      </c>
      <c r="E18944" s="5">
        <v>50168</v>
      </c>
    </row>
    <row r="18945" spans="1:5" x14ac:dyDescent="0.35">
      <c r="A18945" s="3">
        <v>46252</v>
      </c>
      <c r="B18945" s="5" t="s">
        <v>373</v>
      </c>
      <c r="C18945" s="5" t="s">
        <v>38</v>
      </c>
      <c r="D18945" s="5">
        <v>1</v>
      </c>
      <c r="E18945" s="5">
        <v>236305</v>
      </c>
    </row>
    <row r="18946" spans="1:5" x14ac:dyDescent="0.35">
      <c r="A18946" s="3">
        <v>46252</v>
      </c>
      <c r="B18946" s="5" t="s">
        <v>244</v>
      </c>
      <c r="C18946" s="5" t="s">
        <v>36</v>
      </c>
      <c r="D18946" s="5">
        <v>1</v>
      </c>
      <c r="E18946" s="5">
        <v>236305</v>
      </c>
    </row>
    <row r="18947" spans="1:5" x14ac:dyDescent="0.35">
      <c r="A18947" s="3">
        <v>46252</v>
      </c>
      <c r="B18947" s="5" t="s">
        <v>315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46252</v>
      </c>
      <c r="B18948" s="5" t="s">
        <v>315</v>
      </c>
      <c r="C18948" s="5" t="s">
        <v>66</v>
      </c>
      <c r="D18948" s="5">
        <v>1</v>
      </c>
      <c r="E18948" s="5">
        <v>116305</v>
      </c>
    </row>
    <row r="18949" spans="1:5" x14ac:dyDescent="0.35">
      <c r="A18949" s="3">
        <v>46252</v>
      </c>
      <c r="B18949" s="5" t="s">
        <v>315</v>
      </c>
      <c r="C18949" s="5" t="s">
        <v>66</v>
      </c>
      <c r="D18949" s="5">
        <v>1</v>
      </c>
      <c r="E18949" s="5">
        <v>116305</v>
      </c>
    </row>
    <row r="18950" spans="1:5" x14ac:dyDescent="0.35">
      <c r="A18950" s="3">
        <v>46252</v>
      </c>
      <c r="B18950" s="5" t="s">
        <v>315</v>
      </c>
      <c r="C18950" s="5" t="s">
        <v>66</v>
      </c>
      <c r="D18950" s="5">
        <v>1</v>
      </c>
      <c r="E18950" s="5">
        <v>116305</v>
      </c>
    </row>
    <row r="18951" spans="1:5" x14ac:dyDescent="0.35">
      <c r="A18951" s="3">
        <v>46252</v>
      </c>
      <c r="B18951" s="5" t="s">
        <v>315</v>
      </c>
      <c r="C18951" s="5" t="s">
        <v>65</v>
      </c>
      <c r="D18951" s="5">
        <v>1</v>
      </c>
      <c r="E18951" s="5">
        <v>116305</v>
      </c>
    </row>
    <row r="18952" spans="1:5" x14ac:dyDescent="0.35">
      <c r="A18952" s="3">
        <v>46252</v>
      </c>
      <c r="B18952" s="5" t="s">
        <v>315</v>
      </c>
      <c r="C18952" s="5" t="s">
        <v>65</v>
      </c>
      <c r="D18952" s="5">
        <v>1</v>
      </c>
      <c r="E18952" s="5">
        <v>116305</v>
      </c>
    </row>
    <row r="18953" spans="1:5" x14ac:dyDescent="0.35">
      <c r="A18953" s="3">
        <v>46252</v>
      </c>
      <c r="B18953" s="5" t="s">
        <v>315</v>
      </c>
      <c r="C18953" s="5" t="s">
        <v>66</v>
      </c>
      <c r="D18953" s="5">
        <v>1</v>
      </c>
      <c r="E18953" s="5">
        <v>116305</v>
      </c>
    </row>
    <row r="18954" spans="1:5" x14ac:dyDescent="0.35">
      <c r="A18954" s="3">
        <v>46252</v>
      </c>
      <c r="B18954" s="5" t="s">
        <v>315</v>
      </c>
      <c r="C18954" s="5" t="s">
        <v>67</v>
      </c>
      <c r="D18954" s="5">
        <v>1</v>
      </c>
      <c r="E18954" s="5">
        <v>116305</v>
      </c>
    </row>
    <row r="18955" spans="1:5" x14ac:dyDescent="0.35">
      <c r="A18955" s="3">
        <v>46252</v>
      </c>
      <c r="B18955" s="5" t="s">
        <v>315</v>
      </c>
      <c r="C18955" s="5" t="s">
        <v>65</v>
      </c>
      <c r="D18955" s="5">
        <v>1</v>
      </c>
      <c r="E18955" s="5">
        <v>116305</v>
      </c>
    </row>
    <row r="18956" spans="1:5" x14ac:dyDescent="0.35">
      <c r="A18956" s="3">
        <v>46252</v>
      </c>
      <c r="B18956" s="5" t="s">
        <v>315</v>
      </c>
      <c r="C18956" s="5" t="s">
        <v>66</v>
      </c>
      <c r="D18956" s="5">
        <v>1</v>
      </c>
      <c r="E18956" s="5">
        <v>116305</v>
      </c>
    </row>
    <row r="18957" spans="1:5" x14ac:dyDescent="0.35">
      <c r="A18957" s="3">
        <v>46252</v>
      </c>
      <c r="B18957" s="5" t="s">
        <v>258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46252</v>
      </c>
      <c r="B18958" s="5" t="s">
        <v>355</v>
      </c>
      <c r="C18958" s="5" t="s">
        <v>18</v>
      </c>
      <c r="D18958" s="5">
        <v>1</v>
      </c>
      <c r="E18958" s="5">
        <v>127942</v>
      </c>
    </row>
    <row r="18959" spans="1:5" x14ac:dyDescent="0.35">
      <c r="A18959" s="3">
        <v>46252</v>
      </c>
      <c r="B18959" s="5" t="s">
        <v>364</v>
      </c>
      <c r="C18959" s="5" t="s">
        <v>66</v>
      </c>
      <c r="D18959" s="5">
        <v>1</v>
      </c>
      <c r="E18959" s="5">
        <v>116305</v>
      </c>
    </row>
    <row r="18960" spans="1:5" x14ac:dyDescent="0.35">
      <c r="A18960" s="3">
        <v>46252</v>
      </c>
      <c r="B18960" s="5" t="s">
        <v>364</v>
      </c>
      <c r="C18960" s="5" t="s">
        <v>66</v>
      </c>
      <c r="D18960" s="5">
        <v>1</v>
      </c>
      <c r="E18960" s="5">
        <v>116305</v>
      </c>
    </row>
    <row r="18961" spans="1:5" x14ac:dyDescent="0.35">
      <c r="A18961" s="3">
        <v>46252</v>
      </c>
      <c r="B18961" s="5" t="s">
        <v>258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46252</v>
      </c>
      <c r="B18962" s="5" t="s">
        <v>364</v>
      </c>
      <c r="C18962" s="5" t="s">
        <v>66</v>
      </c>
      <c r="D18962" s="5">
        <v>1</v>
      </c>
      <c r="E18962" s="5">
        <v>116305</v>
      </c>
    </row>
    <row r="18963" spans="1:5" x14ac:dyDescent="0.35">
      <c r="A18963" s="3">
        <v>46252</v>
      </c>
      <c r="B18963" s="5" t="s">
        <v>364</v>
      </c>
      <c r="C18963" s="5" t="s">
        <v>65</v>
      </c>
      <c r="D18963" s="5">
        <v>1</v>
      </c>
      <c r="E18963" s="5">
        <v>116305</v>
      </c>
    </row>
    <row r="18964" spans="1:5" x14ac:dyDescent="0.35">
      <c r="A18964" s="3">
        <v>46252</v>
      </c>
      <c r="B18964" s="5" t="s">
        <v>364</v>
      </c>
      <c r="C18964" s="5" t="s">
        <v>65</v>
      </c>
      <c r="D18964" s="5">
        <v>1</v>
      </c>
      <c r="E18964" s="5">
        <v>116305</v>
      </c>
    </row>
    <row r="18965" spans="1:5" x14ac:dyDescent="0.35">
      <c r="A18965" s="3">
        <v>46252</v>
      </c>
      <c r="B18965" s="5" t="s">
        <v>364</v>
      </c>
      <c r="C18965" s="5" t="s">
        <v>65</v>
      </c>
      <c r="D18965" s="5">
        <v>1</v>
      </c>
      <c r="E18965" s="5">
        <v>116305</v>
      </c>
    </row>
    <row r="18966" spans="1:5" x14ac:dyDescent="0.35">
      <c r="A18966" s="3">
        <v>46252</v>
      </c>
      <c r="B18966" s="5" t="s">
        <v>373</v>
      </c>
      <c r="C18966" s="5" t="s">
        <v>18</v>
      </c>
      <c r="D18966" s="5">
        <v>1</v>
      </c>
      <c r="E18966" s="5">
        <v>129941</v>
      </c>
    </row>
    <row r="18967" spans="1:5" x14ac:dyDescent="0.35">
      <c r="A18967" s="3">
        <v>46252</v>
      </c>
      <c r="B18967" s="5" t="s">
        <v>373</v>
      </c>
      <c r="C18967" s="5" t="s">
        <v>18</v>
      </c>
      <c r="D18967" s="5">
        <v>1</v>
      </c>
      <c r="E18967" s="5">
        <v>129941</v>
      </c>
    </row>
    <row r="18968" spans="1:5" x14ac:dyDescent="0.35">
      <c r="A18968" s="3">
        <v>46252</v>
      </c>
      <c r="B18968" s="5" t="s">
        <v>373</v>
      </c>
      <c r="C18968" s="5" t="s">
        <v>35</v>
      </c>
      <c r="D18968" s="5">
        <v>1</v>
      </c>
      <c r="E18968" s="5">
        <v>324409</v>
      </c>
    </row>
    <row r="18969" spans="1:5" x14ac:dyDescent="0.35">
      <c r="A18969" s="3">
        <v>46252</v>
      </c>
      <c r="B18969" s="5" t="s">
        <v>315</v>
      </c>
      <c r="C18969" s="5" t="s">
        <v>66</v>
      </c>
      <c r="D18969" s="5">
        <v>1</v>
      </c>
      <c r="E18969" s="5">
        <v>116305</v>
      </c>
    </row>
    <row r="18970" spans="1:5" x14ac:dyDescent="0.35">
      <c r="A18970" s="3">
        <v>46252</v>
      </c>
      <c r="B18970" s="5" t="s">
        <v>315</v>
      </c>
      <c r="C18970" s="5" t="s">
        <v>66</v>
      </c>
      <c r="D18970" s="5">
        <v>1</v>
      </c>
      <c r="E18970" s="5">
        <v>116305</v>
      </c>
    </row>
    <row r="18971" spans="1:5" x14ac:dyDescent="0.35">
      <c r="A18971" s="3">
        <v>46252</v>
      </c>
      <c r="B18971" s="5" t="s">
        <v>315</v>
      </c>
      <c r="C18971" s="5" t="s">
        <v>66</v>
      </c>
      <c r="D18971" s="5">
        <v>1</v>
      </c>
      <c r="E18971" s="5">
        <v>116305</v>
      </c>
    </row>
    <row r="18972" spans="1:5" x14ac:dyDescent="0.35">
      <c r="A18972" s="3">
        <v>46252</v>
      </c>
      <c r="B18972" s="5" t="s">
        <v>315</v>
      </c>
      <c r="C18972" s="5" t="s">
        <v>66</v>
      </c>
      <c r="D18972" s="5">
        <v>1</v>
      </c>
      <c r="E18972" s="5">
        <v>116305</v>
      </c>
    </row>
    <row r="18973" spans="1:5" x14ac:dyDescent="0.35">
      <c r="A18973" s="3">
        <v>46252</v>
      </c>
      <c r="B18973" s="5" t="s">
        <v>315</v>
      </c>
      <c r="C18973" s="5" t="s">
        <v>66</v>
      </c>
      <c r="D18973" s="5">
        <v>1</v>
      </c>
      <c r="E18973" s="5">
        <v>116305</v>
      </c>
    </row>
    <row r="18974" spans="1:5" x14ac:dyDescent="0.35">
      <c r="A18974" s="3">
        <v>46252</v>
      </c>
      <c r="B18974" s="5" t="s">
        <v>315</v>
      </c>
      <c r="C18974" s="5" t="s">
        <v>66</v>
      </c>
      <c r="D18974" s="5">
        <v>1</v>
      </c>
      <c r="E18974" s="5">
        <v>116305</v>
      </c>
    </row>
    <row r="18975" spans="1:5" x14ac:dyDescent="0.35">
      <c r="A18975" s="3">
        <v>46252</v>
      </c>
      <c r="B18975" s="5" t="s">
        <v>315</v>
      </c>
      <c r="C18975" s="5" t="s">
        <v>66</v>
      </c>
      <c r="D18975" s="5">
        <v>1</v>
      </c>
      <c r="E18975" s="5">
        <v>116305</v>
      </c>
    </row>
    <row r="18976" spans="1:5" x14ac:dyDescent="0.35">
      <c r="A18976" s="3">
        <v>46252</v>
      </c>
      <c r="B18976" s="5" t="s">
        <v>315</v>
      </c>
      <c r="C18976" s="5" t="s">
        <v>65</v>
      </c>
      <c r="D18976" s="5">
        <v>1</v>
      </c>
      <c r="E18976" s="5">
        <v>116305</v>
      </c>
    </row>
    <row r="18977" spans="1:5" x14ac:dyDescent="0.35">
      <c r="A18977" s="3">
        <v>46252</v>
      </c>
      <c r="B18977" s="5" t="s">
        <v>315</v>
      </c>
      <c r="C18977" s="5" t="s">
        <v>67</v>
      </c>
      <c r="D18977" s="5">
        <v>1</v>
      </c>
      <c r="E18977" s="5">
        <v>116305</v>
      </c>
    </row>
    <row r="18978" spans="1:5" x14ac:dyDescent="0.35">
      <c r="A18978" s="3">
        <v>46252</v>
      </c>
      <c r="B18978" s="5" t="s">
        <v>315</v>
      </c>
      <c r="C18978" s="5" t="s">
        <v>65</v>
      </c>
      <c r="D18978" s="5">
        <v>1</v>
      </c>
      <c r="E18978" s="5">
        <v>116305</v>
      </c>
    </row>
    <row r="18979" spans="1:5" x14ac:dyDescent="0.35">
      <c r="A18979" s="3">
        <v>46252</v>
      </c>
      <c r="B18979" s="5" t="s">
        <v>315</v>
      </c>
      <c r="C18979" s="5" t="s">
        <v>65</v>
      </c>
      <c r="D18979" s="5">
        <v>1</v>
      </c>
      <c r="E18979" s="5">
        <v>116305</v>
      </c>
    </row>
    <row r="18980" spans="1:5" x14ac:dyDescent="0.35">
      <c r="A18980" s="3">
        <v>46252</v>
      </c>
      <c r="B18980" s="5" t="s">
        <v>315</v>
      </c>
      <c r="C18980" s="5" t="s">
        <v>67</v>
      </c>
      <c r="D18980" s="5">
        <v>1</v>
      </c>
      <c r="E18980" s="5">
        <v>116305</v>
      </c>
    </row>
    <row r="18981" spans="1:5" x14ac:dyDescent="0.35">
      <c r="A18981" s="3">
        <v>46252</v>
      </c>
      <c r="B18981" s="5" t="s">
        <v>355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46252</v>
      </c>
      <c r="B18982" s="5" t="s">
        <v>237</v>
      </c>
      <c r="C18982" s="5" t="s">
        <v>38</v>
      </c>
      <c r="D18982" s="5">
        <v>1</v>
      </c>
      <c r="E18982" s="5">
        <v>203578</v>
      </c>
    </row>
    <row r="18983" spans="1:5" x14ac:dyDescent="0.35">
      <c r="A18983" s="3">
        <v>46252</v>
      </c>
      <c r="B18983" s="5" t="s">
        <v>363</v>
      </c>
      <c r="C18983" s="5" t="s">
        <v>66</v>
      </c>
      <c r="D18983" s="5">
        <v>1</v>
      </c>
      <c r="E18983" s="5">
        <v>116305</v>
      </c>
    </row>
    <row r="18984" spans="1:5" x14ac:dyDescent="0.35">
      <c r="A18984" s="3">
        <v>46252</v>
      </c>
      <c r="B18984" s="5" t="s">
        <v>258</v>
      </c>
      <c r="C18984" s="5" t="s">
        <v>19</v>
      </c>
      <c r="D18984" s="5">
        <v>1</v>
      </c>
      <c r="E18984" s="5">
        <v>127942</v>
      </c>
    </row>
    <row r="18985" spans="1:5" x14ac:dyDescent="0.35">
      <c r="A18985" s="3">
        <v>46252</v>
      </c>
      <c r="B18985" s="5" t="s">
        <v>364</v>
      </c>
      <c r="C18985" s="5" t="s">
        <v>66</v>
      </c>
      <c r="D18985" s="5">
        <v>1</v>
      </c>
      <c r="E18985" s="5">
        <v>116305</v>
      </c>
    </row>
    <row r="18986" spans="1:5" x14ac:dyDescent="0.35">
      <c r="A18986" s="3">
        <v>46252</v>
      </c>
      <c r="B18986" s="5" t="s">
        <v>258</v>
      </c>
      <c r="C18986" s="5" t="s">
        <v>19</v>
      </c>
      <c r="D18986" s="5">
        <v>1</v>
      </c>
      <c r="E18986" s="5">
        <v>127942</v>
      </c>
    </row>
    <row r="18987" spans="1:5" x14ac:dyDescent="0.35">
      <c r="A18987" s="3">
        <v>46252</v>
      </c>
      <c r="B18987" s="5" t="s">
        <v>258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46252</v>
      </c>
      <c r="B18988" s="5" t="s">
        <v>364</v>
      </c>
      <c r="C18988" s="5" t="s">
        <v>66</v>
      </c>
      <c r="D18988" s="5">
        <v>1</v>
      </c>
      <c r="E18988" s="5">
        <v>116305</v>
      </c>
    </row>
    <row r="18989" spans="1:5" x14ac:dyDescent="0.35">
      <c r="A18989" s="3">
        <v>46252</v>
      </c>
      <c r="B18989" s="5" t="s">
        <v>244</v>
      </c>
      <c r="C18989" s="5" t="s">
        <v>28</v>
      </c>
      <c r="D18989" s="5">
        <v>1</v>
      </c>
      <c r="E18989" s="5">
        <v>118123</v>
      </c>
    </row>
    <row r="18990" spans="1:5" x14ac:dyDescent="0.35">
      <c r="A18990" s="3">
        <v>46252</v>
      </c>
      <c r="B18990" s="5" t="s">
        <v>376</v>
      </c>
      <c r="C18990" s="5" t="s">
        <v>18</v>
      </c>
      <c r="D18990" s="5">
        <v>1</v>
      </c>
      <c r="E18990" s="5">
        <v>129941</v>
      </c>
    </row>
    <row r="18991" spans="1:5" x14ac:dyDescent="0.35">
      <c r="A18991" s="3">
        <v>46252</v>
      </c>
      <c r="B18991" s="5" t="s">
        <v>315</v>
      </c>
      <c r="C18991" s="5" t="s">
        <v>66</v>
      </c>
      <c r="D18991" s="5">
        <v>1</v>
      </c>
      <c r="E18991" s="5">
        <v>116305</v>
      </c>
    </row>
    <row r="18992" spans="1:5" x14ac:dyDescent="0.35">
      <c r="A18992" s="3">
        <v>46252</v>
      </c>
      <c r="B18992" s="5" t="s">
        <v>315</v>
      </c>
      <c r="C18992" s="5" t="s">
        <v>66</v>
      </c>
      <c r="D18992" s="5">
        <v>1</v>
      </c>
      <c r="E18992" s="5">
        <v>116305</v>
      </c>
    </row>
    <row r="18993" spans="1:5" x14ac:dyDescent="0.35">
      <c r="A18993" s="3">
        <v>46252</v>
      </c>
      <c r="B18993" s="5" t="s">
        <v>315</v>
      </c>
      <c r="C18993" s="5" t="s">
        <v>66</v>
      </c>
      <c r="D18993" s="5">
        <v>1</v>
      </c>
      <c r="E18993" s="5">
        <v>116305</v>
      </c>
    </row>
    <row r="18994" spans="1:5" x14ac:dyDescent="0.35">
      <c r="A18994" s="3">
        <v>46252</v>
      </c>
      <c r="B18994" s="5" t="s">
        <v>315</v>
      </c>
      <c r="C18994" s="5" t="s">
        <v>66</v>
      </c>
      <c r="D18994" s="5">
        <v>1</v>
      </c>
      <c r="E18994" s="5">
        <v>116305</v>
      </c>
    </row>
    <row r="18995" spans="1:5" x14ac:dyDescent="0.35">
      <c r="A18995" s="3">
        <v>46252</v>
      </c>
      <c r="B18995" s="5" t="s">
        <v>315</v>
      </c>
      <c r="C18995" s="5" t="s">
        <v>66</v>
      </c>
      <c r="D18995" s="5">
        <v>1</v>
      </c>
      <c r="E18995" s="5">
        <v>116305</v>
      </c>
    </row>
    <row r="18996" spans="1:5" x14ac:dyDescent="0.35">
      <c r="A18996" s="3">
        <v>46252</v>
      </c>
      <c r="B18996" s="5" t="s">
        <v>315</v>
      </c>
      <c r="C18996" s="5" t="s">
        <v>67</v>
      </c>
      <c r="D18996" s="5">
        <v>1</v>
      </c>
      <c r="E18996" s="5">
        <v>116305</v>
      </c>
    </row>
    <row r="18997" spans="1:5" x14ac:dyDescent="0.35">
      <c r="A18997" s="3">
        <v>46252</v>
      </c>
      <c r="B18997" s="5" t="s">
        <v>315</v>
      </c>
      <c r="C18997" s="5" t="s">
        <v>65</v>
      </c>
      <c r="D18997" s="5">
        <v>1</v>
      </c>
      <c r="E18997" s="5">
        <v>116305</v>
      </c>
    </row>
    <row r="18998" spans="1:5" x14ac:dyDescent="0.35">
      <c r="A18998" s="3">
        <v>46252</v>
      </c>
      <c r="B18998" s="5" t="s">
        <v>315</v>
      </c>
      <c r="C18998" s="5" t="s">
        <v>65</v>
      </c>
      <c r="D18998" s="5">
        <v>1</v>
      </c>
      <c r="E18998" s="5">
        <v>116305</v>
      </c>
    </row>
    <row r="18999" spans="1:5" x14ac:dyDescent="0.35">
      <c r="A18999" s="3">
        <v>46252</v>
      </c>
      <c r="B18999" s="5" t="s">
        <v>355</v>
      </c>
      <c r="C18999" s="5" t="s">
        <v>20</v>
      </c>
      <c r="D18999" s="5">
        <v>1</v>
      </c>
      <c r="E18999" s="5">
        <v>127942</v>
      </c>
    </row>
    <row r="19000" spans="1:5" x14ac:dyDescent="0.35">
      <c r="A19000" s="3">
        <v>46252</v>
      </c>
      <c r="B19000" s="5" t="s">
        <v>363</v>
      </c>
      <c r="C19000" s="5" t="s">
        <v>66</v>
      </c>
      <c r="D19000" s="5">
        <v>1</v>
      </c>
      <c r="E19000" s="5">
        <v>116305</v>
      </c>
    </row>
    <row r="19001" spans="1:5" x14ac:dyDescent="0.35">
      <c r="A19001" s="3">
        <v>46252</v>
      </c>
      <c r="B19001" s="5" t="s">
        <v>354</v>
      </c>
      <c r="C19001" s="5" t="s">
        <v>19</v>
      </c>
      <c r="D19001" s="5">
        <v>1</v>
      </c>
      <c r="E19001" s="5">
        <v>127942</v>
      </c>
    </row>
    <row r="19002" spans="1:5" x14ac:dyDescent="0.35">
      <c r="A19002" s="3">
        <v>46252</v>
      </c>
      <c r="B19002" s="5" t="s">
        <v>258</v>
      </c>
      <c r="C19002" s="5" t="s">
        <v>20</v>
      </c>
      <c r="D19002" s="5">
        <v>1</v>
      </c>
      <c r="E19002" s="5">
        <v>127942</v>
      </c>
    </row>
    <row r="19003" spans="1:5" x14ac:dyDescent="0.35">
      <c r="A19003" s="3">
        <v>46252</v>
      </c>
      <c r="B19003" s="5" t="s">
        <v>364</v>
      </c>
      <c r="C19003" s="5" t="s">
        <v>66</v>
      </c>
      <c r="D19003" s="5">
        <v>1</v>
      </c>
      <c r="E19003" s="5">
        <v>116305</v>
      </c>
    </row>
    <row r="19004" spans="1:5" x14ac:dyDescent="0.35">
      <c r="A19004" s="3">
        <v>46252</v>
      </c>
      <c r="B19004" s="5" t="s">
        <v>258</v>
      </c>
      <c r="C19004" s="5" t="s">
        <v>19</v>
      </c>
      <c r="D19004" s="5">
        <v>1</v>
      </c>
      <c r="E19004" s="5">
        <v>127942</v>
      </c>
    </row>
    <row r="19005" spans="1:5" x14ac:dyDescent="0.35">
      <c r="A19005" s="3">
        <v>46252</v>
      </c>
      <c r="B19005" s="5" t="s">
        <v>364</v>
      </c>
      <c r="C19005" s="5" t="s">
        <v>66</v>
      </c>
      <c r="D19005" s="5">
        <v>1</v>
      </c>
      <c r="E19005" s="5">
        <v>116305</v>
      </c>
    </row>
    <row r="19006" spans="1:5" x14ac:dyDescent="0.35">
      <c r="A19006" s="3">
        <v>46252</v>
      </c>
      <c r="B19006" s="5" t="s">
        <v>364</v>
      </c>
      <c r="C19006" s="5" t="s">
        <v>65</v>
      </c>
      <c r="D19006" s="5">
        <v>1</v>
      </c>
      <c r="E19006" s="5">
        <v>116305</v>
      </c>
    </row>
    <row r="19007" spans="1:5" x14ac:dyDescent="0.35">
      <c r="A19007" s="3">
        <v>46252</v>
      </c>
      <c r="B19007" s="5" t="s">
        <v>364</v>
      </c>
      <c r="C19007" s="5" t="s">
        <v>66</v>
      </c>
      <c r="D19007" s="5">
        <v>1</v>
      </c>
      <c r="E19007" s="5">
        <v>116305</v>
      </c>
    </row>
    <row r="19008" spans="1:5" x14ac:dyDescent="0.35">
      <c r="A19008" s="3">
        <v>46252</v>
      </c>
      <c r="B19008" s="5" t="s">
        <v>364</v>
      </c>
      <c r="C19008" s="5" t="s">
        <v>67</v>
      </c>
      <c r="D19008" s="5">
        <v>1</v>
      </c>
      <c r="E19008" s="5">
        <v>116305</v>
      </c>
    </row>
    <row r="19009" spans="1:5" x14ac:dyDescent="0.35">
      <c r="A19009" s="3">
        <v>46252</v>
      </c>
      <c r="B19009" s="5" t="s">
        <v>362</v>
      </c>
      <c r="C19009" s="5" t="s">
        <v>66</v>
      </c>
      <c r="D19009" s="5">
        <v>1</v>
      </c>
      <c r="E19009" s="5">
        <v>116305</v>
      </c>
    </row>
    <row r="19010" spans="1:5" x14ac:dyDescent="0.35">
      <c r="A19010" s="3">
        <v>46252</v>
      </c>
      <c r="B19010" s="5" t="s">
        <v>364</v>
      </c>
      <c r="C19010" s="5" t="s">
        <v>66</v>
      </c>
      <c r="D19010" s="5">
        <v>1</v>
      </c>
      <c r="E19010" s="5">
        <v>116305</v>
      </c>
    </row>
  </sheetData>
  <autoFilter ref="A1:E19010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I38" sqref="I38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204</v>
      </c>
      <c r="C1" s="1" t="s">
        <v>0</v>
      </c>
      <c r="D1" s="1" t="s">
        <v>205</v>
      </c>
      <c r="F1" s="8"/>
      <c r="H1" s="8" t="s">
        <v>176</v>
      </c>
    </row>
    <row r="2" spans="2:9" x14ac:dyDescent="0.35">
      <c r="B2" t="s">
        <v>193</v>
      </c>
      <c r="C2" s="2" t="s">
        <v>14</v>
      </c>
      <c r="D2" t="s">
        <v>14</v>
      </c>
      <c r="F2" s="8"/>
      <c r="H2" s="8" t="s">
        <v>177</v>
      </c>
      <c r="I2" t="s">
        <v>154</v>
      </c>
    </row>
    <row r="3" spans="2:9" x14ac:dyDescent="0.35">
      <c r="B3" t="s">
        <v>193</v>
      </c>
      <c r="C3" s="2" t="s">
        <v>113</v>
      </c>
      <c r="D3" t="s">
        <v>197</v>
      </c>
      <c r="F3" s="8"/>
      <c r="H3" s="8" t="s">
        <v>178</v>
      </c>
      <c r="I3" t="s">
        <v>154</v>
      </c>
    </row>
    <row r="4" spans="2:9" x14ac:dyDescent="0.35">
      <c r="B4" t="s">
        <v>193</v>
      </c>
      <c r="C4" s="2" t="s">
        <v>114</v>
      </c>
      <c r="D4" t="s">
        <v>197</v>
      </c>
      <c r="F4" s="8"/>
      <c r="H4" s="8" t="s">
        <v>179</v>
      </c>
      <c r="I4" s="8" t="s">
        <v>163</v>
      </c>
    </row>
    <row r="5" spans="2:9" x14ac:dyDescent="0.35">
      <c r="B5" t="s">
        <v>206</v>
      </c>
      <c r="C5" s="2" t="s">
        <v>143</v>
      </c>
      <c r="D5" t="s">
        <v>200</v>
      </c>
      <c r="F5" s="8"/>
      <c r="H5" s="8" t="s">
        <v>180</v>
      </c>
      <c r="I5" t="s">
        <v>154</v>
      </c>
    </row>
    <row r="6" spans="2:9" x14ac:dyDescent="0.35">
      <c r="B6" t="s">
        <v>193</v>
      </c>
      <c r="C6" s="2" t="s">
        <v>146</v>
      </c>
      <c r="D6" t="s">
        <v>146</v>
      </c>
      <c r="F6" s="8"/>
      <c r="H6" s="8" t="s">
        <v>181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182</v>
      </c>
      <c r="I7" s="8" t="s">
        <v>163</v>
      </c>
    </row>
    <row r="8" spans="2:9" x14ac:dyDescent="0.35">
      <c r="B8" t="s">
        <v>206</v>
      </c>
      <c r="C8" s="2" t="s">
        <v>157</v>
      </c>
      <c r="D8" t="s">
        <v>157</v>
      </c>
      <c r="F8" s="9"/>
      <c r="H8" s="8" t="s">
        <v>183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184</v>
      </c>
      <c r="I9" s="8" t="s">
        <v>163</v>
      </c>
    </row>
    <row r="10" spans="2:9" x14ac:dyDescent="0.35">
      <c r="B10" t="s">
        <v>206</v>
      </c>
      <c r="C10" s="2" t="s">
        <v>165</v>
      </c>
      <c r="D10" t="s">
        <v>195</v>
      </c>
      <c r="F10" s="9"/>
      <c r="H10" s="8" t="s">
        <v>186</v>
      </c>
      <c r="I10" s="8" t="s">
        <v>185</v>
      </c>
    </row>
    <row r="11" spans="2:9" x14ac:dyDescent="0.35">
      <c r="B11" t="s">
        <v>206</v>
      </c>
      <c r="C11" s="2" t="s">
        <v>167</v>
      </c>
      <c r="D11" t="s">
        <v>185</v>
      </c>
      <c r="E11"/>
      <c r="H11" s="8" t="s">
        <v>187</v>
      </c>
      <c r="I11" s="8" t="s">
        <v>185</v>
      </c>
    </row>
    <row r="12" spans="2:9" x14ac:dyDescent="0.35">
      <c r="B12" t="s">
        <v>193</v>
      </c>
      <c r="C12" s="2" t="s">
        <v>168</v>
      </c>
      <c r="D12" t="s">
        <v>202</v>
      </c>
      <c r="E12"/>
      <c r="H12" s="8" t="s">
        <v>188</v>
      </c>
      <c r="I12" s="8" t="s">
        <v>185</v>
      </c>
    </row>
    <row r="13" spans="2:9" x14ac:dyDescent="0.35">
      <c r="B13" t="s">
        <v>193</v>
      </c>
      <c r="C13" t="s">
        <v>292</v>
      </c>
      <c r="D13" t="s">
        <v>202</v>
      </c>
      <c r="E13"/>
      <c r="H13" s="8" t="s">
        <v>189</v>
      </c>
      <c r="I13" s="8" t="s">
        <v>185</v>
      </c>
    </row>
    <row r="14" spans="2:9" x14ac:dyDescent="0.35">
      <c r="B14" t="s">
        <v>193</v>
      </c>
      <c r="C14" t="s">
        <v>293</v>
      </c>
      <c r="D14" t="s">
        <v>202</v>
      </c>
      <c r="E14"/>
      <c r="H14" s="8" t="s">
        <v>190</v>
      </c>
      <c r="I14" s="8" t="s">
        <v>185</v>
      </c>
    </row>
    <row r="15" spans="2:9" x14ac:dyDescent="0.35">
      <c r="B15" t="s">
        <v>193</v>
      </c>
      <c r="C15" t="s">
        <v>294</v>
      </c>
      <c r="D15" t="s">
        <v>202</v>
      </c>
      <c r="E15"/>
      <c r="H15" s="8" t="s">
        <v>191</v>
      </c>
      <c r="I15" s="8" t="s">
        <v>157</v>
      </c>
    </row>
    <row r="16" spans="2:9" x14ac:dyDescent="0.35">
      <c r="B16" t="s">
        <v>193</v>
      </c>
      <c r="C16" t="s">
        <v>299</v>
      </c>
      <c r="D16" t="s">
        <v>202</v>
      </c>
      <c r="E16"/>
      <c r="H16" s="8" t="s">
        <v>192</v>
      </c>
      <c r="I16" s="8" t="s">
        <v>208</v>
      </c>
    </row>
    <row r="17" spans="2:9" x14ac:dyDescent="0.35">
      <c r="B17" t="s">
        <v>193</v>
      </c>
      <c r="C17" t="s">
        <v>298</v>
      </c>
      <c r="D17" t="s">
        <v>202</v>
      </c>
      <c r="E17"/>
      <c r="H17" s="9" t="s">
        <v>194</v>
      </c>
      <c r="I17" s="8" t="s">
        <v>146</v>
      </c>
    </row>
    <row r="18" spans="2:9" x14ac:dyDescent="0.35">
      <c r="B18" t="s">
        <v>193</v>
      </c>
      <c r="C18" s="9" t="s">
        <v>301</v>
      </c>
      <c r="D18" t="s">
        <v>202</v>
      </c>
      <c r="E18"/>
      <c r="H18" s="9" t="s">
        <v>14</v>
      </c>
      <c r="I18" t="s">
        <v>14</v>
      </c>
    </row>
    <row r="19" spans="2:9" x14ac:dyDescent="0.35">
      <c r="B19" t="s">
        <v>193</v>
      </c>
      <c r="C19" s="9" t="s">
        <v>294</v>
      </c>
      <c r="D19" t="s">
        <v>202</v>
      </c>
      <c r="E19"/>
      <c r="H19" s="9" t="s">
        <v>196</v>
      </c>
      <c r="I19" s="9" t="s">
        <v>195</v>
      </c>
    </row>
    <row r="20" spans="2:9" x14ac:dyDescent="0.35">
      <c r="B20" t="s">
        <v>193</v>
      </c>
      <c r="C20" t="s">
        <v>341</v>
      </c>
      <c r="D20" t="s">
        <v>202</v>
      </c>
      <c r="E20"/>
      <c r="H20" s="9" t="s">
        <v>197</v>
      </c>
      <c r="I20" s="9" t="s">
        <v>197</v>
      </c>
    </row>
    <row r="21" spans="2:9" x14ac:dyDescent="0.35">
      <c r="E21"/>
      <c r="H21" s="9" t="s">
        <v>199</v>
      </c>
      <c r="I21" t="s">
        <v>198</v>
      </c>
    </row>
    <row r="22" spans="2:9" x14ac:dyDescent="0.35">
      <c r="E22"/>
      <c r="H22" s="9" t="s">
        <v>201</v>
      </c>
      <c r="I22" t="s">
        <v>200</v>
      </c>
    </row>
    <row r="23" spans="2:9" x14ac:dyDescent="0.35">
      <c r="E23"/>
      <c r="H23" s="10" t="s">
        <v>202</v>
      </c>
      <c r="I23" s="10" t="s">
        <v>202</v>
      </c>
    </row>
    <row r="24" spans="2:9" x14ac:dyDescent="0.35">
      <c r="E24"/>
      <c r="H24" s="9" t="s">
        <v>203</v>
      </c>
      <c r="I24" s="8" t="s">
        <v>163</v>
      </c>
    </row>
    <row r="25" spans="2:9" x14ac:dyDescent="0.35">
      <c r="E25"/>
      <c r="H25" t="s">
        <v>283</v>
      </c>
      <c r="I25" s="8" t="s">
        <v>163</v>
      </c>
    </row>
    <row r="26" spans="2:9" x14ac:dyDescent="0.35">
      <c r="E26"/>
      <c r="H26" t="s">
        <v>284</v>
      </c>
      <c r="I26" t="s">
        <v>198</v>
      </c>
    </row>
    <row r="27" spans="2:9" x14ac:dyDescent="0.35">
      <c r="E27"/>
      <c r="H27" s="9" t="s">
        <v>292</v>
      </c>
      <c r="I27" s="10" t="s">
        <v>202</v>
      </c>
    </row>
    <row r="28" spans="2:9" x14ac:dyDescent="0.35">
      <c r="E28"/>
      <c r="H28" s="9" t="s">
        <v>295</v>
      </c>
      <c r="I28" s="10" t="s">
        <v>202</v>
      </c>
    </row>
    <row r="29" spans="2:9" x14ac:dyDescent="0.35">
      <c r="E29"/>
      <c r="H29" s="9" t="s">
        <v>294</v>
      </c>
      <c r="I29" s="10" t="s">
        <v>202</v>
      </c>
    </row>
    <row r="30" spans="2:9" x14ac:dyDescent="0.35">
      <c r="E30"/>
      <c r="H30" s="9" t="s">
        <v>296</v>
      </c>
      <c r="I30" s="10" t="s">
        <v>202</v>
      </c>
    </row>
    <row r="31" spans="2:9" x14ac:dyDescent="0.35">
      <c r="E31"/>
      <c r="H31" s="9" t="s">
        <v>297</v>
      </c>
      <c r="I31" s="10" t="s">
        <v>202</v>
      </c>
    </row>
    <row r="32" spans="2:9" x14ac:dyDescent="0.35">
      <c r="E32"/>
      <c r="H32" s="9" t="s">
        <v>298</v>
      </c>
      <c r="I32" s="10" t="s">
        <v>202</v>
      </c>
    </row>
    <row r="33" spans="5:9" x14ac:dyDescent="0.35">
      <c r="E33"/>
      <c r="H33" s="9" t="s">
        <v>299</v>
      </c>
      <c r="I33" s="10" t="s">
        <v>202</v>
      </c>
    </row>
    <row r="34" spans="5:9" x14ac:dyDescent="0.35">
      <c r="E34"/>
      <c r="H34" s="9" t="s">
        <v>293</v>
      </c>
      <c r="I34" s="10" t="s">
        <v>202</v>
      </c>
    </row>
    <row r="35" spans="5:9" x14ac:dyDescent="0.35">
      <c r="E35"/>
      <c r="H35" s="9" t="s">
        <v>300</v>
      </c>
      <c r="I35" s="10" t="s">
        <v>202</v>
      </c>
    </row>
    <row r="36" spans="5:9" x14ac:dyDescent="0.35">
      <c r="E36"/>
      <c r="H36" s="9" t="s">
        <v>301</v>
      </c>
      <c r="I36" s="10" t="s">
        <v>202</v>
      </c>
    </row>
    <row r="37" spans="5:9" x14ac:dyDescent="0.35">
      <c r="E37"/>
      <c r="H37" s="9" t="s">
        <v>302</v>
      </c>
      <c r="I37" s="10" t="s">
        <v>202</v>
      </c>
    </row>
    <row r="38" spans="5:9" x14ac:dyDescent="0.35">
      <c r="E38"/>
      <c r="H38" t="s">
        <v>341</v>
      </c>
      <c r="I38" s="10" t="s">
        <v>202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GB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2026-08-24T06:12:39Z</dcterms:modified>
</cp:coreProperties>
</file>